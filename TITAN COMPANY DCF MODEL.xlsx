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Ex1.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9200" windowHeight="6930" tabRatio="634" firstSheet="3" activeTab="6"/>
  </bookViews>
  <sheets>
    <sheet name="Executive Summary" sheetId="2" r:id="rId1"/>
    <sheet name="Assumptions and Drivers" sheetId="3" state="hidden" r:id="rId2"/>
    <sheet name="Assumptions" sheetId="17" r:id="rId3"/>
    <sheet name="Historical_FS" sheetId="11" r:id="rId4"/>
    <sheet name="Supporting Schedules" sheetId="5" state="hidden" r:id="rId5"/>
    <sheet name="Du Pont Analysis" sheetId="27" r:id="rId6"/>
    <sheet name="Altman Z score" sheetId="29" r:id="rId7"/>
    <sheet name="Financials&gt;" sheetId="12" r:id="rId8"/>
    <sheet name="Data Sheet" sheetId="1" r:id="rId9"/>
    <sheet name="Forecasting" sheetId="6" r:id="rId10"/>
    <sheet name="WACC" sheetId="7" r:id="rId11"/>
    <sheet name="Beta-Regression" sheetId="8" r:id="rId12"/>
    <sheet name="Rm" sheetId="13" r:id="rId13"/>
    <sheet name="Intrinsic Growth" sheetId="14" r:id="rId14"/>
    <sheet name="DCF" sheetId="15" r:id="rId15"/>
    <sheet name="Relative_Valuation" sheetId="20" r:id="rId16"/>
    <sheet name="Football Field Analysis" sheetId="22" r:id="rId17"/>
    <sheet name="VaR" sheetId="24" r:id="rId18"/>
    <sheet name="Mont_Carlo" sheetId="25" r:id="rId19"/>
    <sheet name="Data2" sheetId="21" r:id="rId20"/>
    <sheet name="Raw Data" sheetId="10" r:id="rId21"/>
    <sheet name="Cash Flow Data" sheetId="4" r:id="rId22"/>
  </sheets>
  <definedNames>
    <definedName name="_xlnm._FilterDatabase" localSheetId="17" hidden="1">VaR!$B$3:$C$3</definedName>
    <definedName name="_xlchart.v1.0" hidden="1">Mont_Carlo!$F$4:$F$10003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29" l="1"/>
  <c r="E67" i="29"/>
  <c r="F67" i="29"/>
  <c r="G67" i="29"/>
  <c r="H67" i="29"/>
  <c r="I67" i="29"/>
  <c r="C67" i="29"/>
  <c r="D43" i="29"/>
  <c r="E43" i="29"/>
  <c r="F43" i="29"/>
  <c r="G43" i="29"/>
  <c r="H43" i="29"/>
  <c r="I43" i="29"/>
  <c r="C43" i="29"/>
  <c r="D55" i="29"/>
  <c r="E55" i="29"/>
  <c r="F55" i="29"/>
  <c r="G55" i="29"/>
  <c r="H55" i="29"/>
  <c r="I55" i="29"/>
  <c r="C55" i="29"/>
  <c r="D61" i="29"/>
  <c r="E61" i="29"/>
  <c r="F61" i="29"/>
  <c r="G61" i="29"/>
  <c r="H61" i="29"/>
  <c r="I61" i="29"/>
  <c r="C61" i="29"/>
  <c r="D56" i="29"/>
  <c r="E56" i="29"/>
  <c r="F56" i="29"/>
  <c r="G56" i="29"/>
  <c r="H56" i="29"/>
  <c r="I56" i="29"/>
  <c r="C56" i="29"/>
  <c r="D49" i="29"/>
  <c r="E49" i="29"/>
  <c r="F49" i="29"/>
  <c r="G49" i="29"/>
  <c r="H49" i="29"/>
  <c r="I49" i="29"/>
  <c r="C49" i="29"/>
  <c r="D38" i="29"/>
  <c r="E38" i="29"/>
  <c r="E44" i="29" s="1"/>
  <c r="E50" i="29" s="1"/>
  <c r="F38" i="29"/>
  <c r="F44" i="29" s="1"/>
  <c r="F50" i="29" s="1"/>
  <c r="G38" i="29"/>
  <c r="G44" i="29" s="1"/>
  <c r="G50" i="29" s="1"/>
  <c r="H38" i="29"/>
  <c r="H44" i="29" s="1"/>
  <c r="H50" i="29" s="1"/>
  <c r="I38" i="29"/>
  <c r="I44" i="29" s="1"/>
  <c r="I50" i="29" s="1"/>
  <c r="C38" i="29"/>
  <c r="D37" i="29"/>
  <c r="E37" i="29"/>
  <c r="F37" i="29"/>
  <c r="G37" i="29"/>
  <c r="H37" i="29"/>
  <c r="I37" i="29"/>
  <c r="C37" i="29"/>
  <c r="I36" i="29"/>
  <c r="I42" i="29" s="1"/>
  <c r="I66" i="29" s="1"/>
  <c r="H36" i="29"/>
  <c r="H60" i="29" s="1"/>
  <c r="G36" i="29"/>
  <c r="G60" i="29" s="1"/>
  <c r="F36" i="29"/>
  <c r="F42" i="29" s="1"/>
  <c r="F66" i="29" s="1"/>
  <c r="E36" i="29"/>
  <c r="E60" i="29" s="1"/>
  <c r="D36" i="29"/>
  <c r="D42" i="29" s="1"/>
  <c r="D66" i="29" s="1"/>
  <c r="C36" i="29"/>
  <c r="C42" i="29" s="1"/>
  <c r="C66" i="29" s="1"/>
  <c r="B5" i="29"/>
  <c r="B3" i="29"/>
  <c r="I62" i="29" l="1"/>
  <c r="I63" i="29" s="1"/>
  <c r="D48" i="29"/>
  <c r="D54" i="29" s="1"/>
  <c r="C48" i="29"/>
  <c r="C54" i="29" s="1"/>
  <c r="F48" i="29"/>
  <c r="F54" i="29" s="1"/>
  <c r="I48" i="29"/>
  <c r="I54" i="29" s="1"/>
  <c r="H62" i="29"/>
  <c r="H63" i="29" s="1"/>
  <c r="G62" i="29"/>
  <c r="D39" i="29"/>
  <c r="F62" i="29"/>
  <c r="F63" i="29" s="1"/>
  <c r="E62" i="29"/>
  <c r="E63" i="29" s="1"/>
  <c r="G39" i="29"/>
  <c r="E39" i="29"/>
  <c r="F39" i="29"/>
  <c r="H42" i="29"/>
  <c r="E42" i="29"/>
  <c r="I51" i="29"/>
  <c r="G45" i="29"/>
  <c r="D44" i="29"/>
  <c r="D62" i="29" s="1"/>
  <c r="G42" i="29"/>
  <c r="C44" i="29"/>
  <c r="E57" i="29"/>
  <c r="I57" i="29"/>
  <c r="F57" i="29"/>
  <c r="F60" i="29"/>
  <c r="G57" i="29"/>
  <c r="H57" i="29"/>
  <c r="E51" i="29"/>
  <c r="F51" i="29"/>
  <c r="I39" i="29"/>
  <c r="H39" i="29"/>
  <c r="C39" i="29"/>
  <c r="H45" i="29"/>
  <c r="I45" i="29"/>
  <c r="G51" i="29"/>
  <c r="E45" i="29"/>
  <c r="H51" i="29"/>
  <c r="I60" i="29"/>
  <c r="C60" i="29"/>
  <c r="F45" i="29"/>
  <c r="D60" i="29"/>
  <c r="D25" i="15"/>
  <c r="D26" i="15"/>
  <c r="D28" i="11"/>
  <c r="E28" i="11"/>
  <c r="F28" i="11"/>
  <c r="G28" i="11"/>
  <c r="H28" i="11"/>
  <c r="I28" i="11"/>
  <c r="J28" i="11"/>
  <c r="K28" i="11"/>
  <c r="L28" i="11"/>
  <c r="C28" i="11"/>
  <c r="D16" i="11"/>
  <c r="E16" i="11"/>
  <c r="F16" i="11"/>
  <c r="G16" i="11"/>
  <c r="H16" i="11"/>
  <c r="I16" i="11"/>
  <c r="J16" i="11"/>
  <c r="K16" i="11"/>
  <c r="L16" i="11"/>
  <c r="C16" i="11"/>
  <c r="D10" i="11"/>
  <c r="E10" i="11"/>
  <c r="F10" i="11"/>
  <c r="G10" i="11"/>
  <c r="H10" i="11"/>
  <c r="I10" i="11"/>
  <c r="J10" i="11"/>
  <c r="K10" i="11"/>
  <c r="L10" i="11"/>
  <c r="C10" i="11"/>
  <c r="D73" i="27"/>
  <c r="E73" i="27"/>
  <c r="F73" i="27"/>
  <c r="G73" i="27"/>
  <c r="H73" i="27"/>
  <c r="I73" i="27"/>
  <c r="C73" i="27"/>
  <c r="B70" i="27"/>
  <c r="H69" i="27"/>
  <c r="I69" i="27"/>
  <c r="D63" i="27"/>
  <c r="E63" i="27"/>
  <c r="D51" i="27"/>
  <c r="D54" i="27" s="1"/>
  <c r="E51" i="27"/>
  <c r="E54" i="27" s="1"/>
  <c r="F51" i="27"/>
  <c r="G51" i="27"/>
  <c r="G54" i="27" s="1"/>
  <c r="H51" i="27"/>
  <c r="H54" i="27" s="1"/>
  <c r="C51" i="27"/>
  <c r="C54" i="27" s="1"/>
  <c r="C63" i="27" s="1"/>
  <c r="I51" i="27"/>
  <c r="I54" i="27" s="1"/>
  <c r="I63" i="27" s="1"/>
  <c r="D41" i="27"/>
  <c r="D55" i="27" s="1"/>
  <c r="E41" i="27"/>
  <c r="E55" i="27" s="1"/>
  <c r="F41" i="27"/>
  <c r="G41" i="27"/>
  <c r="H41" i="27"/>
  <c r="I41" i="27"/>
  <c r="I55" i="27" s="1"/>
  <c r="C41" i="27"/>
  <c r="C55" i="27" s="1"/>
  <c r="B55" i="27"/>
  <c r="B54" i="27"/>
  <c r="F54" i="27"/>
  <c r="F63" i="27" s="1"/>
  <c r="D47" i="27"/>
  <c r="D50" i="27" s="1"/>
  <c r="D69" i="27" s="1"/>
  <c r="E47" i="27"/>
  <c r="E50" i="27" s="1"/>
  <c r="E72" i="27" s="1"/>
  <c r="F47" i="27"/>
  <c r="F50" i="27" s="1"/>
  <c r="F69" i="27" s="1"/>
  <c r="G47" i="27"/>
  <c r="G50" i="27" s="1"/>
  <c r="G72" i="27" s="1"/>
  <c r="H47" i="27"/>
  <c r="H50" i="27" s="1"/>
  <c r="H72" i="27" s="1"/>
  <c r="I47" i="27"/>
  <c r="I50" i="27" s="1"/>
  <c r="C47" i="27"/>
  <c r="H40" i="27"/>
  <c r="G40" i="27"/>
  <c r="G46" i="27" s="1"/>
  <c r="G68" i="27" s="1"/>
  <c r="F40" i="27"/>
  <c r="F46" i="27" s="1"/>
  <c r="F62" i="27" s="1"/>
  <c r="E40" i="27"/>
  <c r="D40" i="27"/>
  <c r="D46" i="27" s="1"/>
  <c r="D62" i="27" s="1"/>
  <c r="D64" i="27" s="1"/>
  <c r="C40" i="27"/>
  <c r="I40" i="27"/>
  <c r="H39" i="27"/>
  <c r="H45" i="27" s="1"/>
  <c r="H67" i="27" s="1"/>
  <c r="G39" i="27"/>
  <c r="G45" i="27" s="1"/>
  <c r="G67" i="27" s="1"/>
  <c r="F39" i="27"/>
  <c r="F45" i="27" s="1"/>
  <c r="F67" i="27" s="1"/>
  <c r="E39" i="27"/>
  <c r="E45" i="27" s="1"/>
  <c r="E67" i="27" s="1"/>
  <c r="D39" i="27"/>
  <c r="D45" i="27" s="1"/>
  <c r="D67" i="27" s="1"/>
  <c r="C39" i="27"/>
  <c r="C45" i="27" s="1"/>
  <c r="C67" i="27" s="1"/>
  <c r="I39" i="27"/>
  <c r="I45" i="27" s="1"/>
  <c r="I67" i="27" s="1"/>
  <c r="B5" i="27"/>
  <c r="B3" i="27"/>
  <c r="E66" i="29" l="1"/>
  <c r="E48" i="29"/>
  <c r="E54" i="29" s="1"/>
  <c r="F68" i="29"/>
  <c r="H66" i="29"/>
  <c r="H48" i="29"/>
  <c r="H54" i="29" s="1"/>
  <c r="G66" i="29"/>
  <c r="G48" i="29"/>
  <c r="G54" i="29" s="1"/>
  <c r="I68" i="29"/>
  <c r="E68" i="29"/>
  <c r="C50" i="29"/>
  <c r="C57" i="29" s="1"/>
  <c r="C62" i="29"/>
  <c r="H68" i="29"/>
  <c r="G63" i="29"/>
  <c r="G68" i="29" s="1"/>
  <c r="D50" i="29"/>
  <c r="D45" i="29"/>
  <c r="C45" i="29"/>
  <c r="F64" i="27"/>
  <c r="G69" i="27"/>
  <c r="E61" i="27"/>
  <c r="E69" i="27"/>
  <c r="G61" i="27"/>
  <c r="D61" i="27"/>
  <c r="F61" i="27"/>
  <c r="C61" i="27"/>
  <c r="H63" i="27"/>
  <c r="I61" i="27"/>
  <c r="G63" i="27"/>
  <c r="H61" i="27"/>
  <c r="G62" i="27"/>
  <c r="I52" i="27"/>
  <c r="C42" i="27"/>
  <c r="C46" i="27"/>
  <c r="E42" i="27"/>
  <c r="D42" i="27"/>
  <c r="G70" i="27"/>
  <c r="C56" i="27"/>
  <c r="E46" i="27"/>
  <c r="E62" i="27" s="1"/>
  <c r="E64" i="27" s="1"/>
  <c r="F55" i="27"/>
  <c r="F56" i="27" s="1"/>
  <c r="E52" i="27"/>
  <c r="I42" i="27"/>
  <c r="G55" i="27"/>
  <c r="G56" i="27" s="1"/>
  <c r="H42" i="27"/>
  <c r="D68" i="27"/>
  <c r="D48" i="27"/>
  <c r="D56" i="27"/>
  <c r="D72" i="27"/>
  <c r="D52" i="27"/>
  <c r="F48" i="27"/>
  <c r="F68" i="27"/>
  <c r="F70" i="27" s="1"/>
  <c r="E74" i="27"/>
  <c r="E56" i="27"/>
  <c r="I56" i="27"/>
  <c r="F72" i="27"/>
  <c r="F52" i="27"/>
  <c r="C50" i="27"/>
  <c r="C69" i="27" s="1"/>
  <c r="H55" i="27"/>
  <c r="H56" i="27" s="1"/>
  <c r="I46" i="27"/>
  <c r="G52" i="27"/>
  <c r="F42" i="27"/>
  <c r="H46" i="27"/>
  <c r="H52" i="27"/>
  <c r="I72" i="27"/>
  <c r="G42" i="27"/>
  <c r="G74" i="27"/>
  <c r="G48" i="27"/>
  <c r="J22" i="25"/>
  <c r="J21" i="25"/>
  <c r="J20" i="25"/>
  <c r="M9" i="25"/>
  <c r="M8" i="25"/>
  <c r="M7" i="25"/>
  <c r="M6" i="25"/>
  <c r="G13" i="24"/>
  <c r="G14" i="24"/>
  <c r="G12" i="24"/>
  <c r="J13" i="24"/>
  <c r="J14" i="24"/>
  <c r="J12" i="24"/>
  <c r="I13" i="24"/>
  <c r="I14" i="24"/>
  <c r="I12" i="24"/>
  <c r="H13" i="24"/>
  <c r="H14" i="24"/>
  <c r="H12" i="24"/>
  <c r="J8" i="24"/>
  <c r="J7" i="24"/>
  <c r="J6" i="24"/>
  <c r="J5" i="24"/>
  <c r="N9" i="22"/>
  <c r="O9" i="22"/>
  <c r="O8" i="22"/>
  <c r="P8" i="22" s="1"/>
  <c r="M8" i="22"/>
  <c r="N8" i="22" s="1"/>
  <c r="O6" i="22"/>
  <c r="P6" i="22" s="1"/>
  <c r="M6" i="22"/>
  <c r="N6" i="22" s="1"/>
  <c r="O7" i="22"/>
  <c r="P7" i="22" s="1"/>
  <c r="M7" i="22"/>
  <c r="N7" i="22" s="1"/>
  <c r="O5" i="22"/>
  <c r="P5" i="22" s="1"/>
  <c r="M5" i="22"/>
  <c r="N5" i="22" s="1"/>
  <c r="C51" i="29" l="1"/>
  <c r="C63" i="29"/>
  <c r="D51" i="29"/>
  <c r="G64" i="27"/>
  <c r="H68" i="27"/>
  <c r="H70" i="27" s="1"/>
  <c r="H62" i="27"/>
  <c r="H64" i="27" s="1"/>
  <c r="C68" i="27"/>
  <c r="C70" i="27" s="1"/>
  <c r="C62" i="27"/>
  <c r="C64" i="27" s="1"/>
  <c r="I68" i="27"/>
  <c r="I70" i="27" s="1"/>
  <c r="I62" i="27"/>
  <c r="I64" i="27" s="1"/>
  <c r="I74" i="27"/>
  <c r="C48" i="27"/>
  <c r="G76" i="27"/>
  <c r="F58" i="27"/>
  <c r="H48" i="27"/>
  <c r="H58" i="27" s="1"/>
  <c r="I48" i="27"/>
  <c r="I58" i="27" s="1"/>
  <c r="D70" i="27"/>
  <c r="G58" i="27"/>
  <c r="E48" i="27"/>
  <c r="E58" i="27" s="1"/>
  <c r="E68" i="27"/>
  <c r="E70" i="27" s="1"/>
  <c r="E76" i="27" s="1"/>
  <c r="F74" i="27"/>
  <c r="F76" i="27" s="1"/>
  <c r="D58" i="27"/>
  <c r="C52" i="27"/>
  <c r="C72" i="27"/>
  <c r="C74" i="27" s="1"/>
  <c r="H74" i="27"/>
  <c r="D74" i="27"/>
  <c r="F6301" i="25"/>
  <c r="F9962" i="25"/>
  <c r="F9898" i="25"/>
  <c r="F9834" i="25"/>
  <c r="F9770" i="25"/>
  <c r="F9706" i="25"/>
  <c r="F9642" i="25"/>
  <c r="F9578" i="25"/>
  <c r="F9514" i="25"/>
  <c r="F9450" i="25"/>
  <c r="F9386" i="25"/>
  <c r="F9322" i="25"/>
  <c r="F9258" i="25"/>
  <c r="F9194" i="25"/>
  <c r="F9130" i="25"/>
  <c r="F9066" i="25"/>
  <c r="F9002" i="25"/>
  <c r="F8938" i="25"/>
  <c r="F8874" i="25"/>
  <c r="F8803" i="25"/>
  <c r="F8705" i="25"/>
  <c r="F8336" i="25"/>
  <c r="F7824" i="25"/>
  <c r="F9946" i="25"/>
  <c r="F9882" i="25"/>
  <c r="F9818" i="25"/>
  <c r="F9754" i="25"/>
  <c r="F9690" i="25"/>
  <c r="F9626" i="25"/>
  <c r="F9562" i="25"/>
  <c r="F9498" i="25"/>
  <c r="F9434" i="25"/>
  <c r="F9370" i="25"/>
  <c r="F9306" i="25"/>
  <c r="F9242" i="25"/>
  <c r="F9178" i="25"/>
  <c r="F9114" i="25"/>
  <c r="F9050" i="25"/>
  <c r="F8986" i="25"/>
  <c r="F8922" i="25"/>
  <c r="F8857" i="25"/>
  <c r="F8784" i="25"/>
  <c r="F8671" i="25"/>
  <c r="F8208" i="25"/>
  <c r="F7696" i="25"/>
  <c r="F10002" i="25"/>
  <c r="F9938" i="25"/>
  <c r="F9874" i="25"/>
  <c r="F9810" i="25"/>
  <c r="F9746" i="25"/>
  <c r="F9682" i="25"/>
  <c r="F9618" i="25"/>
  <c r="F9554" i="25"/>
  <c r="F9490" i="25"/>
  <c r="F9426" i="25"/>
  <c r="F9362" i="25"/>
  <c r="F9298" i="25"/>
  <c r="F9234" i="25"/>
  <c r="F9170" i="25"/>
  <c r="F9106" i="25"/>
  <c r="F9042" i="25"/>
  <c r="F8978" i="25"/>
  <c r="F8914" i="25"/>
  <c r="F8848" i="25"/>
  <c r="F8775" i="25"/>
  <c r="F8648" i="25"/>
  <c r="F8144" i="25"/>
  <c r="F7632" i="25"/>
  <c r="F9145" i="25"/>
  <c r="F9994" i="25"/>
  <c r="F9866" i="25"/>
  <c r="F9674" i="25"/>
  <c r="F9546" i="25"/>
  <c r="F9354" i="25"/>
  <c r="F9226" i="25"/>
  <c r="F9162" i="25"/>
  <c r="F9098" i="25"/>
  <c r="F8970" i="25"/>
  <c r="F8906" i="25"/>
  <c r="F8839" i="25"/>
  <c r="F8764" i="25"/>
  <c r="F8592" i="25"/>
  <c r="F8080" i="25"/>
  <c r="F7568" i="25"/>
  <c r="F9930" i="25"/>
  <c r="F9802" i="25"/>
  <c r="F9738" i="25"/>
  <c r="F9610" i="25"/>
  <c r="F9482" i="25"/>
  <c r="F9418" i="25"/>
  <c r="F9290" i="25"/>
  <c r="F9034" i="25"/>
  <c r="F9986" i="25"/>
  <c r="F9922" i="25"/>
  <c r="F9858" i="25"/>
  <c r="F9794" i="25"/>
  <c r="F9730" i="25"/>
  <c r="F9666" i="25"/>
  <c r="F9602" i="25"/>
  <c r="F9538" i="25"/>
  <c r="F9474" i="25"/>
  <c r="F9410" i="25"/>
  <c r="F9346" i="25"/>
  <c r="F9282" i="25"/>
  <c r="F9218" i="25"/>
  <c r="F9154" i="25"/>
  <c r="F9090" i="25"/>
  <c r="F9026" i="25"/>
  <c r="F8962" i="25"/>
  <c r="F8898" i="25"/>
  <c r="F8830" i="25"/>
  <c r="F8753" i="25"/>
  <c r="F8528" i="25"/>
  <c r="F8016" i="25"/>
  <c r="F7408" i="25"/>
  <c r="F9978" i="25"/>
  <c r="F9914" i="25"/>
  <c r="F9850" i="25"/>
  <c r="F9786" i="25"/>
  <c r="F9722" i="25"/>
  <c r="F9658" i="25"/>
  <c r="F9594" i="25"/>
  <c r="F9530" i="25"/>
  <c r="F9466" i="25"/>
  <c r="F9402" i="25"/>
  <c r="F9338" i="25"/>
  <c r="F9274" i="25"/>
  <c r="F9210" i="25"/>
  <c r="F9146" i="25"/>
  <c r="F9082" i="25"/>
  <c r="F9018" i="25"/>
  <c r="F8954" i="25"/>
  <c r="F8890" i="25"/>
  <c r="F8821" i="25"/>
  <c r="F8737" i="25"/>
  <c r="F8464" i="25"/>
  <c r="F7952" i="25"/>
  <c r="F7136" i="25"/>
  <c r="F9954" i="25"/>
  <c r="F9890" i="25"/>
  <c r="F9826" i="25"/>
  <c r="F9762" i="25"/>
  <c r="F9698" i="25"/>
  <c r="F9634" i="25"/>
  <c r="F9570" i="25"/>
  <c r="F9506" i="25"/>
  <c r="F9442" i="25"/>
  <c r="F9378" i="25"/>
  <c r="F9314" i="25"/>
  <c r="F9250" i="25"/>
  <c r="F9186" i="25"/>
  <c r="F9122" i="25"/>
  <c r="F9058" i="25"/>
  <c r="F8994" i="25"/>
  <c r="F8930" i="25"/>
  <c r="F8866" i="25"/>
  <c r="F8793" i="25"/>
  <c r="F8689" i="25"/>
  <c r="F8272" i="25"/>
  <c r="F7760" i="25"/>
  <c r="F9970" i="25"/>
  <c r="F9906" i="25"/>
  <c r="F9842" i="25"/>
  <c r="F9778" i="25"/>
  <c r="F9714" i="25"/>
  <c r="F9650" i="25"/>
  <c r="F9586" i="25"/>
  <c r="F9522" i="25"/>
  <c r="F9458" i="25"/>
  <c r="F9394" i="25"/>
  <c r="F9330" i="25"/>
  <c r="F9266" i="25"/>
  <c r="F9202" i="25"/>
  <c r="F9138" i="25"/>
  <c r="F9074" i="25"/>
  <c r="F9010" i="25"/>
  <c r="F8946" i="25"/>
  <c r="F8882" i="25"/>
  <c r="F8812" i="25"/>
  <c r="F8721" i="25"/>
  <c r="F8400" i="25"/>
  <c r="F7888" i="25"/>
  <c r="F6613" i="25"/>
  <c r="F9985" i="25"/>
  <c r="F9961" i="25"/>
  <c r="F9929" i="25"/>
  <c r="F9905" i="25"/>
  <c r="F9881" i="25"/>
  <c r="F9857" i="25"/>
  <c r="F9833" i="25"/>
  <c r="F9809" i="25"/>
  <c r="F9785" i="25"/>
  <c r="F9761" i="25"/>
  <c r="F9737" i="25"/>
  <c r="F9713" i="25"/>
  <c r="F9689" i="25"/>
  <c r="F9673" i="25"/>
  <c r="F9657" i="25"/>
  <c r="F9633" i="25"/>
  <c r="F9609" i="25"/>
  <c r="F9585" i="25"/>
  <c r="F9561" i="25"/>
  <c r="F9545" i="25"/>
  <c r="F9529" i="25"/>
  <c r="F9513" i="25"/>
  <c r="F9489" i="25"/>
  <c r="F9465" i="25"/>
  <c r="F9449" i="25"/>
  <c r="F9425" i="25"/>
  <c r="F9409" i="25"/>
  <c r="F9385" i="25"/>
  <c r="F9361" i="25"/>
  <c r="F9329" i="25"/>
  <c r="F9161" i="25"/>
  <c r="F10003" i="25"/>
  <c r="F9995" i="25"/>
  <c r="F9987" i="25"/>
  <c r="F9979" i="25"/>
  <c r="F9971" i="25"/>
  <c r="F9963" i="25"/>
  <c r="F9955" i="25"/>
  <c r="F9947" i="25"/>
  <c r="F9939" i="25"/>
  <c r="F9931" i="25"/>
  <c r="F9923" i="25"/>
  <c r="F9915" i="25"/>
  <c r="F9907" i="25"/>
  <c r="F9899" i="25"/>
  <c r="F9891" i="25"/>
  <c r="F9883" i="25"/>
  <c r="F9875" i="25"/>
  <c r="F9867" i="25"/>
  <c r="F9859" i="25"/>
  <c r="F9851" i="25"/>
  <c r="F9843" i="25"/>
  <c r="F9835" i="25"/>
  <c r="F9827" i="25"/>
  <c r="F9819" i="25"/>
  <c r="F9811" i="25"/>
  <c r="F9803" i="25"/>
  <c r="F9795" i="25"/>
  <c r="F9787" i="25"/>
  <c r="F9779" i="25"/>
  <c r="F9771" i="25"/>
  <c r="F9763" i="25"/>
  <c r="F9755" i="25"/>
  <c r="F9747" i="25"/>
  <c r="F9739" i="25"/>
  <c r="F9731" i="25"/>
  <c r="F9723" i="25"/>
  <c r="F9715" i="25"/>
  <c r="F9707" i="25"/>
  <c r="F9699" i="25"/>
  <c r="F9691" i="25"/>
  <c r="F9683" i="25"/>
  <c r="F9675" i="25"/>
  <c r="F9667" i="25"/>
  <c r="F9659" i="25"/>
  <c r="F9651" i="25"/>
  <c r="F9643" i="25"/>
  <c r="F9635" i="25"/>
  <c r="F9627" i="25"/>
  <c r="F9619" i="25"/>
  <c r="F9611" i="25"/>
  <c r="F9603" i="25"/>
  <c r="F9595" i="25"/>
  <c r="F9587" i="25"/>
  <c r="F9579" i="25"/>
  <c r="F9571" i="25"/>
  <c r="F9563" i="25"/>
  <c r="F9555" i="25"/>
  <c r="F9547" i="25"/>
  <c r="F9539" i="25"/>
  <c r="F9531" i="25"/>
  <c r="F9523" i="25"/>
  <c r="F9515" i="25"/>
  <c r="F9507" i="25"/>
  <c r="F9499" i="25"/>
  <c r="F9491" i="25"/>
  <c r="F9483" i="25"/>
  <c r="F9475" i="25"/>
  <c r="F9467" i="25"/>
  <c r="F9459" i="25"/>
  <c r="F9451" i="25"/>
  <c r="F9443" i="25"/>
  <c r="F9435" i="25"/>
  <c r="F9427" i="25"/>
  <c r="F9419" i="25"/>
  <c r="F9411" i="25"/>
  <c r="F9403" i="25"/>
  <c r="F9395" i="25"/>
  <c r="F9387" i="25"/>
  <c r="F9379" i="25"/>
  <c r="F9371" i="25"/>
  <c r="F9363" i="25"/>
  <c r="F9355" i="25"/>
  <c r="F9347" i="25"/>
  <c r="F9339" i="25"/>
  <c r="F9331" i="25"/>
  <c r="F9323" i="25"/>
  <c r="F9315" i="25"/>
  <c r="F9307" i="25"/>
  <c r="F9299" i="25"/>
  <c r="F9291" i="25"/>
  <c r="F9283" i="25"/>
  <c r="F9275" i="25"/>
  <c r="F9267" i="25"/>
  <c r="F9259" i="25"/>
  <c r="F9251" i="25"/>
  <c r="F9243" i="25"/>
  <c r="F9235" i="25"/>
  <c r="F9227" i="25"/>
  <c r="F9219" i="25"/>
  <c r="F9211" i="25"/>
  <c r="F9203" i="25"/>
  <c r="F9195" i="25"/>
  <c r="F9187" i="25"/>
  <c r="F9179" i="25"/>
  <c r="F9171" i="25"/>
  <c r="F9163" i="25"/>
  <c r="F9155" i="25"/>
  <c r="F9147" i="25"/>
  <c r="F9139" i="25"/>
  <c r="F9131" i="25"/>
  <c r="F9123" i="25"/>
  <c r="F9115" i="25"/>
  <c r="F9107" i="25"/>
  <c r="F9099" i="25"/>
  <c r="F9091" i="25"/>
  <c r="F9083" i="25"/>
  <c r="F9075" i="25"/>
  <c r="F9067" i="25"/>
  <c r="F9059" i="25"/>
  <c r="F9051" i="25"/>
  <c r="F9043" i="25"/>
  <c r="F9035" i="25"/>
  <c r="F9027" i="25"/>
  <c r="F9019" i="25"/>
  <c r="F9011" i="25"/>
  <c r="F9003" i="25"/>
  <c r="F8995" i="25"/>
  <c r="F8987" i="25"/>
  <c r="F8979" i="25"/>
  <c r="F8971" i="25"/>
  <c r="F8963" i="25"/>
  <c r="F8955" i="25"/>
  <c r="F8947" i="25"/>
  <c r="F8939" i="25"/>
  <c r="F8931" i="25"/>
  <c r="F8923" i="25"/>
  <c r="F8915" i="25"/>
  <c r="F8907" i="25"/>
  <c r="F8899" i="25"/>
  <c r="F8891" i="25"/>
  <c r="F8883" i="25"/>
  <c r="F8875" i="25"/>
  <c r="F8867" i="25"/>
  <c r="F8859" i="25"/>
  <c r="F8849" i="25"/>
  <c r="F8840" i="25"/>
  <c r="F8831" i="25"/>
  <c r="F8822" i="25"/>
  <c r="F8813" i="25"/>
  <c r="F8804" i="25"/>
  <c r="F8795" i="25"/>
  <c r="F8785" i="25"/>
  <c r="F8776" i="25"/>
  <c r="F8765" i="25"/>
  <c r="F8755" i="25"/>
  <c r="F8740" i="25"/>
  <c r="F8724" i="25"/>
  <c r="F8708" i="25"/>
  <c r="F8692" i="25"/>
  <c r="F8672" i="25"/>
  <c r="F8652" i="25"/>
  <c r="F8600" i="25"/>
  <c r="F8536" i="25"/>
  <c r="F8472" i="25"/>
  <c r="F8408" i="25"/>
  <c r="F8344" i="25"/>
  <c r="F8280" i="25"/>
  <c r="F8216" i="25"/>
  <c r="F8152" i="25"/>
  <c r="F8088" i="25"/>
  <c r="F8024" i="25"/>
  <c r="F7960" i="25"/>
  <c r="F7896" i="25"/>
  <c r="F7832" i="25"/>
  <c r="F7768" i="25"/>
  <c r="F7704" i="25"/>
  <c r="F7640" i="25"/>
  <c r="F7576" i="25"/>
  <c r="F7440" i="25"/>
  <c r="F7184" i="25"/>
  <c r="F6688" i="25"/>
  <c r="F10001" i="25"/>
  <c r="F9977" i="25"/>
  <c r="F9953" i="25"/>
  <c r="F9937" i="25"/>
  <c r="F9913" i="25"/>
  <c r="F9889" i="25"/>
  <c r="F9865" i="25"/>
  <c r="F9841" i="25"/>
  <c r="F9817" i="25"/>
  <c r="F9793" i="25"/>
  <c r="F9769" i="25"/>
  <c r="F9745" i="25"/>
  <c r="F9729" i="25"/>
  <c r="F9705" i="25"/>
  <c r="F9681" i="25"/>
  <c r="F9649" i="25"/>
  <c r="F9625" i="25"/>
  <c r="F9601" i="25"/>
  <c r="F9577" i="25"/>
  <c r="F9553" i="25"/>
  <c r="F9521" i="25"/>
  <c r="F9497" i="25"/>
  <c r="F9481" i="25"/>
  <c r="F9457" i="25"/>
  <c r="F9433" i="25"/>
  <c r="F9401" i="25"/>
  <c r="F9377" i="25"/>
  <c r="F9353" i="25"/>
  <c r="F9337" i="25"/>
  <c r="F9321" i="25"/>
  <c r="F9305" i="25"/>
  <c r="F9297" i="25"/>
  <c r="F9289" i="25"/>
  <c r="F9281" i="25"/>
  <c r="F9273" i="25"/>
  <c r="F9265" i="25"/>
  <c r="F9257" i="25"/>
  <c r="F9249" i="25"/>
  <c r="F9241" i="25"/>
  <c r="F9233" i="25"/>
  <c r="F9225" i="25"/>
  <c r="F9217" i="25"/>
  <c r="F9209" i="25"/>
  <c r="F9201" i="25"/>
  <c r="F9193" i="25"/>
  <c r="F9185" i="25"/>
  <c r="F9177" i="25"/>
  <c r="F9169" i="25"/>
  <c r="F9153" i="25"/>
  <c r="F9137" i="25"/>
  <c r="F9129" i="25"/>
  <c r="F9121" i="25"/>
  <c r="F9113" i="25"/>
  <c r="F9105" i="25"/>
  <c r="F9097" i="25"/>
  <c r="F9089" i="25"/>
  <c r="F9081" i="25"/>
  <c r="F9073" i="25"/>
  <c r="F9065" i="25"/>
  <c r="F9057" i="25"/>
  <c r="F9049" i="25"/>
  <c r="F9041" i="25"/>
  <c r="F9033" i="25"/>
  <c r="F9025" i="25"/>
  <c r="F9017" i="25"/>
  <c r="F9009" i="25"/>
  <c r="F9001" i="25"/>
  <c r="F8993" i="25"/>
  <c r="F8985" i="25"/>
  <c r="F8977" i="25"/>
  <c r="F8969" i="25"/>
  <c r="F8961" i="25"/>
  <c r="F8953" i="25"/>
  <c r="F8945" i="25"/>
  <c r="F8937" i="25"/>
  <c r="F8929" i="25"/>
  <c r="F8921" i="25"/>
  <c r="F8913" i="25"/>
  <c r="F8905" i="25"/>
  <c r="F8897" i="25"/>
  <c r="F8889" i="25"/>
  <c r="F8881" i="25"/>
  <c r="F8873" i="25"/>
  <c r="F8865" i="25"/>
  <c r="F8856" i="25"/>
  <c r="F8847" i="25"/>
  <c r="F8838" i="25"/>
  <c r="F8829" i="25"/>
  <c r="F8820" i="25"/>
  <c r="F8811" i="25"/>
  <c r="F8801" i="25"/>
  <c r="F8792" i="25"/>
  <c r="F8783" i="25"/>
  <c r="F8773" i="25"/>
  <c r="F8763" i="25"/>
  <c r="F8752" i="25"/>
  <c r="F8736" i="25"/>
  <c r="F8720" i="25"/>
  <c r="F8704" i="25"/>
  <c r="F8688" i="25"/>
  <c r="F8668" i="25"/>
  <c r="F8647" i="25"/>
  <c r="F8584" i="25"/>
  <c r="F8520" i="25"/>
  <c r="F8456" i="25"/>
  <c r="F8392" i="25"/>
  <c r="F8328" i="25"/>
  <c r="F8264" i="25"/>
  <c r="F8200" i="25"/>
  <c r="F8136" i="25"/>
  <c r="F8072" i="25"/>
  <c r="F8008" i="25"/>
  <c r="F7944" i="25"/>
  <c r="F7880" i="25"/>
  <c r="F7816" i="25"/>
  <c r="F7752" i="25"/>
  <c r="F7688" i="25"/>
  <c r="F7624" i="25"/>
  <c r="F7560" i="25"/>
  <c r="F7376" i="25"/>
  <c r="F7072" i="25"/>
  <c r="F6527" i="25"/>
  <c r="F10000" i="25"/>
  <c r="F9992" i="25"/>
  <c r="F9984" i="25"/>
  <c r="F9976" i="25"/>
  <c r="F9968" i="25"/>
  <c r="F9960" i="25"/>
  <c r="F9952" i="25"/>
  <c r="F9944" i="25"/>
  <c r="F9936" i="25"/>
  <c r="F9928" i="25"/>
  <c r="F9920" i="25"/>
  <c r="F9912" i="25"/>
  <c r="F9904" i="25"/>
  <c r="F9896" i="25"/>
  <c r="F9888" i="25"/>
  <c r="F9880" i="25"/>
  <c r="F9872" i="25"/>
  <c r="F9864" i="25"/>
  <c r="F9856" i="25"/>
  <c r="F9848" i="25"/>
  <c r="F9840" i="25"/>
  <c r="F9832" i="25"/>
  <c r="F9824" i="25"/>
  <c r="F9816" i="25"/>
  <c r="F9808" i="25"/>
  <c r="F9800" i="25"/>
  <c r="F9792" i="25"/>
  <c r="F9784" i="25"/>
  <c r="F9776" i="25"/>
  <c r="F9768" i="25"/>
  <c r="F9760" i="25"/>
  <c r="F9752" i="25"/>
  <c r="F9744" i="25"/>
  <c r="F9736" i="25"/>
  <c r="F9728" i="25"/>
  <c r="F9720" i="25"/>
  <c r="F9712" i="25"/>
  <c r="F9704" i="25"/>
  <c r="F9696" i="25"/>
  <c r="F9688" i="25"/>
  <c r="F9680" i="25"/>
  <c r="F9672" i="25"/>
  <c r="F9664" i="25"/>
  <c r="F9656" i="25"/>
  <c r="F9648" i="25"/>
  <c r="F9640" i="25"/>
  <c r="F9632" i="25"/>
  <c r="F9624" i="25"/>
  <c r="F9616" i="25"/>
  <c r="F9608" i="25"/>
  <c r="F9600" i="25"/>
  <c r="F9592" i="25"/>
  <c r="F9584" i="25"/>
  <c r="F9576" i="25"/>
  <c r="F9568" i="25"/>
  <c r="F9560" i="25"/>
  <c r="F9552" i="25"/>
  <c r="F9544" i="25"/>
  <c r="F9536" i="25"/>
  <c r="F9528" i="25"/>
  <c r="F9520" i="25"/>
  <c r="F9512" i="25"/>
  <c r="F9504" i="25"/>
  <c r="F9496" i="25"/>
  <c r="F9488" i="25"/>
  <c r="F9480" i="25"/>
  <c r="F9472" i="25"/>
  <c r="F9464" i="25"/>
  <c r="F9456" i="25"/>
  <c r="F9448" i="25"/>
  <c r="F9440" i="25"/>
  <c r="F9432" i="25"/>
  <c r="F9424" i="25"/>
  <c r="F9416" i="25"/>
  <c r="F9408" i="25"/>
  <c r="F9400" i="25"/>
  <c r="F9392" i="25"/>
  <c r="F9384" i="25"/>
  <c r="F9376" i="25"/>
  <c r="F9368" i="25"/>
  <c r="F9360" i="25"/>
  <c r="F9352" i="25"/>
  <c r="F9344" i="25"/>
  <c r="F9336" i="25"/>
  <c r="F9328" i="25"/>
  <c r="F9320" i="25"/>
  <c r="F9312" i="25"/>
  <c r="F9304" i="25"/>
  <c r="F9296" i="25"/>
  <c r="F9288" i="25"/>
  <c r="F9280" i="25"/>
  <c r="F9272" i="25"/>
  <c r="F9264" i="25"/>
  <c r="F9256" i="25"/>
  <c r="F9248" i="25"/>
  <c r="F9240" i="25"/>
  <c r="F9232" i="25"/>
  <c r="F9224" i="25"/>
  <c r="F9216" i="25"/>
  <c r="F9208" i="25"/>
  <c r="F9200" i="25"/>
  <c r="F9192" i="25"/>
  <c r="F9184" i="25"/>
  <c r="F9176" i="25"/>
  <c r="F9168" i="25"/>
  <c r="F9160" i="25"/>
  <c r="F9152" i="25"/>
  <c r="F9144" i="25"/>
  <c r="F9136" i="25"/>
  <c r="F9128" i="25"/>
  <c r="F9120" i="25"/>
  <c r="F9112" i="25"/>
  <c r="F9104" i="25"/>
  <c r="F9096" i="25"/>
  <c r="F9088" i="25"/>
  <c r="F9080" i="25"/>
  <c r="F9072" i="25"/>
  <c r="F9064" i="25"/>
  <c r="F9056" i="25"/>
  <c r="F9048" i="25"/>
  <c r="F9040" i="25"/>
  <c r="F9032" i="25"/>
  <c r="F9024" i="25"/>
  <c r="F9016" i="25"/>
  <c r="F9008" i="25"/>
  <c r="F9000" i="25"/>
  <c r="F8992" i="25"/>
  <c r="F8984" i="25"/>
  <c r="F8976" i="25"/>
  <c r="F8968" i="25"/>
  <c r="F8960" i="25"/>
  <c r="F8952" i="25"/>
  <c r="F8944" i="25"/>
  <c r="F8936" i="25"/>
  <c r="F8928" i="25"/>
  <c r="F8920" i="25"/>
  <c r="F8912" i="25"/>
  <c r="F8904" i="25"/>
  <c r="F8896" i="25"/>
  <c r="F8888" i="25"/>
  <c r="F8880" i="25"/>
  <c r="F8872" i="25"/>
  <c r="F8864" i="25"/>
  <c r="F8855" i="25"/>
  <c r="F8846" i="25"/>
  <c r="F8837" i="25"/>
  <c r="F8828" i="25"/>
  <c r="F8819" i="25"/>
  <c r="F8809" i="25"/>
  <c r="F8800" i="25"/>
  <c r="F8791" i="25"/>
  <c r="F8782" i="25"/>
  <c r="F8772" i="25"/>
  <c r="F8761" i="25"/>
  <c r="F8751" i="25"/>
  <c r="F8735" i="25"/>
  <c r="F8719" i="25"/>
  <c r="F8703" i="25"/>
  <c r="F8687" i="25"/>
  <c r="F8664" i="25"/>
  <c r="F8640" i="25"/>
  <c r="F8576" i="25"/>
  <c r="F8512" i="25"/>
  <c r="F8448" i="25"/>
  <c r="F8384" i="25"/>
  <c r="F8320" i="25"/>
  <c r="F8256" i="25"/>
  <c r="F8192" i="25"/>
  <c r="F8128" i="25"/>
  <c r="F8064" i="25"/>
  <c r="F8000" i="25"/>
  <c r="F7936" i="25"/>
  <c r="F7872" i="25"/>
  <c r="F7808" i="25"/>
  <c r="F7744" i="25"/>
  <c r="F7680" i="25"/>
  <c r="F7616" i="25"/>
  <c r="F7552" i="25"/>
  <c r="F7344" i="25"/>
  <c r="F7008" i="25"/>
  <c r="F6443" i="25"/>
  <c r="F9999" i="25"/>
  <c r="F9991" i="25"/>
  <c r="F9983" i="25"/>
  <c r="F9975" i="25"/>
  <c r="F9967" i="25"/>
  <c r="F9959" i="25"/>
  <c r="F9951" i="25"/>
  <c r="F9943" i="25"/>
  <c r="F9935" i="25"/>
  <c r="F9927" i="25"/>
  <c r="F9919" i="25"/>
  <c r="F9911" i="25"/>
  <c r="F9903" i="25"/>
  <c r="F9895" i="25"/>
  <c r="F9887" i="25"/>
  <c r="F9879" i="25"/>
  <c r="F9871" i="25"/>
  <c r="F9863" i="25"/>
  <c r="F9855" i="25"/>
  <c r="F9847" i="25"/>
  <c r="F9839" i="25"/>
  <c r="F9831" i="25"/>
  <c r="F9823" i="25"/>
  <c r="F9815" i="25"/>
  <c r="F9807" i="25"/>
  <c r="F9799" i="25"/>
  <c r="F9791" i="25"/>
  <c r="F9783" i="25"/>
  <c r="F9775" i="25"/>
  <c r="F9767" i="25"/>
  <c r="F9759" i="25"/>
  <c r="F9751" i="25"/>
  <c r="F9743" i="25"/>
  <c r="F9735" i="25"/>
  <c r="F9727" i="25"/>
  <c r="F9719" i="25"/>
  <c r="F9711" i="25"/>
  <c r="F9703" i="25"/>
  <c r="F9695" i="25"/>
  <c r="F9687" i="25"/>
  <c r="F9679" i="25"/>
  <c r="F9671" i="25"/>
  <c r="F9663" i="25"/>
  <c r="F9655" i="25"/>
  <c r="F9647" i="25"/>
  <c r="F9639" i="25"/>
  <c r="F9631" i="25"/>
  <c r="F9623" i="25"/>
  <c r="F9615" i="25"/>
  <c r="F9607" i="25"/>
  <c r="F9599" i="25"/>
  <c r="F9591" i="25"/>
  <c r="F9583" i="25"/>
  <c r="F9575" i="25"/>
  <c r="F9567" i="25"/>
  <c r="F9559" i="25"/>
  <c r="F9551" i="25"/>
  <c r="F9543" i="25"/>
  <c r="F9535" i="25"/>
  <c r="F9527" i="25"/>
  <c r="F9519" i="25"/>
  <c r="F9511" i="25"/>
  <c r="F9503" i="25"/>
  <c r="F9495" i="25"/>
  <c r="F9487" i="25"/>
  <c r="F9479" i="25"/>
  <c r="F9471" i="25"/>
  <c r="F9463" i="25"/>
  <c r="F9455" i="25"/>
  <c r="F9447" i="25"/>
  <c r="F9439" i="25"/>
  <c r="F9431" i="25"/>
  <c r="F9423" i="25"/>
  <c r="F9415" i="25"/>
  <c r="F9407" i="25"/>
  <c r="F9399" i="25"/>
  <c r="F9391" i="25"/>
  <c r="F9383" i="25"/>
  <c r="F9375" i="25"/>
  <c r="F9367" i="25"/>
  <c r="F9359" i="25"/>
  <c r="F9351" i="25"/>
  <c r="F9343" i="25"/>
  <c r="F9335" i="25"/>
  <c r="F9327" i="25"/>
  <c r="F9319" i="25"/>
  <c r="F9311" i="25"/>
  <c r="F9303" i="25"/>
  <c r="F9295" i="25"/>
  <c r="F9287" i="25"/>
  <c r="F9279" i="25"/>
  <c r="F9271" i="25"/>
  <c r="F9263" i="25"/>
  <c r="F9255" i="25"/>
  <c r="F9247" i="25"/>
  <c r="F9239" i="25"/>
  <c r="F9231" i="25"/>
  <c r="F9223" i="25"/>
  <c r="F9215" i="25"/>
  <c r="F9207" i="25"/>
  <c r="F9199" i="25"/>
  <c r="F9191" i="25"/>
  <c r="F9183" i="25"/>
  <c r="F9175" i="25"/>
  <c r="F9167" i="25"/>
  <c r="F9159" i="25"/>
  <c r="F9151" i="25"/>
  <c r="F9143" i="25"/>
  <c r="F9135" i="25"/>
  <c r="F9127" i="25"/>
  <c r="F9119" i="25"/>
  <c r="F9111" i="25"/>
  <c r="F9103" i="25"/>
  <c r="F9095" i="25"/>
  <c r="F9087" i="25"/>
  <c r="F9079" i="25"/>
  <c r="F9071" i="25"/>
  <c r="F9063" i="25"/>
  <c r="F9055" i="25"/>
  <c r="F9047" i="25"/>
  <c r="F9039" i="25"/>
  <c r="F9031" i="25"/>
  <c r="F9023" i="25"/>
  <c r="F9015" i="25"/>
  <c r="F9007" i="25"/>
  <c r="F8999" i="25"/>
  <c r="F8991" i="25"/>
  <c r="F8983" i="25"/>
  <c r="F8975" i="25"/>
  <c r="F8967" i="25"/>
  <c r="F8959" i="25"/>
  <c r="F8951" i="25"/>
  <c r="F8943" i="25"/>
  <c r="F8935" i="25"/>
  <c r="F8927" i="25"/>
  <c r="F8919" i="25"/>
  <c r="F8911" i="25"/>
  <c r="F8903" i="25"/>
  <c r="F8895" i="25"/>
  <c r="F8887" i="25"/>
  <c r="F8879" i="25"/>
  <c r="F8871" i="25"/>
  <c r="F8863" i="25"/>
  <c r="F8854" i="25"/>
  <c r="F8845" i="25"/>
  <c r="F8836" i="25"/>
  <c r="F8827" i="25"/>
  <c r="F8817" i="25"/>
  <c r="F8808" i="25"/>
  <c r="F8799" i="25"/>
  <c r="F8790" i="25"/>
  <c r="F8781" i="25"/>
  <c r="F8771" i="25"/>
  <c r="F8760" i="25"/>
  <c r="F8748" i="25"/>
  <c r="F8732" i="25"/>
  <c r="F8716" i="25"/>
  <c r="F8700" i="25"/>
  <c r="F8684" i="25"/>
  <c r="F8663" i="25"/>
  <c r="F8632" i="25"/>
  <c r="F8568" i="25"/>
  <c r="F8504" i="25"/>
  <c r="F8440" i="25"/>
  <c r="F8376" i="25"/>
  <c r="F8312" i="25"/>
  <c r="F8248" i="25"/>
  <c r="F8184" i="25"/>
  <c r="F8120" i="25"/>
  <c r="F8056" i="25"/>
  <c r="F7992" i="25"/>
  <c r="F7928" i="25"/>
  <c r="F7864" i="25"/>
  <c r="F7800" i="25"/>
  <c r="F7736" i="25"/>
  <c r="F7672" i="25"/>
  <c r="F7608" i="25"/>
  <c r="F7536" i="25"/>
  <c r="F7312" i="25"/>
  <c r="F6944" i="25"/>
  <c r="F9993" i="25"/>
  <c r="F9969" i="25"/>
  <c r="F9945" i="25"/>
  <c r="F9921" i="25"/>
  <c r="F9897" i="25"/>
  <c r="F9873" i="25"/>
  <c r="F9849" i="25"/>
  <c r="F9825" i="25"/>
  <c r="F9801" i="25"/>
  <c r="F9777" i="25"/>
  <c r="F9753" i="25"/>
  <c r="F9721" i="25"/>
  <c r="F9697" i="25"/>
  <c r="F9665" i="25"/>
  <c r="F9641" i="25"/>
  <c r="F9617" i="25"/>
  <c r="F9593" i="25"/>
  <c r="F9569" i="25"/>
  <c r="F9537" i="25"/>
  <c r="F9505" i="25"/>
  <c r="F9473" i="25"/>
  <c r="F9441" i="25"/>
  <c r="F9417" i="25"/>
  <c r="F9393" i="25"/>
  <c r="F9369" i="25"/>
  <c r="F9345" i="25"/>
  <c r="F9313" i="25"/>
  <c r="F5" i="25"/>
  <c r="F13" i="25"/>
  <c r="F21" i="25"/>
  <c r="F29" i="25"/>
  <c r="F37" i="25"/>
  <c r="F45" i="25"/>
  <c r="F53" i="25"/>
  <c r="F61" i="25"/>
  <c r="F69" i="25"/>
  <c r="F77" i="25"/>
  <c r="F85" i="25"/>
  <c r="F93" i="25"/>
  <c r="F101" i="25"/>
  <c r="F109" i="25"/>
  <c r="F117" i="25"/>
  <c r="F125" i="25"/>
  <c r="F133" i="25"/>
  <c r="F141" i="25"/>
  <c r="F149" i="25"/>
  <c r="F157" i="25"/>
  <c r="F165" i="25"/>
  <c r="F173" i="25"/>
  <c r="F181" i="25"/>
  <c r="F189" i="25"/>
  <c r="F197" i="25"/>
  <c r="F205" i="25"/>
  <c r="F213" i="25"/>
  <c r="F221" i="25"/>
  <c r="F229" i="25"/>
  <c r="F237" i="25"/>
  <c r="F245" i="25"/>
  <c r="F253" i="25"/>
  <c r="F261" i="25"/>
  <c r="F269" i="25"/>
  <c r="F277" i="25"/>
  <c r="F285" i="25"/>
  <c r="F293" i="25"/>
  <c r="F301" i="25"/>
  <c r="F309" i="25"/>
  <c r="F317" i="25"/>
  <c r="F325" i="25"/>
  <c r="F333" i="25"/>
  <c r="F341" i="25"/>
  <c r="F349" i="25"/>
  <c r="F357" i="25"/>
  <c r="F365" i="25"/>
  <c r="F373" i="25"/>
  <c r="F381" i="25"/>
  <c r="F389" i="25"/>
  <c r="F397" i="25"/>
  <c r="F405" i="25"/>
  <c r="F413" i="25"/>
  <c r="F421" i="25"/>
  <c r="F429" i="25"/>
  <c r="F437" i="25"/>
  <c r="F445" i="25"/>
  <c r="F453" i="25"/>
  <c r="F461" i="25"/>
  <c r="F469" i="25"/>
  <c r="F477" i="25"/>
  <c r="F485" i="25"/>
  <c r="F493" i="25"/>
  <c r="F501" i="25"/>
  <c r="F509" i="25"/>
  <c r="F517" i="25"/>
  <c r="F525" i="25"/>
  <c r="F533" i="25"/>
  <c r="F541" i="25"/>
  <c r="F549" i="25"/>
  <c r="F557" i="25"/>
  <c r="F565" i="25"/>
  <c r="F573" i="25"/>
  <c r="F581" i="25"/>
  <c r="F589" i="25"/>
  <c r="F597" i="25"/>
  <c r="F605" i="25"/>
  <c r="F613" i="25"/>
  <c r="F621" i="25"/>
  <c r="F629" i="25"/>
  <c r="F637" i="25"/>
  <c r="F645" i="25"/>
  <c r="F653" i="25"/>
  <c r="F661" i="25"/>
  <c r="F669" i="25"/>
  <c r="F677" i="25"/>
  <c r="F6" i="25"/>
  <c r="F14" i="25"/>
  <c r="F22" i="25"/>
  <c r="F30" i="25"/>
  <c r="F38" i="25"/>
  <c r="F46" i="25"/>
  <c r="F54" i="25"/>
  <c r="F62" i="25"/>
  <c r="F70" i="25"/>
  <c r="F78" i="25"/>
  <c r="F86" i="25"/>
  <c r="F94" i="25"/>
  <c r="F102" i="25"/>
  <c r="F110" i="25"/>
  <c r="F118" i="25"/>
  <c r="F126" i="25"/>
  <c r="F134" i="25"/>
  <c r="F142" i="25"/>
  <c r="F150" i="25"/>
  <c r="F158" i="25"/>
  <c r="F166" i="25"/>
  <c r="F174" i="25"/>
  <c r="F182" i="25"/>
  <c r="F190" i="25"/>
  <c r="F198" i="25"/>
  <c r="F206" i="25"/>
  <c r="F214" i="25"/>
  <c r="F222" i="25"/>
  <c r="F230" i="25"/>
  <c r="F238" i="25"/>
  <c r="F246" i="25"/>
  <c r="F254" i="25"/>
  <c r="F262" i="25"/>
  <c r="F270" i="25"/>
  <c r="F278" i="25"/>
  <c r="F286" i="25"/>
  <c r="F294" i="25"/>
  <c r="F302" i="25"/>
  <c r="F310" i="25"/>
  <c r="F318" i="25"/>
  <c r="F326" i="25"/>
  <c r="F334" i="25"/>
  <c r="F342" i="25"/>
  <c r="F350" i="25"/>
  <c r="F358" i="25"/>
  <c r="F366" i="25"/>
  <c r="F374" i="25"/>
  <c r="F382" i="25"/>
  <c r="F390" i="25"/>
  <c r="F398" i="25"/>
  <c r="F406" i="25"/>
  <c r="F414" i="25"/>
  <c r="F422" i="25"/>
  <c r="F430" i="25"/>
  <c r="F438" i="25"/>
  <c r="F446" i="25"/>
  <c r="F454" i="25"/>
  <c r="F462" i="25"/>
  <c r="F470" i="25"/>
  <c r="F478" i="25"/>
  <c r="F486" i="25"/>
  <c r="F494" i="25"/>
  <c r="F502" i="25"/>
  <c r="F510" i="25"/>
  <c r="F518" i="25"/>
  <c r="F526" i="25"/>
  <c r="F534" i="25"/>
  <c r="F542" i="25"/>
  <c r="F550" i="25"/>
  <c r="F558" i="25"/>
  <c r="F566" i="25"/>
  <c r="F574" i="25"/>
  <c r="F582" i="25"/>
  <c r="F590" i="25"/>
  <c r="F598" i="25"/>
  <c r="F606" i="25"/>
  <c r="F614" i="25"/>
  <c r="F622" i="25"/>
  <c r="F630" i="25"/>
  <c r="F638" i="25"/>
  <c r="F646" i="25"/>
  <c r="F654" i="25"/>
  <c r="F662" i="25"/>
  <c r="F670" i="25"/>
  <c r="F678" i="25"/>
  <c r="F7" i="25"/>
  <c r="F8" i="25"/>
  <c r="F9" i="25"/>
  <c r="F17" i="25"/>
  <c r="F25" i="25"/>
  <c r="F33" i="25"/>
  <c r="F41" i="25"/>
  <c r="F49" i="25"/>
  <c r="F57" i="25"/>
  <c r="F65" i="25"/>
  <c r="F73" i="25"/>
  <c r="F81" i="25"/>
  <c r="F89" i="25"/>
  <c r="F97" i="25"/>
  <c r="F105" i="25"/>
  <c r="F113" i="25"/>
  <c r="F121" i="25"/>
  <c r="F129" i="25"/>
  <c r="F137" i="25"/>
  <c r="F145" i="25"/>
  <c r="F153" i="25"/>
  <c r="F161" i="25"/>
  <c r="F169" i="25"/>
  <c r="F177" i="25"/>
  <c r="F185" i="25"/>
  <c r="F193" i="25"/>
  <c r="F201" i="25"/>
  <c r="F209" i="25"/>
  <c r="F217" i="25"/>
  <c r="F225" i="25"/>
  <c r="F233" i="25"/>
  <c r="F241" i="25"/>
  <c r="F249" i="25"/>
  <c r="F257" i="25"/>
  <c r="F265" i="25"/>
  <c r="F273" i="25"/>
  <c r="F281" i="25"/>
  <c r="F289" i="25"/>
  <c r="F297" i="25"/>
  <c r="F305" i="25"/>
  <c r="F313" i="25"/>
  <c r="F321" i="25"/>
  <c r="F329" i="25"/>
  <c r="F337" i="25"/>
  <c r="F345" i="25"/>
  <c r="F353" i="25"/>
  <c r="F361" i="25"/>
  <c r="F369" i="25"/>
  <c r="F377" i="25"/>
  <c r="F385" i="25"/>
  <c r="F393" i="25"/>
  <c r="F401" i="25"/>
  <c r="F409" i="25"/>
  <c r="F417" i="25"/>
  <c r="F425" i="25"/>
  <c r="F433" i="25"/>
  <c r="F441" i="25"/>
  <c r="F449" i="25"/>
  <c r="F457" i="25"/>
  <c r="F465" i="25"/>
  <c r="F473" i="25"/>
  <c r="F481" i="25"/>
  <c r="F489" i="25"/>
  <c r="F497" i="25"/>
  <c r="F505" i="25"/>
  <c r="F513" i="25"/>
  <c r="F521" i="25"/>
  <c r="F529" i="25"/>
  <c r="F537" i="25"/>
  <c r="F545" i="25"/>
  <c r="F553" i="25"/>
  <c r="F561" i="25"/>
  <c r="F569" i="25"/>
  <c r="F577" i="25"/>
  <c r="F585" i="25"/>
  <c r="F593" i="25"/>
  <c r="F601" i="25"/>
  <c r="F609" i="25"/>
  <c r="F617" i="25"/>
  <c r="F625" i="25"/>
  <c r="F633" i="25"/>
  <c r="F641" i="25"/>
  <c r="F649" i="25"/>
  <c r="F657" i="25"/>
  <c r="F665" i="25"/>
  <c r="F673" i="25"/>
  <c r="F681" i="25"/>
  <c r="F10" i="25"/>
  <c r="F11" i="25"/>
  <c r="F12" i="25"/>
  <c r="F20" i="25"/>
  <c r="F28" i="25"/>
  <c r="F36" i="25"/>
  <c r="F44" i="25"/>
  <c r="F52" i="25"/>
  <c r="F60" i="25"/>
  <c r="F68" i="25"/>
  <c r="F76" i="25"/>
  <c r="F84" i="25"/>
  <c r="F92" i="25"/>
  <c r="F100" i="25"/>
  <c r="F108" i="25"/>
  <c r="F116" i="25"/>
  <c r="F124" i="25"/>
  <c r="F132" i="25"/>
  <c r="F140" i="25"/>
  <c r="F148" i="25"/>
  <c r="F156" i="25"/>
  <c r="F164" i="25"/>
  <c r="F172" i="25"/>
  <c r="F15" i="25"/>
  <c r="F31" i="25"/>
  <c r="F47" i="25"/>
  <c r="F63" i="25"/>
  <c r="F79" i="25"/>
  <c r="F95" i="25"/>
  <c r="F111" i="25"/>
  <c r="F16" i="25"/>
  <c r="F32" i="25"/>
  <c r="F48" i="25"/>
  <c r="F64" i="25"/>
  <c r="F80" i="25"/>
  <c r="F96" i="25"/>
  <c r="F112" i="25"/>
  <c r="F128" i="25"/>
  <c r="F144" i="25"/>
  <c r="F160" i="25"/>
  <c r="F176" i="25"/>
  <c r="F188" i="25"/>
  <c r="F202" i="25"/>
  <c r="F215" i="25"/>
  <c r="F227" i="25"/>
  <c r="F240" i="25"/>
  <c r="F252" i="25"/>
  <c r="F266" i="25"/>
  <c r="F279" i="25"/>
  <c r="F291" i="25"/>
  <c r="F304" i="25"/>
  <c r="F316" i="25"/>
  <c r="F330" i="25"/>
  <c r="F343" i="25"/>
  <c r="F355" i="25"/>
  <c r="F368" i="25"/>
  <c r="F380" i="25"/>
  <c r="F394" i="25"/>
  <c r="F407" i="25"/>
  <c r="F419" i="25"/>
  <c r="F432" i="25"/>
  <c r="F444" i="25"/>
  <c r="F458" i="25"/>
  <c r="F471" i="25"/>
  <c r="F483" i="25"/>
  <c r="F496" i="25"/>
  <c r="F508" i="25"/>
  <c r="F522" i="25"/>
  <c r="F535" i="25"/>
  <c r="F547" i="25"/>
  <c r="F560" i="25"/>
  <c r="F572" i="25"/>
  <c r="F586" i="25"/>
  <c r="F599" i="25"/>
  <c r="F611" i="25"/>
  <c r="F624" i="25"/>
  <c r="F636" i="25"/>
  <c r="F650" i="25"/>
  <c r="F663" i="25"/>
  <c r="F675" i="25"/>
  <c r="F686" i="25"/>
  <c r="F694" i="25"/>
  <c r="F702" i="25"/>
  <c r="F710" i="25"/>
  <c r="F718" i="25"/>
  <c r="F726" i="25"/>
  <c r="F734" i="25"/>
  <c r="F742" i="25"/>
  <c r="F750" i="25"/>
  <c r="F758" i="25"/>
  <c r="F766" i="25"/>
  <c r="F774" i="25"/>
  <c r="F782" i="25"/>
  <c r="F790" i="25"/>
  <c r="F798" i="25"/>
  <c r="F806" i="25"/>
  <c r="F814" i="25"/>
  <c r="F822" i="25"/>
  <c r="F830" i="25"/>
  <c r="F838" i="25"/>
  <c r="F846" i="25"/>
  <c r="F854" i="25"/>
  <c r="F862" i="25"/>
  <c r="F870" i="25"/>
  <c r="F878" i="25"/>
  <c r="F886" i="25"/>
  <c r="F894" i="25"/>
  <c r="F902" i="25"/>
  <c r="F910" i="25"/>
  <c r="F918" i="25"/>
  <c r="F926" i="25"/>
  <c r="F934" i="25"/>
  <c r="F942" i="25"/>
  <c r="F950" i="25"/>
  <c r="F958" i="25"/>
  <c r="F966" i="25"/>
  <c r="F18" i="25"/>
  <c r="F34" i="25"/>
  <c r="F50" i="25"/>
  <c r="F66" i="25"/>
  <c r="F82" i="25"/>
  <c r="F98" i="25"/>
  <c r="F114" i="25"/>
  <c r="F130" i="25"/>
  <c r="F146" i="25"/>
  <c r="F162" i="25"/>
  <c r="F178" i="25"/>
  <c r="F191" i="25"/>
  <c r="F203" i="25"/>
  <c r="F216" i="25"/>
  <c r="F228" i="25"/>
  <c r="F242" i="25"/>
  <c r="F255" i="25"/>
  <c r="F267" i="25"/>
  <c r="F280" i="25"/>
  <c r="F292" i="25"/>
  <c r="F306" i="25"/>
  <c r="F319" i="25"/>
  <c r="F331" i="25"/>
  <c r="F344" i="25"/>
  <c r="F356" i="25"/>
  <c r="F370" i="25"/>
  <c r="F383" i="25"/>
  <c r="F395" i="25"/>
  <c r="F408" i="25"/>
  <c r="F420" i="25"/>
  <c r="F434" i="25"/>
  <c r="F447" i="25"/>
  <c r="F459" i="25"/>
  <c r="F472" i="25"/>
  <c r="F484" i="25"/>
  <c r="F498" i="25"/>
  <c r="F511" i="25"/>
  <c r="F523" i="25"/>
  <c r="F536" i="25"/>
  <c r="F548" i="25"/>
  <c r="F562" i="25"/>
  <c r="F575" i="25"/>
  <c r="F587" i="25"/>
  <c r="F600" i="25"/>
  <c r="F612" i="25"/>
  <c r="F626" i="25"/>
  <c r="F639" i="25"/>
  <c r="F651" i="25"/>
  <c r="F664" i="25"/>
  <c r="F676" i="25"/>
  <c r="F687" i="25"/>
  <c r="F695" i="25"/>
  <c r="F703" i="25"/>
  <c r="F711" i="25"/>
  <c r="F719" i="25"/>
  <c r="F727" i="25"/>
  <c r="F735" i="25"/>
  <c r="F743" i="25"/>
  <c r="F751" i="25"/>
  <c r="F759" i="25"/>
  <c r="F767" i="25"/>
  <c r="F775" i="25"/>
  <c r="F783" i="25"/>
  <c r="F791" i="25"/>
  <c r="F799" i="25"/>
  <c r="F807" i="25"/>
  <c r="F815" i="25"/>
  <c r="F823" i="25"/>
  <c r="F831" i="25"/>
  <c r="F839" i="25"/>
  <c r="F847" i="25"/>
  <c r="F855" i="25"/>
  <c r="F863" i="25"/>
  <c r="F871" i="25"/>
  <c r="F879" i="25"/>
  <c r="F887" i="25"/>
  <c r="F895" i="25"/>
  <c r="F903" i="25"/>
  <c r="F911" i="25"/>
  <c r="F919" i="25"/>
  <c r="F927" i="25"/>
  <c r="F935" i="25"/>
  <c r="F943" i="25"/>
  <c r="F951" i="25"/>
  <c r="F959" i="25"/>
  <c r="F19" i="25"/>
  <c r="F35" i="25"/>
  <c r="F51" i="25"/>
  <c r="F67" i="25"/>
  <c r="F83" i="25"/>
  <c r="F99" i="25"/>
  <c r="F115" i="25"/>
  <c r="F131" i="25"/>
  <c r="F147" i="25"/>
  <c r="F163" i="25"/>
  <c r="F179" i="25"/>
  <c r="F192" i="25"/>
  <c r="F204" i="25"/>
  <c r="F218" i="25"/>
  <c r="F231" i="25"/>
  <c r="F243" i="25"/>
  <c r="F256" i="25"/>
  <c r="F268" i="25"/>
  <c r="F282" i="25"/>
  <c r="F295" i="25"/>
  <c r="F307" i="25"/>
  <c r="F320" i="25"/>
  <c r="F332" i="25"/>
  <c r="F346" i="25"/>
  <c r="F359" i="25"/>
  <c r="F371" i="25"/>
  <c r="F384" i="25"/>
  <c r="F396" i="25"/>
  <c r="F410" i="25"/>
  <c r="F423" i="25"/>
  <c r="F435" i="25"/>
  <c r="F448" i="25"/>
  <c r="F460" i="25"/>
  <c r="F474" i="25"/>
  <c r="F487" i="25"/>
  <c r="F499" i="25"/>
  <c r="F512" i="25"/>
  <c r="F524" i="25"/>
  <c r="F538" i="25"/>
  <c r="F551" i="25"/>
  <c r="F563" i="25"/>
  <c r="F576" i="25"/>
  <c r="F588" i="25"/>
  <c r="F602" i="25"/>
  <c r="F615" i="25"/>
  <c r="F627" i="25"/>
  <c r="F640" i="25"/>
  <c r="F652" i="25"/>
  <c r="F666" i="25"/>
  <c r="F679" i="25"/>
  <c r="F688" i="25"/>
  <c r="F696" i="25"/>
  <c r="F704" i="25"/>
  <c r="F712" i="25"/>
  <c r="F720" i="25"/>
  <c r="F728" i="25"/>
  <c r="F736" i="25"/>
  <c r="F744" i="25"/>
  <c r="F752" i="25"/>
  <c r="F760" i="25"/>
  <c r="F768" i="25"/>
  <c r="F776" i="25"/>
  <c r="F784" i="25"/>
  <c r="F792" i="25"/>
  <c r="F800" i="25"/>
  <c r="F808" i="25"/>
  <c r="F816" i="25"/>
  <c r="F824" i="25"/>
  <c r="F832" i="25"/>
  <c r="F840" i="25"/>
  <c r="F848" i="25"/>
  <c r="F856" i="25"/>
  <c r="F864" i="25"/>
  <c r="F872" i="25"/>
  <c r="F880" i="25"/>
  <c r="F888" i="25"/>
  <c r="F896" i="25"/>
  <c r="F904" i="25"/>
  <c r="F912" i="25"/>
  <c r="F920" i="25"/>
  <c r="F928" i="25"/>
  <c r="F936" i="25"/>
  <c r="F944" i="25"/>
  <c r="F952" i="25"/>
  <c r="F960" i="25"/>
  <c r="F23" i="25"/>
  <c r="F39" i="25"/>
  <c r="F55" i="25"/>
  <c r="F71" i="25"/>
  <c r="F87" i="25"/>
  <c r="F103" i="25"/>
  <c r="F119" i="25"/>
  <c r="F135" i="25"/>
  <c r="F151" i="25"/>
  <c r="F167" i="25"/>
  <c r="F180" i="25"/>
  <c r="F194" i="25"/>
  <c r="F207" i="25"/>
  <c r="F219" i="25"/>
  <c r="F232" i="25"/>
  <c r="F244" i="25"/>
  <c r="F258" i="25"/>
  <c r="F271" i="25"/>
  <c r="F283" i="25"/>
  <c r="F296" i="25"/>
  <c r="F308" i="25"/>
  <c r="F322" i="25"/>
  <c r="F335" i="25"/>
  <c r="F347" i="25"/>
  <c r="F360" i="25"/>
  <c r="F372" i="25"/>
  <c r="F386" i="25"/>
  <c r="F399" i="25"/>
  <c r="F411" i="25"/>
  <c r="F424" i="25"/>
  <c r="F436" i="25"/>
  <c r="F450" i="25"/>
  <c r="F463" i="25"/>
  <c r="F475" i="25"/>
  <c r="F488" i="25"/>
  <c r="F500" i="25"/>
  <c r="F514" i="25"/>
  <c r="F527" i="25"/>
  <c r="F539" i="25"/>
  <c r="F552" i="25"/>
  <c r="F564" i="25"/>
  <c r="F24" i="25"/>
  <c r="F40" i="25"/>
  <c r="F56" i="25"/>
  <c r="F72" i="25"/>
  <c r="F88" i="25"/>
  <c r="F104" i="25"/>
  <c r="F120" i="25"/>
  <c r="F136" i="25"/>
  <c r="F152" i="25"/>
  <c r="F168" i="25"/>
  <c r="F183" i="25"/>
  <c r="F195" i="25"/>
  <c r="F208" i="25"/>
  <c r="F220" i="25"/>
  <c r="F234" i="25"/>
  <c r="F247" i="25"/>
  <c r="F259" i="25"/>
  <c r="F272" i="25"/>
  <c r="F284" i="25"/>
  <c r="F298" i="25"/>
  <c r="F311" i="25"/>
  <c r="F323" i="25"/>
  <c r="F336" i="25"/>
  <c r="F348" i="25"/>
  <c r="F362" i="25"/>
  <c r="F375" i="25"/>
  <c r="F387" i="25"/>
  <c r="F400" i="25"/>
  <c r="F412" i="25"/>
  <c r="F426" i="25"/>
  <c r="F439" i="25"/>
  <c r="F451" i="25"/>
  <c r="F464" i="25"/>
  <c r="F476" i="25"/>
  <c r="F490" i="25"/>
  <c r="F503" i="25"/>
  <c r="F515" i="25"/>
  <c r="F528" i="25"/>
  <c r="F540" i="25"/>
  <c r="F554" i="25"/>
  <c r="F567" i="25"/>
  <c r="F579" i="25"/>
  <c r="F592" i="25"/>
  <c r="F604" i="25"/>
  <c r="F618" i="25"/>
  <c r="F631" i="25"/>
  <c r="F643" i="25"/>
  <c r="F656" i="25"/>
  <c r="F668" i="25"/>
  <c r="F682" i="25"/>
  <c r="F690" i="25"/>
  <c r="F698" i="25"/>
  <c r="F706" i="25"/>
  <c r="F714" i="25"/>
  <c r="F722" i="25"/>
  <c r="F730" i="25"/>
  <c r="F738" i="25"/>
  <c r="F746" i="25"/>
  <c r="F754" i="25"/>
  <c r="F762" i="25"/>
  <c r="F770" i="25"/>
  <c r="F778" i="25"/>
  <c r="F786" i="25"/>
  <c r="F794" i="25"/>
  <c r="F802" i="25"/>
  <c r="F810" i="25"/>
  <c r="F818" i="25"/>
  <c r="F826" i="25"/>
  <c r="F834" i="25"/>
  <c r="F842" i="25"/>
  <c r="F850" i="25"/>
  <c r="F858" i="25"/>
  <c r="F866" i="25"/>
  <c r="F874" i="25"/>
  <c r="F882" i="25"/>
  <c r="F890" i="25"/>
  <c r="F898" i="25"/>
  <c r="F906" i="25"/>
  <c r="F26" i="25"/>
  <c r="F42" i="25"/>
  <c r="F58" i="25"/>
  <c r="F74" i="25"/>
  <c r="F90" i="25"/>
  <c r="F106" i="25"/>
  <c r="F122" i="25"/>
  <c r="F138" i="25"/>
  <c r="F154" i="25"/>
  <c r="F170" i="25"/>
  <c r="F184" i="25"/>
  <c r="F196" i="25"/>
  <c r="F210" i="25"/>
  <c r="F223" i="25"/>
  <c r="F235" i="25"/>
  <c r="F248" i="25"/>
  <c r="F260" i="25"/>
  <c r="F274" i="25"/>
  <c r="F287" i="25"/>
  <c r="F299" i="25"/>
  <c r="F312" i="25"/>
  <c r="F324" i="25"/>
  <c r="F338" i="25"/>
  <c r="F351" i="25"/>
  <c r="F363" i="25"/>
  <c r="F376" i="25"/>
  <c r="F388" i="25"/>
  <c r="F402" i="25"/>
  <c r="F415" i="25"/>
  <c r="F427" i="25"/>
  <c r="F440" i="25"/>
  <c r="F452" i="25"/>
  <c r="F466" i="25"/>
  <c r="F479" i="25"/>
  <c r="F491" i="25"/>
  <c r="F504" i="25"/>
  <c r="F516" i="25"/>
  <c r="F530" i="25"/>
  <c r="F543" i="25"/>
  <c r="F555" i="25"/>
  <c r="F568" i="25"/>
  <c r="F580" i="25"/>
  <c r="F594" i="25"/>
  <c r="F607" i="25"/>
  <c r="F619" i="25"/>
  <c r="F632" i="25"/>
  <c r="F644" i="25"/>
  <c r="F658" i="25"/>
  <c r="F671" i="25"/>
  <c r="F683" i="25"/>
  <c r="F691" i="25"/>
  <c r="F699" i="25"/>
  <c r="F707" i="25"/>
  <c r="F715" i="25"/>
  <c r="F723" i="25"/>
  <c r="F731" i="25"/>
  <c r="F739" i="25"/>
  <c r="F747" i="25"/>
  <c r="F755" i="25"/>
  <c r="F763" i="25"/>
  <c r="F771" i="25"/>
  <c r="F779" i="25"/>
  <c r="F787" i="25"/>
  <c r="F795" i="25"/>
  <c r="F27" i="25"/>
  <c r="F139" i="25"/>
  <c r="F199" i="25"/>
  <c r="F250" i="25"/>
  <c r="F300" i="25"/>
  <c r="F352" i="25"/>
  <c r="F403" i="25"/>
  <c r="F455" i="25"/>
  <c r="F506" i="25"/>
  <c r="F556" i="25"/>
  <c r="F595" i="25"/>
  <c r="F628" i="25"/>
  <c r="F660" i="25"/>
  <c r="F692" i="25"/>
  <c r="F713" i="25"/>
  <c r="F733" i="25"/>
  <c r="F756" i="25"/>
  <c r="F777" i="25"/>
  <c r="F797" i="25"/>
  <c r="F813" i="25"/>
  <c r="F829" i="25"/>
  <c r="F845" i="25"/>
  <c r="F861" i="25"/>
  <c r="F877" i="25"/>
  <c r="F893" i="25"/>
  <c r="F909" i="25"/>
  <c r="F923" i="25"/>
  <c r="F937" i="25"/>
  <c r="F948" i="25"/>
  <c r="F962" i="25"/>
  <c r="F971" i="25"/>
  <c r="F979" i="25"/>
  <c r="F987" i="25"/>
  <c r="F995" i="25"/>
  <c r="F1003" i="25"/>
  <c r="F1011" i="25"/>
  <c r="F1019" i="25"/>
  <c r="F1027" i="25"/>
  <c r="F1035" i="25"/>
  <c r="F1043" i="25"/>
  <c r="F1051" i="25"/>
  <c r="F1059" i="25"/>
  <c r="F1067" i="25"/>
  <c r="F1075" i="25"/>
  <c r="F1083" i="25"/>
  <c r="F1091" i="25"/>
  <c r="F1099" i="25"/>
  <c r="F1107" i="25"/>
  <c r="F1115" i="25"/>
  <c r="F1123" i="25"/>
  <c r="F1131" i="25"/>
  <c r="F1139" i="25"/>
  <c r="F1147" i="25"/>
  <c r="F1155" i="25"/>
  <c r="F1163" i="25"/>
  <c r="F1171" i="25"/>
  <c r="F1179" i="25"/>
  <c r="F1187" i="25"/>
  <c r="F1195" i="25"/>
  <c r="F1203" i="25"/>
  <c r="F1211" i="25"/>
  <c r="F1219" i="25"/>
  <c r="F1227" i="25"/>
  <c r="F1235" i="25"/>
  <c r="F1243" i="25"/>
  <c r="F1251" i="25"/>
  <c r="F1259" i="25"/>
  <c r="F1267" i="25"/>
  <c r="F1275" i="25"/>
  <c r="F1283" i="25"/>
  <c r="F1291" i="25"/>
  <c r="F1299" i="25"/>
  <c r="F1307" i="25"/>
  <c r="F1315" i="25"/>
  <c r="F1323" i="25"/>
  <c r="F1331" i="25"/>
  <c r="F1339" i="25"/>
  <c r="F1347" i="25"/>
  <c r="F1355" i="25"/>
  <c r="F1363" i="25"/>
  <c r="F1371" i="25"/>
  <c r="F1379" i="25"/>
  <c r="F1387" i="25"/>
  <c r="F1395" i="25"/>
  <c r="F1403" i="25"/>
  <c r="F1411" i="25"/>
  <c r="F1419" i="25"/>
  <c r="F1427" i="25"/>
  <c r="F1435" i="25"/>
  <c r="F1443" i="25"/>
  <c r="F1451" i="25"/>
  <c r="F1459" i="25"/>
  <c r="F1467" i="25"/>
  <c r="F1475" i="25"/>
  <c r="F1483" i="25"/>
  <c r="F43" i="25"/>
  <c r="F143" i="25"/>
  <c r="F200" i="25"/>
  <c r="F251" i="25"/>
  <c r="F303" i="25"/>
  <c r="F354" i="25"/>
  <c r="F404" i="25"/>
  <c r="F456" i="25"/>
  <c r="F507" i="25"/>
  <c r="F559" i="25"/>
  <c r="F596" i="25"/>
  <c r="F634" i="25"/>
  <c r="F667" i="25"/>
  <c r="F693" i="25"/>
  <c r="F716" i="25"/>
  <c r="F737" i="25"/>
  <c r="F757" i="25"/>
  <c r="F780" i="25"/>
  <c r="F801" i="25"/>
  <c r="F817" i="25"/>
  <c r="F833" i="25"/>
  <c r="F849" i="25"/>
  <c r="F865" i="25"/>
  <c r="F881" i="25"/>
  <c r="F897" i="25"/>
  <c r="F913" i="25"/>
  <c r="F924" i="25"/>
  <c r="F938" i="25"/>
  <c r="F949" i="25"/>
  <c r="F963" i="25"/>
  <c r="F972" i="25"/>
  <c r="F980" i="25"/>
  <c r="F988" i="25"/>
  <c r="F996" i="25"/>
  <c r="F1004" i="25"/>
  <c r="F1012" i="25"/>
  <c r="F1020" i="25"/>
  <c r="F1028" i="25"/>
  <c r="F1036" i="25"/>
  <c r="F1044" i="25"/>
  <c r="F1052" i="25"/>
  <c r="F1060" i="25"/>
  <c r="F1068" i="25"/>
  <c r="F1076" i="25"/>
  <c r="F1084" i="25"/>
  <c r="F1092" i="25"/>
  <c r="F1100" i="25"/>
  <c r="F1108" i="25"/>
  <c r="F1116" i="25"/>
  <c r="F1124" i="25"/>
  <c r="F1132" i="25"/>
  <c r="F1140" i="25"/>
  <c r="F1148" i="25"/>
  <c r="F1156" i="25"/>
  <c r="F1164" i="25"/>
  <c r="F1172" i="25"/>
  <c r="F1180" i="25"/>
  <c r="F1188" i="25"/>
  <c r="F1196" i="25"/>
  <c r="F1204" i="25"/>
  <c r="F1212" i="25"/>
  <c r="F1220" i="25"/>
  <c r="F1228" i="25"/>
  <c r="F1236" i="25"/>
  <c r="F1244" i="25"/>
  <c r="F1252" i="25"/>
  <c r="F1260" i="25"/>
  <c r="F1268" i="25"/>
  <c r="F1276" i="25"/>
  <c r="F1284" i="25"/>
  <c r="F1292" i="25"/>
  <c r="F1300" i="25"/>
  <c r="F1308" i="25"/>
  <c r="F1316" i="25"/>
  <c r="F1324" i="25"/>
  <c r="F1332" i="25"/>
  <c r="F1340" i="25"/>
  <c r="F1348" i="25"/>
  <c r="F1356" i="25"/>
  <c r="F1364" i="25"/>
  <c r="F1372" i="25"/>
  <c r="F1380" i="25"/>
  <c r="F1388" i="25"/>
  <c r="F1396" i="25"/>
  <c r="F1404" i="25"/>
  <c r="F1412" i="25"/>
  <c r="F1420" i="25"/>
  <c r="F1428" i="25"/>
  <c r="F1436" i="25"/>
  <c r="F1444" i="25"/>
  <c r="F1452" i="25"/>
  <c r="F1460" i="25"/>
  <c r="F1468" i="25"/>
  <c r="F1476" i="25"/>
  <c r="F1484" i="25"/>
  <c r="F1492" i="25"/>
  <c r="F1500" i="25"/>
  <c r="F1508" i="25"/>
  <c r="F1516" i="25"/>
  <c r="F1524" i="25"/>
  <c r="F1532" i="25"/>
  <c r="F1540" i="25"/>
  <c r="F1548" i="25"/>
  <c r="F1556" i="25"/>
  <c r="F1564" i="25"/>
  <c r="F59" i="25"/>
  <c r="F155" i="25"/>
  <c r="F211" i="25"/>
  <c r="F263" i="25"/>
  <c r="F314" i="25"/>
  <c r="F364" i="25"/>
  <c r="F416" i="25"/>
  <c r="F467" i="25"/>
  <c r="F519" i="25"/>
  <c r="F570" i="25"/>
  <c r="F603" i="25"/>
  <c r="F635" i="25"/>
  <c r="F672" i="25"/>
  <c r="F697" i="25"/>
  <c r="F717" i="25"/>
  <c r="F740" i="25"/>
  <c r="F761" i="25"/>
  <c r="F781" i="25"/>
  <c r="F803" i="25"/>
  <c r="F819" i="25"/>
  <c r="F835" i="25"/>
  <c r="F851" i="25"/>
  <c r="F867" i="25"/>
  <c r="F883" i="25"/>
  <c r="F899" i="25"/>
  <c r="F914" i="25"/>
  <c r="F925" i="25"/>
  <c r="F939" i="25"/>
  <c r="F953" i="25"/>
  <c r="F964" i="25"/>
  <c r="F973" i="25"/>
  <c r="F981" i="25"/>
  <c r="F989" i="25"/>
  <c r="F997" i="25"/>
  <c r="F1005" i="25"/>
  <c r="F1013" i="25"/>
  <c r="F1021" i="25"/>
  <c r="F1029" i="25"/>
  <c r="F1037" i="25"/>
  <c r="F1045" i="25"/>
  <c r="F1053" i="25"/>
  <c r="F1061" i="25"/>
  <c r="F1069" i="25"/>
  <c r="F1077" i="25"/>
  <c r="F1085" i="25"/>
  <c r="F1093" i="25"/>
  <c r="F1101" i="25"/>
  <c r="F1109" i="25"/>
  <c r="F1117" i="25"/>
  <c r="F1125" i="25"/>
  <c r="F1133" i="25"/>
  <c r="F1141" i="25"/>
  <c r="F1149" i="25"/>
  <c r="F1157" i="25"/>
  <c r="F1165" i="25"/>
  <c r="F1173" i="25"/>
  <c r="F1181" i="25"/>
  <c r="F1189" i="25"/>
  <c r="F1197" i="25"/>
  <c r="F1205" i="25"/>
  <c r="F1213" i="25"/>
  <c r="F1221" i="25"/>
  <c r="F1229" i="25"/>
  <c r="F1237" i="25"/>
  <c r="F1245" i="25"/>
  <c r="F1253" i="25"/>
  <c r="F1261" i="25"/>
  <c r="F1269" i="25"/>
  <c r="F1277" i="25"/>
  <c r="F1285" i="25"/>
  <c r="F1293" i="25"/>
  <c r="F1301" i="25"/>
  <c r="F1309" i="25"/>
  <c r="F1317" i="25"/>
  <c r="F1325" i="25"/>
  <c r="F1333" i="25"/>
  <c r="F1341" i="25"/>
  <c r="F1349" i="25"/>
  <c r="F1357" i="25"/>
  <c r="F1365" i="25"/>
  <c r="F1373" i="25"/>
  <c r="F1381" i="25"/>
  <c r="F1389" i="25"/>
  <c r="F1397" i="25"/>
  <c r="F1405" i="25"/>
  <c r="F1413" i="25"/>
  <c r="F75" i="25"/>
  <c r="F159" i="25"/>
  <c r="F212" i="25"/>
  <c r="F264" i="25"/>
  <c r="F315" i="25"/>
  <c r="F367" i="25"/>
  <c r="F418" i="25"/>
  <c r="F468" i="25"/>
  <c r="F520" i="25"/>
  <c r="F571" i="25"/>
  <c r="F608" i="25"/>
  <c r="F642" i="25"/>
  <c r="F674" i="25"/>
  <c r="F700" i="25"/>
  <c r="F721" i="25"/>
  <c r="F741" i="25"/>
  <c r="F764" i="25"/>
  <c r="F785" i="25"/>
  <c r="F804" i="25"/>
  <c r="F820" i="25"/>
  <c r="F836" i="25"/>
  <c r="F852" i="25"/>
  <c r="F868" i="25"/>
  <c r="F884" i="25"/>
  <c r="F900" i="25"/>
  <c r="F915" i="25"/>
  <c r="F929" i="25"/>
  <c r="F940" i="25"/>
  <c r="F954" i="25"/>
  <c r="F965" i="25"/>
  <c r="F974" i="25"/>
  <c r="F982" i="25"/>
  <c r="F990" i="25"/>
  <c r="F998" i="25"/>
  <c r="F1006" i="25"/>
  <c r="F1014" i="25"/>
  <c r="F1022" i="25"/>
  <c r="F1030" i="25"/>
  <c r="F1038" i="25"/>
  <c r="F1046" i="25"/>
  <c r="F1054" i="25"/>
  <c r="F1062" i="25"/>
  <c r="F1070" i="25"/>
  <c r="F1078" i="25"/>
  <c r="F1086" i="25"/>
  <c r="F1094" i="25"/>
  <c r="F1102" i="25"/>
  <c r="F1110" i="25"/>
  <c r="F1118" i="25"/>
  <c r="F1126" i="25"/>
  <c r="F1134" i="25"/>
  <c r="F1142" i="25"/>
  <c r="F1150" i="25"/>
  <c r="F1158" i="25"/>
  <c r="F1166" i="25"/>
  <c r="F1174" i="25"/>
  <c r="F1182" i="25"/>
  <c r="F1190" i="25"/>
  <c r="F1198" i="25"/>
  <c r="F1206" i="25"/>
  <c r="F1214" i="25"/>
  <c r="F1222" i="25"/>
  <c r="F1230" i="25"/>
  <c r="F1238" i="25"/>
  <c r="F1246" i="25"/>
  <c r="F1254" i="25"/>
  <c r="F1262" i="25"/>
  <c r="F1270" i="25"/>
  <c r="F1278" i="25"/>
  <c r="F1286" i="25"/>
  <c r="F1294" i="25"/>
  <c r="F1302" i="25"/>
  <c r="F1310" i="25"/>
  <c r="F1318" i="25"/>
  <c r="F1326" i="25"/>
  <c r="F1334" i="25"/>
  <c r="F1342" i="25"/>
  <c r="F1350" i="25"/>
  <c r="F1358" i="25"/>
  <c r="F1366" i="25"/>
  <c r="F1374" i="25"/>
  <c r="F1382" i="25"/>
  <c r="F1390" i="25"/>
  <c r="F1398" i="25"/>
  <c r="F1406" i="25"/>
  <c r="F1414" i="25"/>
  <c r="F1422" i="25"/>
  <c r="F91" i="25"/>
  <c r="F171" i="25"/>
  <c r="F224" i="25"/>
  <c r="F275" i="25"/>
  <c r="F327" i="25"/>
  <c r="F378" i="25"/>
  <c r="F428" i="25"/>
  <c r="F480" i="25"/>
  <c r="F531" i="25"/>
  <c r="F578" i="25"/>
  <c r="F610" i="25"/>
  <c r="F647" i="25"/>
  <c r="F680" i="25"/>
  <c r="F701" i="25"/>
  <c r="F724" i="25"/>
  <c r="F745" i="25"/>
  <c r="F765" i="25"/>
  <c r="F788" i="25"/>
  <c r="F805" i="25"/>
  <c r="F821" i="25"/>
  <c r="F837" i="25"/>
  <c r="F853" i="25"/>
  <c r="F869" i="25"/>
  <c r="F885" i="25"/>
  <c r="F901" i="25"/>
  <c r="F916" i="25"/>
  <c r="F930" i="25"/>
  <c r="F941" i="25"/>
  <c r="F955" i="25"/>
  <c r="F967" i="25"/>
  <c r="F975" i="25"/>
  <c r="F983" i="25"/>
  <c r="F991" i="25"/>
  <c r="F999" i="25"/>
  <c r="F1007" i="25"/>
  <c r="F1015" i="25"/>
  <c r="F1023" i="25"/>
  <c r="F1031" i="25"/>
  <c r="F1039" i="25"/>
  <c r="F1047" i="25"/>
  <c r="F1055" i="25"/>
  <c r="F1063" i="25"/>
  <c r="F1071" i="25"/>
  <c r="F1079" i="25"/>
  <c r="F1087" i="25"/>
  <c r="F1095" i="25"/>
  <c r="F1103" i="25"/>
  <c r="F1111" i="25"/>
  <c r="F1119" i="25"/>
  <c r="F1127" i="25"/>
  <c r="F1135" i="25"/>
  <c r="F1143" i="25"/>
  <c r="F1151" i="25"/>
  <c r="F1159" i="25"/>
  <c r="F1167" i="25"/>
  <c r="F1175" i="25"/>
  <c r="F1183" i="25"/>
  <c r="F1191" i="25"/>
  <c r="F1199" i="25"/>
  <c r="F1207" i="25"/>
  <c r="F1215" i="25"/>
  <c r="F1223" i="25"/>
  <c r="F1231" i="25"/>
  <c r="F1239" i="25"/>
  <c r="F1247" i="25"/>
  <c r="F1255" i="25"/>
  <c r="F1263" i="25"/>
  <c r="F1271" i="25"/>
  <c r="F1279" i="25"/>
  <c r="F1287" i="25"/>
  <c r="F1295" i="25"/>
  <c r="F1303" i="25"/>
  <c r="F1311" i="25"/>
  <c r="F1319" i="25"/>
  <c r="F1327" i="25"/>
  <c r="F1335" i="25"/>
  <c r="F1343" i="25"/>
  <c r="F1351" i="25"/>
  <c r="F1359" i="25"/>
  <c r="F1367" i="25"/>
  <c r="F1375" i="25"/>
  <c r="F1383" i="25"/>
  <c r="F1391" i="25"/>
  <c r="F1399" i="25"/>
  <c r="F1407" i="25"/>
  <c r="F1415" i="25"/>
  <c r="F1423" i="25"/>
  <c r="F107" i="25"/>
  <c r="F175" i="25"/>
  <c r="F226" i="25"/>
  <c r="F276" i="25"/>
  <c r="F328" i="25"/>
  <c r="F379" i="25"/>
  <c r="F431" i="25"/>
  <c r="F482" i="25"/>
  <c r="F532" i="25"/>
  <c r="F583" i="25"/>
  <c r="F616" i="25"/>
  <c r="F648" i="25"/>
  <c r="F684" i="25"/>
  <c r="F705" i="25"/>
  <c r="F725" i="25"/>
  <c r="F748" i="25"/>
  <c r="F769" i="25"/>
  <c r="F789" i="25"/>
  <c r="F809" i="25"/>
  <c r="F825" i="25"/>
  <c r="F841" i="25"/>
  <c r="F857" i="25"/>
  <c r="F873" i="25"/>
  <c r="F889" i="25"/>
  <c r="F905" i="25"/>
  <c r="F917" i="25"/>
  <c r="F931" i="25"/>
  <c r="F945" i="25"/>
  <c r="F956" i="25"/>
  <c r="F968" i="25"/>
  <c r="F976" i="25"/>
  <c r="F984" i="25"/>
  <c r="F992" i="25"/>
  <c r="F1000" i="25"/>
  <c r="F1008" i="25"/>
  <c r="F1016" i="25"/>
  <c r="F1024" i="25"/>
  <c r="F1032" i="25"/>
  <c r="F1040" i="25"/>
  <c r="F1048" i="25"/>
  <c r="F1056" i="25"/>
  <c r="F1064" i="25"/>
  <c r="F1072" i="25"/>
  <c r="F1080" i="25"/>
  <c r="F1088" i="25"/>
  <c r="F1096" i="25"/>
  <c r="F1104" i="25"/>
  <c r="F1112" i="25"/>
  <c r="F1120" i="25"/>
  <c r="F1128" i="25"/>
  <c r="F1136" i="25"/>
  <c r="F1144" i="25"/>
  <c r="F1152" i="25"/>
  <c r="F1160" i="25"/>
  <c r="F1168" i="25"/>
  <c r="F1176" i="25"/>
  <c r="F1184" i="25"/>
  <c r="F1192" i="25"/>
  <c r="F1200" i="25"/>
  <c r="F1208" i="25"/>
  <c r="F1216" i="25"/>
  <c r="F1224" i="25"/>
  <c r="F1232" i="25"/>
  <c r="F1240" i="25"/>
  <c r="F1248" i="25"/>
  <c r="F1256" i="25"/>
  <c r="F1264" i="25"/>
  <c r="F1272" i="25"/>
  <c r="F1280" i="25"/>
  <c r="F1288" i="25"/>
  <c r="F1296" i="25"/>
  <c r="F1304" i="25"/>
  <c r="F1312" i="25"/>
  <c r="F1320" i="25"/>
  <c r="F1328" i="25"/>
  <c r="F1336" i="25"/>
  <c r="F1344" i="25"/>
  <c r="F1352" i="25"/>
  <c r="F1360" i="25"/>
  <c r="F1368" i="25"/>
  <c r="F1376" i="25"/>
  <c r="F1384" i="25"/>
  <c r="F1392" i="25"/>
  <c r="F1400" i="25"/>
  <c r="F1408" i="25"/>
  <c r="F123" i="25"/>
  <c r="F186" i="25"/>
  <c r="F236" i="25"/>
  <c r="F288" i="25"/>
  <c r="F339" i="25"/>
  <c r="F391" i="25"/>
  <c r="F442" i="25"/>
  <c r="F492" i="25"/>
  <c r="F544" i="25"/>
  <c r="F584" i="25"/>
  <c r="F620" i="25"/>
  <c r="F655" i="25"/>
  <c r="F685" i="25"/>
  <c r="F708" i="25"/>
  <c r="F729" i="25"/>
  <c r="F749" i="25"/>
  <c r="F772" i="25"/>
  <c r="F793" i="25"/>
  <c r="F811" i="25"/>
  <c r="F827" i="25"/>
  <c r="F843" i="25"/>
  <c r="F859" i="25"/>
  <c r="F875" i="25"/>
  <c r="F891" i="25"/>
  <c r="F907" i="25"/>
  <c r="F921" i="25"/>
  <c r="F932" i="25"/>
  <c r="F946" i="25"/>
  <c r="F957" i="25"/>
  <c r="F969" i="25"/>
  <c r="F977" i="25"/>
  <c r="F985" i="25"/>
  <c r="F993" i="25"/>
  <c r="F1001" i="25"/>
  <c r="F1009" i="25"/>
  <c r="F1017" i="25"/>
  <c r="F1025" i="25"/>
  <c r="F1033" i="25"/>
  <c r="F1041" i="25"/>
  <c r="F1049" i="25"/>
  <c r="F1057" i="25"/>
  <c r="F1065" i="25"/>
  <c r="F1073" i="25"/>
  <c r="F1081" i="25"/>
  <c r="F1089" i="25"/>
  <c r="F1097" i="25"/>
  <c r="F1105" i="25"/>
  <c r="F1113" i="25"/>
  <c r="F1121" i="25"/>
  <c r="F1129" i="25"/>
  <c r="F1137" i="25"/>
  <c r="F1145" i="25"/>
  <c r="F1153" i="25"/>
  <c r="F1161" i="25"/>
  <c r="F1169" i="25"/>
  <c r="F1177" i="25"/>
  <c r="F1185" i="25"/>
  <c r="F1193" i="25"/>
  <c r="F1201" i="25"/>
  <c r="F1209" i="25"/>
  <c r="F1217" i="25"/>
  <c r="F1225" i="25"/>
  <c r="F1233" i="25"/>
  <c r="F1241" i="25"/>
  <c r="F1249" i="25"/>
  <c r="F1257" i="25"/>
  <c r="F1265" i="25"/>
  <c r="F1273" i="25"/>
  <c r="F1281" i="25"/>
  <c r="F1289" i="25"/>
  <c r="F1297" i="25"/>
  <c r="F1305" i="25"/>
  <c r="F1313" i="25"/>
  <c r="F1321" i="25"/>
  <c r="F1329" i="25"/>
  <c r="F1337" i="25"/>
  <c r="F1345" i="25"/>
  <c r="F1353" i="25"/>
  <c r="F1361" i="25"/>
  <c r="F1369" i="25"/>
  <c r="F127" i="25"/>
  <c r="F187" i="25"/>
  <c r="F239" i="25"/>
  <c r="F290" i="25"/>
  <c r="F340" i="25"/>
  <c r="F392" i="25"/>
  <c r="F443" i="25"/>
  <c r="F495" i="25"/>
  <c r="F546" i="25"/>
  <c r="F591" i="25"/>
  <c r="F623" i="25"/>
  <c r="F659" i="25"/>
  <c r="F689" i="25"/>
  <c r="F709" i="25"/>
  <c r="F732" i="25"/>
  <c r="F753" i="25"/>
  <c r="F773" i="25"/>
  <c r="F796" i="25"/>
  <c r="F812" i="25"/>
  <c r="F828" i="25"/>
  <c r="F844" i="25"/>
  <c r="F860" i="25"/>
  <c r="F876" i="25"/>
  <c r="F892" i="25"/>
  <c r="F908" i="25"/>
  <c r="F922" i="25"/>
  <c r="F933" i="25"/>
  <c r="F947" i="25"/>
  <c r="F961" i="25"/>
  <c r="F970" i="25"/>
  <c r="F978" i="25"/>
  <c r="F986" i="25"/>
  <c r="F994" i="25"/>
  <c r="F1002" i="25"/>
  <c r="F1010" i="25"/>
  <c r="F1018" i="25"/>
  <c r="F1026" i="25"/>
  <c r="F1034" i="25"/>
  <c r="F1042" i="25"/>
  <c r="F1050" i="25"/>
  <c r="F1058" i="25"/>
  <c r="F1066" i="25"/>
  <c r="F1074" i="25"/>
  <c r="F1082" i="25"/>
  <c r="F1090" i="25"/>
  <c r="F1098" i="25"/>
  <c r="F1106" i="25"/>
  <c r="F1114" i="25"/>
  <c r="F1122" i="25"/>
  <c r="F1130" i="25"/>
  <c r="F1138" i="25"/>
  <c r="F1146" i="25"/>
  <c r="F1154" i="25"/>
  <c r="F1162" i="25"/>
  <c r="F1170" i="25"/>
  <c r="F1178" i="25"/>
  <c r="F1186" i="25"/>
  <c r="F1194" i="25"/>
  <c r="F1202" i="25"/>
  <c r="F1210" i="25"/>
  <c r="F1218" i="25"/>
  <c r="F1226" i="25"/>
  <c r="F1234" i="25"/>
  <c r="F1242" i="25"/>
  <c r="F1250" i="25"/>
  <c r="F1258" i="25"/>
  <c r="F1266" i="25"/>
  <c r="F1274" i="25"/>
  <c r="F1282" i="25"/>
  <c r="F1290" i="25"/>
  <c r="F1298" i="25"/>
  <c r="F1306" i="25"/>
  <c r="F1314" i="25"/>
  <c r="F1322" i="25"/>
  <c r="F1330" i="25"/>
  <c r="F1385" i="25"/>
  <c r="F1416" i="25"/>
  <c r="F1430" i="25"/>
  <c r="F1440" i="25"/>
  <c r="F1450" i="25"/>
  <c r="F1462" i="25"/>
  <c r="F1472" i="25"/>
  <c r="F1482" i="25"/>
  <c r="F1493" i="25"/>
  <c r="F1502" i="25"/>
  <c r="F1511" i="25"/>
  <c r="F1520" i="25"/>
  <c r="F1529" i="25"/>
  <c r="F1538" i="25"/>
  <c r="F1547" i="25"/>
  <c r="F1557" i="25"/>
  <c r="F1566" i="25"/>
  <c r="F1574" i="25"/>
  <c r="F1582" i="25"/>
  <c r="F1590" i="25"/>
  <c r="F1598" i="25"/>
  <c r="F1606" i="25"/>
  <c r="F1614" i="25"/>
  <c r="F1622" i="25"/>
  <c r="F1630" i="25"/>
  <c r="F1638" i="25"/>
  <c r="F1646" i="25"/>
  <c r="F1654" i="25"/>
  <c r="F1662" i="25"/>
  <c r="F1670" i="25"/>
  <c r="F1678" i="25"/>
  <c r="F1686" i="25"/>
  <c r="F1694" i="25"/>
  <c r="F1702" i="25"/>
  <c r="F1710" i="25"/>
  <c r="F1718" i="25"/>
  <c r="F1726" i="25"/>
  <c r="F1734" i="25"/>
  <c r="F1742" i="25"/>
  <c r="F1750" i="25"/>
  <c r="F1758" i="25"/>
  <c r="F1766" i="25"/>
  <c r="F1774" i="25"/>
  <c r="F1782" i="25"/>
  <c r="F1790" i="25"/>
  <c r="F1798" i="25"/>
  <c r="F1806" i="25"/>
  <c r="F1814" i="25"/>
  <c r="F1822" i="25"/>
  <c r="F1830" i="25"/>
  <c r="F1838" i="25"/>
  <c r="F1846" i="25"/>
  <c r="F1854" i="25"/>
  <c r="F1862" i="25"/>
  <c r="F1870" i="25"/>
  <c r="F1878" i="25"/>
  <c r="F1886" i="25"/>
  <c r="F1894" i="25"/>
  <c r="F1902" i="25"/>
  <c r="F1910" i="25"/>
  <c r="F1918" i="25"/>
  <c r="F1926" i="25"/>
  <c r="F1934" i="25"/>
  <c r="F1942" i="25"/>
  <c r="F1950" i="25"/>
  <c r="F1958" i="25"/>
  <c r="F1966" i="25"/>
  <c r="F1974" i="25"/>
  <c r="F1982" i="25"/>
  <c r="F1990" i="25"/>
  <c r="F1998" i="25"/>
  <c r="F2006" i="25"/>
  <c r="F2014" i="25"/>
  <c r="F2022" i="25"/>
  <c r="F2030" i="25"/>
  <c r="F2038" i="25"/>
  <c r="F2046" i="25"/>
  <c r="F2054" i="25"/>
  <c r="F2062" i="25"/>
  <c r="F2070" i="25"/>
  <c r="F2078" i="25"/>
  <c r="F2086" i="25"/>
  <c r="F2094" i="25"/>
  <c r="F2102" i="25"/>
  <c r="F2110" i="25"/>
  <c r="F2118" i="25"/>
  <c r="F2126" i="25"/>
  <c r="F2134" i="25"/>
  <c r="F2142" i="25"/>
  <c r="F2150" i="25"/>
  <c r="F2158" i="25"/>
  <c r="F2166" i="25"/>
  <c r="F2174" i="25"/>
  <c r="F2182" i="25"/>
  <c r="F2190" i="25"/>
  <c r="F2198" i="25"/>
  <c r="F2206" i="25"/>
  <c r="F2214" i="25"/>
  <c r="F2222" i="25"/>
  <c r="F2230" i="25"/>
  <c r="F2238" i="25"/>
  <c r="F2246" i="25"/>
  <c r="F2254" i="25"/>
  <c r="F2262" i="25"/>
  <c r="F2270" i="25"/>
  <c r="F2278" i="25"/>
  <c r="F2286" i="25"/>
  <c r="F2294" i="25"/>
  <c r="F2302" i="25"/>
  <c r="F2310" i="25"/>
  <c r="F2318" i="25"/>
  <c r="F2326" i="25"/>
  <c r="F2334" i="25"/>
  <c r="F2342" i="25"/>
  <c r="F2350" i="25"/>
  <c r="F2358" i="25"/>
  <c r="F2366" i="25"/>
  <c r="F2374" i="25"/>
  <c r="F2382" i="25"/>
  <c r="F2390" i="25"/>
  <c r="F2398" i="25"/>
  <c r="F2406" i="25"/>
  <c r="F2414" i="25"/>
  <c r="F2422" i="25"/>
  <c r="F2430" i="25"/>
  <c r="F2438" i="25"/>
  <c r="F2446" i="25"/>
  <c r="F1338" i="25"/>
  <c r="F1386" i="25"/>
  <c r="F1417" i="25"/>
  <c r="F1431" i="25"/>
  <c r="F1441" i="25"/>
  <c r="F1453" i="25"/>
  <c r="F1463" i="25"/>
  <c r="F1473" i="25"/>
  <c r="F1485" i="25"/>
  <c r="F1494" i="25"/>
  <c r="F1503" i="25"/>
  <c r="F1512" i="25"/>
  <c r="F1521" i="25"/>
  <c r="F1530" i="25"/>
  <c r="F1539" i="25"/>
  <c r="F1549" i="25"/>
  <c r="F1558" i="25"/>
  <c r="F1567" i="25"/>
  <c r="F1575" i="25"/>
  <c r="F1583" i="25"/>
  <c r="F1591" i="25"/>
  <c r="F1599" i="25"/>
  <c r="F1607" i="25"/>
  <c r="F1615" i="25"/>
  <c r="F1623" i="25"/>
  <c r="F1631" i="25"/>
  <c r="F1639" i="25"/>
  <c r="F1647" i="25"/>
  <c r="F1655" i="25"/>
  <c r="F1663" i="25"/>
  <c r="F1671" i="25"/>
  <c r="F1679" i="25"/>
  <c r="F1687" i="25"/>
  <c r="F1695" i="25"/>
  <c r="F1703" i="25"/>
  <c r="F1711" i="25"/>
  <c r="F1719" i="25"/>
  <c r="F1727" i="25"/>
  <c r="F1735" i="25"/>
  <c r="F1743" i="25"/>
  <c r="F1751" i="25"/>
  <c r="F1759" i="25"/>
  <c r="F1767" i="25"/>
  <c r="F1775" i="25"/>
  <c r="F1783" i="25"/>
  <c r="F1791" i="25"/>
  <c r="F1799" i="25"/>
  <c r="F1807" i="25"/>
  <c r="F1815" i="25"/>
  <c r="F1823" i="25"/>
  <c r="F1831" i="25"/>
  <c r="F1839" i="25"/>
  <c r="F1847" i="25"/>
  <c r="F1855" i="25"/>
  <c r="F1863" i="25"/>
  <c r="F1871" i="25"/>
  <c r="F1879" i="25"/>
  <c r="F1887" i="25"/>
  <c r="F1895" i="25"/>
  <c r="F1903" i="25"/>
  <c r="F1911" i="25"/>
  <c r="F1919" i="25"/>
  <c r="F1927" i="25"/>
  <c r="F1935" i="25"/>
  <c r="F1943" i="25"/>
  <c r="F1951" i="25"/>
  <c r="F1959" i="25"/>
  <c r="F1967" i="25"/>
  <c r="F1975" i="25"/>
  <c r="F1983" i="25"/>
  <c r="F1991" i="25"/>
  <c r="F1999" i="25"/>
  <c r="F2007" i="25"/>
  <c r="F2015" i="25"/>
  <c r="F2023" i="25"/>
  <c r="F2031" i="25"/>
  <c r="F2039" i="25"/>
  <c r="F2047" i="25"/>
  <c r="F2055" i="25"/>
  <c r="F2063" i="25"/>
  <c r="F2071" i="25"/>
  <c r="F2079" i="25"/>
  <c r="F2087" i="25"/>
  <c r="F2095" i="25"/>
  <c r="F2103" i="25"/>
  <c r="F2111" i="25"/>
  <c r="F2119" i="25"/>
  <c r="F2127" i="25"/>
  <c r="F2135" i="25"/>
  <c r="F2143" i="25"/>
  <c r="F2151" i="25"/>
  <c r="F2159" i="25"/>
  <c r="F2167" i="25"/>
  <c r="F2175" i="25"/>
  <c r="F2183" i="25"/>
  <c r="F2191" i="25"/>
  <c r="F2199" i="25"/>
  <c r="F2207" i="25"/>
  <c r="F2215" i="25"/>
  <c r="F2223" i="25"/>
  <c r="F2231" i="25"/>
  <c r="F2239" i="25"/>
  <c r="F2247" i="25"/>
  <c r="F2255" i="25"/>
  <c r="F2263" i="25"/>
  <c r="F2271" i="25"/>
  <c r="F2279" i="25"/>
  <c r="F2287" i="25"/>
  <c r="F2295" i="25"/>
  <c r="F2303" i="25"/>
  <c r="F2311" i="25"/>
  <c r="F2319" i="25"/>
  <c r="F2327" i="25"/>
  <c r="F2335" i="25"/>
  <c r="F2343" i="25"/>
  <c r="F2351" i="25"/>
  <c r="F2359" i="25"/>
  <c r="F2367" i="25"/>
  <c r="F2375" i="25"/>
  <c r="F2383" i="25"/>
  <c r="F2391" i="25"/>
  <c r="F2399" i="25"/>
  <c r="F1346" i="25"/>
  <c r="F1393" i="25"/>
  <c r="F1418" i="25"/>
  <c r="F1432" i="25"/>
  <c r="F1442" i="25"/>
  <c r="F1454" i="25"/>
  <c r="F1464" i="25"/>
  <c r="F1474" i="25"/>
  <c r="F1486" i="25"/>
  <c r="F1495" i="25"/>
  <c r="F1504" i="25"/>
  <c r="F1513" i="25"/>
  <c r="F1522" i="25"/>
  <c r="F1531" i="25"/>
  <c r="F1541" i="25"/>
  <c r="F1550" i="25"/>
  <c r="F1559" i="25"/>
  <c r="F1568" i="25"/>
  <c r="F1576" i="25"/>
  <c r="F1584" i="25"/>
  <c r="F1592" i="25"/>
  <c r="F1600" i="25"/>
  <c r="F1608" i="25"/>
  <c r="F1616" i="25"/>
  <c r="F1624" i="25"/>
  <c r="F1632" i="25"/>
  <c r="F1640" i="25"/>
  <c r="F1648" i="25"/>
  <c r="F1656" i="25"/>
  <c r="F1664" i="25"/>
  <c r="F1672" i="25"/>
  <c r="F1680" i="25"/>
  <c r="F1688" i="25"/>
  <c r="F1696" i="25"/>
  <c r="F1704" i="25"/>
  <c r="F1712" i="25"/>
  <c r="F1720" i="25"/>
  <c r="F1728" i="25"/>
  <c r="F1736" i="25"/>
  <c r="F1744" i="25"/>
  <c r="F1752" i="25"/>
  <c r="F1760" i="25"/>
  <c r="F1768" i="25"/>
  <c r="F1776" i="25"/>
  <c r="F1784" i="25"/>
  <c r="F1792" i="25"/>
  <c r="F1800" i="25"/>
  <c r="F1808" i="25"/>
  <c r="F1816" i="25"/>
  <c r="F1824" i="25"/>
  <c r="F1832" i="25"/>
  <c r="F1840" i="25"/>
  <c r="F1848" i="25"/>
  <c r="F1856" i="25"/>
  <c r="F1864" i="25"/>
  <c r="F1872" i="25"/>
  <c r="F1880" i="25"/>
  <c r="F1888" i="25"/>
  <c r="F1896" i="25"/>
  <c r="F1904" i="25"/>
  <c r="F1912" i="25"/>
  <c r="F1920" i="25"/>
  <c r="F1928" i="25"/>
  <c r="F1936" i="25"/>
  <c r="F1944" i="25"/>
  <c r="F1952" i="25"/>
  <c r="F1960" i="25"/>
  <c r="F1968" i="25"/>
  <c r="F1976" i="25"/>
  <c r="F1984" i="25"/>
  <c r="F1992" i="25"/>
  <c r="F2000" i="25"/>
  <c r="F2008" i="25"/>
  <c r="F2016" i="25"/>
  <c r="F2024" i="25"/>
  <c r="F2032" i="25"/>
  <c r="F2040" i="25"/>
  <c r="F2048" i="25"/>
  <c r="F2056" i="25"/>
  <c r="F2064" i="25"/>
  <c r="F2072" i="25"/>
  <c r="F2080" i="25"/>
  <c r="F2088" i="25"/>
  <c r="F2096" i="25"/>
  <c r="F2104" i="25"/>
  <c r="F2112" i="25"/>
  <c r="F2120" i="25"/>
  <c r="F2128" i="25"/>
  <c r="F2136" i="25"/>
  <c r="F2144" i="25"/>
  <c r="F2152" i="25"/>
  <c r="F2160" i="25"/>
  <c r="F2168" i="25"/>
  <c r="F2176" i="25"/>
  <c r="F2184" i="25"/>
  <c r="F2192" i="25"/>
  <c r="F2200" i="25"/>
  <c r="F2208" i="25"/>
  <c r="F2216" i="25"/>
  <c r="F2224" i="25"/>
  <c r="F2232" i="25"/>
  <c r="F2240" i="25"/>
  <c r="F2248" i="25"/>
  <c r="F2256" i="25"/>
  <c r="F2264" i="25"/>
  <c r="F2272" i="25"/>
  <c r="F2280" i="25"/>
  <c r="F2288" i="25"/>
  <c r="F2296" i="25"/>
  <c r="F2304" i="25"/>
  <c r="F2312" i="25"/>
  <c r="F2320" i="25"/>
  <c r="F2328" i="25"/>
  <c r="F1354" i="25"/>
  <c r="F1394" i="25"/>
  <c r="F1421" i="25"/>
  <c r="F1433" i="25"/>
  <c r="F1445" i="25"/>
  <c r="F1455" i="25"/>
  <c r="F1465" i="25"/>
  <c r="F1477" i="25"/>
  <c r="F1487" i="25"/>
  <c r="F1496" i="25"/>
  <c r="F1505" i="25"/>
  <c r="F1514" i="25"/>
  <c r="F1523" i="25"/>
  <c r="F1533" i="25"/>
  <c r="F1542" i="25"/>
  <c r="F1551" i="25"/>
  <c r="F1560" i="25"/>
  <c r="F1569" i="25"/>
  <c r="F1577" i="25"/>
  <c r="F1585" i="25"/>
  <c r="F1593" i="25"/>
  <c r="F1601" i="25"/>
  <c r="F1609" i="25"/>
  <c r="F1617" i="25"/>
  <c r="F1625" i="25"/>
  <c r="F1633" i="25"/>
  <c r="F1641" i="25"/>
  <c r="F1649" i="25"/>
  <c r="F1657" i="25"/>
  <c r="F1665" i="25"/>
  <c r="F1673" i="25"/>
  <c r="F1681" i="25"/>
  <c r="F1689" i="25"/>
  <c r="F1697" i="25"/>
  <c r="F1705" i="25"/>
  <c r="F1713" i="25"/>
  <c r="F1721" i="25"/>
  <c r="F1729" i="25"/>
  <c r="F1737" i="25"/>
  <c r="F1745" i="25"/>
  <c r="F1753" i="25"/>
  <c r="F1761" i="25"/>
  <c r="F1769" i="25"/>
  <c r="F1777" i="25"/>
  <c r="F1785" i="25"/>
  <c r="F1793" i="25"/>
  <c r="F1801" i="25"/>
  <c r="F1809" i="25"/>
  <c r="F1817" i="25"/>
  <c r="F1825" i="25"/>
  <c r="F1833" i="25"/>
  <c r="F1841" i="25"/>
  <c r="F1849" i="25"/>
  <c r="F1857" i="25"/>
  <c r="F1865" i="25"/>
  <c r="F1873" i="25"/>
  <c r="F1881" i="25"/>
  <c r="F1889" i="25"/>
  <c r="F1897" i="25"/>
  <c r="F1905" i="25"/>
  <c r="F1913" i="25"/>
  <c r="F1921" i="25"/>
  <c r="F1929" i="25"/>
  <c r="F1937" i="25"/>
  <c r="F1945" i="25"/>
  <c r="F1953" i="25"/>
  <c r="F1961" i="25"/>
  <c r="F1969" i="25"/>
  <c r="F1977" i="25"/>
  <c r="F1985" i="25"/>
  <c r="F1993" i="25"/>
  <c r="F2001" i="25"/>
  <c r="F2009" i="25"/>
  <c r="F2017" i="25"/>
  <c r="F2025" i="25"/>
  <c r="F2033" i="25"/>
  <c r="F2041" i="25"/>
  <c r="F2049" i="25"/>
  <c r="F2057" i="25"/>
  <c r="F2065" i="25"/>
  <c r="F2073" i="25"/>
  <c r="F2081" i="25"/>
  <c r="F2089" i="25"/>
  <c r="F2097" i="25"/>
  <c r="F2105" i="25"/>
  <c r="F2113" i="25"/>
  <c r="F2121" i="25"/>
  <c r="F2129" i="25"/>
  <c r="F2137" i="25"/>
  <c r="F2145" i="25"/>
  <c r="F2153" i="25"/>
  <c r="F2161" i="25"/>
  <c r="F2169" i="25"/>
  <c r="F2177" i="25"/>
  <c r="F2185" i="25"/>
  <c r="F2193" i="25"/>
  <c r="F2201" i="25"/>
  <c r="F2209" i="25"/>
  <c r="F2217" i="25"/>
  <c r="F2225" i="25"/>
  <c r="F2233" i="25"/>
  <c r="F2241" i="25"/>
  <c r="F2249" i="25"/>
  <c r="F2257" i="25"/>
  <c r="F2265" i="25"/>
  <c r="F2273" i="25"/>
  <c r="F2281" i="25"/>
  <c r="F2289" i="25"/>
  <c r="F2297" i="25"/>
  <c r="F2305" i="25"/>
  <c r="F2313" i="25"/>
  <c r="F2321" i="25"/>
  <c r="F2329" i="25"/>
  <c r="F2337" i="25"/>
  <c r="F2345" i="25"/>
  <c r="F2353" i="25"/>
  <c r="F2361" i="25"/>
  <c r="F2369" i="25"/>
  <c r="F2377" i="25"/>
  <c r="F1362" i="25"/>
  <c r="F1401" i="25"/>
  <c r="F1424" i="25"/>
  <c r="F1434" i="25"/>
  <c r="F1446" i="25"/>
  <c r="F1456" i="25"/>
  <c r="F1466" i="25"/>
  <c r="F1478" i="25"/>
  <c r="F1488" i="25"/>
  <c r="F1497" i="25"/>
  <c r="F1506" i="25"/>
  <c r="F1515" i="25"/>
  <c r="F1525" i="25"/>
  <c r="F1534" i="25"/>
  <c r="F1543" i="25"/>
  <c r="F1552" i="25"/>
  <c r="F1561" i="25"/>
  <c r="F1570" i="25"/>
  <c r="F1578" i="25"/>
  <c r="F1586" i="25"/>
  <c r="F1594" i="25"/>
  <c r="F1602" i="25"/>
  <c r="F1610" i="25"/>
  <c r="F1618" i="25"/>
  <c r="F1626" i="25"/>
  <c r="F1634" i="25"/>
  <c r="F1642" i="25"/>
  <c r="F1650" i="25"/>
  <c r="F1658" i="25"/>
  <c r="F1666" i="25"/>
  <c r="F1674" i="25"/>
  <c r="F1682" i="25"/>
  <c r="F1690" i="25"/>
  <c r="F1698" i="25"/>
  <c r="F1706" i="25"/>
  <c r="F1714" i="25"/>
  <c r="F1722" i="25"/>
  <c r="F1730" i="25"/>
  <c r="F1738" i="25"/>
  <c r="F1746" i="25"/>
  <c r="F1754" i="25"/>
  <c r="F1762" i="25"/>
  <c r="F1770" i="25"/>
  <c r="F1778" i="25"/>
  <c r="F1786" i="25"/>
  <c r="F1794" i="25"/>
  <c r="F1802" i="25"/>
  <c r="F1810" i="25"/>
  <c r="F1818" i="25"/>
  <c r="F1826" i="25"/>
  <c r="F1834" i="25"/>
  <c r="F1842" i="25"/>
  <c r="F1850" i="25"/>
  <c r="F1858" i="25"/>
  <c r="F1866" i="25"/>
  <c r="F1874" i="25"/>
  <c r="F1882" i="25"/>
  <c r="F1890" i="25"/>
  <c r="F1898" i="25"/>
  <c r="F1906" i="25"/>
  <c r="F1914" i="25"/>
  <c r="F1922" i="25"/>
  <c r="F1930" i="25"/>
  <c r="F1938" i="25"/>
  <c r="F1946" i="25"/>
  <c r="F1954" i="25"/>
  <c r="F1962" i="25"/>
  <c r="F1970" i="25"/>
  <c r="F1978" i="25"/>
  <c r="F1986" i="25"/>
  <c r="F1994" i="25"/>
  <c r="F2002" i="25"/>
  <c r="F2010" i="25"/>
  <c r="F2018" i="25"/>
  <c r="F2026" i="25"/>
  <c r="F2034" i="25"/>
  <c r="F2042" i="25"/>
  <c r="F2050" i="25"/>
  <c r="F2058" i="25"/>
  <c r="F2066" i="25"/>
  <c r="F2074" i="25"/>
  <c r="F2082" i="25"/>
  <c r="F2090" i="25"/>
  <c r="F2098" i="25"/>
  <c r="F2106" i="25"/>
  <c r="F2114" i="25"/>
  <c r="F2122" i="25"/>
  <c r="F2130" i="25"/>
  <c r="F2138" i="25"/>
  <c r="F2146" i="25"/>
  <c r="F2154" i="25"/>
  <c r="F2162" i="25"/>
  <c r="F2170" i="25"/>
  <c r="F2178" i="25"/>
  <c r="F2186" i="25"/>
  <c r="F2194" i="25"/>
  <c r="F2202" i="25"/>
  <c r="F2210" i="25"/>
  <c r="F2218" i="25"/>
  <c r="F2226" i="25"/>
  <c r="F2234" i="25"/>
  <c r="F2242" i="25"/>
  <c r="F2250" i="25"/>
  <c r="F2258" i="25"/>
  <c r="F2266" i="25"/>
  <c r="F2274" i="25"/>
  <c r="F2282" i="25"/>
  <c r="F2290" i="25"/>
  <c r="F2298" i="25"/>
  <c r="F2306" i="25"/>
  <c r="F2314" i="25"/>
  <c r="F2322" i="25"/>
  <c r="F2330" i="25"/>
  <c r="F2338" i="25"/>
  <c r="F1370" i="25"/>
  <c r="F1402" i="25"/>
  <c r="F1425" i="25"/>
  <c r="F1437" i="25"/>
  <c r="F1447" i="25"/>
  <c r="F1457" i="25"/>
  <c r="F1469" i="25"/>
  <c r="F1479" i="25"/>
  <c r="F1489" i="25"/>
  <c r="F1498" i="25"/>
  <c r="F1507" i="25"/>
  <c r="F1517" i="25"/>
  <c r="F1526" i="25"/>
  <c r="F1535" i="25"/>
  <c r="F1544" i="25"/>
  <c r="F1553" i="25"/>
  <c r="F1562" i="25"/>
  <c r="F1571" i="25"/>
  <c r="F1579" i="25"/>
  <c r="F1587" i="25"/>
  <c r="F1595" i="25"/>
  <c r="F1603" i="25"/>
  <c r="F1611" i="25"/>
  <c r="F1619" i="25"/>
  <c r="F1627" i="25"/>
  <c r="F1635" i="25"/>
  <c r="F1643" i="25"/>
  <c r="F1651" i="25"/>
  <c r="F1659" i="25"/>
  <c r="F1667" i="25"/>
  <c r="F1675" i="25"/>
  <c r="F1683" i="25"/>
  <c r="F1691" i="25"/>
  <c r="F1699" i="25"/>
  <c r="F1707" i="25"/>
  <c r="F1715" i="25"/>
  <c r="F1723" i="25"/>
  <c r="F1731" i="25"/>
  <c r="F1739" i="25"/>
  <c r="F1747" i="25"/>
  <c r="F1755" i="25"/>
  <c r="F1763" i="25"/>
  <c r="F1771" i="25"/>
  <c r="F1779" i="25"/>
  <c r="F1787" i="25"/>
  <c r="F1795" i="25"/>
  <c r="F1803" i="25"/>
  <c r="F1811" i="25"/>
  <c r="F1819" i="25"/>
  <c r="F1827" i="25"/>
  <c r="F1835" i="25"/>
  <c r="F1843" i="25"/>
  <c r="F1851" i="25"/>
  <c r="F1859" i="25"/>
  <c r="F1867" i="25"/>
  <c r="F1875" i="25"/>
  <c r="F1883" i="25"/>
  <c r="F1891" i="25"/>
  <c r="F1899" i="25"/>
  <c r="F1907" i="25"/>
  <c r="F1915" i="25"/>
  <c r="F1923" i="25"/>
  <c r="F1931" i="25"/>
  <c r="F1939" i="25"/>
  <c r="F1947" i="25"/>
  <c r="F1955" i="25"/>
  <c r="F1963" i="25"/>
  <c r="F1971" i="25"/>
  <c r="F1979" i="25"/>
  <c r="F1987" i="25"/>
  <c r="F1995" i="25"/>
  <c r="F2003" i="25"/>
  <c r="F2011" i="25"/>
  <c r="F2019" i="25"/>
  <c r="F2027" i="25"/>
  <c r="F2035" i="25"/>
  <c r="F2043" i="25"/>
  <c r="F2051" i="25"/>
  <c r="F2059" i="25"/>
  <c r="F2067" i="25"/>
  <c r="F2075" i="25"/>
  <c r="F2083" i="25"/>
  <c r="F2091" i="25"/>
  <c r="F2099" i="25"/>
  <c r="F2107" i="25"/>
  <c r="F2115" i="25"/>
  <c r="F2123" i="25"/>
  <c r="F2131" i="25"/>
  <c r="F2139" i="25"/>
  <c r="F2147" i="25"/>
  <c r="F1377" i="25"/>
  <c r="F1409" i="25"/>
  <c r="F1426" i="25"/>
  <c r="F1438" i="25"/>
  <c r="F1448" i="25"/>
  <c r="F1458" i="25"/>
  <c r="F1470" i="25"/>
  <c r="F1480" i="25"/>
  <c r="F1490" i="25"/>
  <c r="F1499" i="25"/>
  <c r="F1509" i="25"/>
  <c r="F1518" i="25"/>
  <c r="F1527" i="25"/>
  <c r="F1536" i="25"/>
  <c r="F1545" i="25"/>
  <c r="F1554" i="25"/>
  <c r="F1563" i="25"/>
  <c r="F1572" i="25"/>
  <c r="F1580" i="25"/>
  <c r="F1588" i="25"/>
  <c r="F1596" i="25"/>
  <c r="F1604" i="25"/>
  <c r="F1612" i="25"/>
  <c r="F1620" i="25"/>
  <c r="F1628" i="25"/>
  <c r="F1636" i="25"/>
  <c r="F1644" i="25"/>
  <c r="F1652" i="25"/>
  <c r="F1660" i="25"/>
  <c r="F1668" i="25"/>
  <c r="F1676" i="25"/>
  <c r="F1684" i="25"/>
  <c r="F1692" i="25"/>
  <c r="F1700" i="25"/>
  <c r="F1708" i="25"/>
  <c r="F1716" i="25"/>
  <c r="F1724" i="25"/>
  <c r="F1732" i="25"/>
  <c r="F1740" i="25"/>
  <c r="F1748" i="25"/>
  <c r="F1756" i="25"/>
  <c r="F1764" i="25"/>
  <c r="F1772" i="25"/>
  <c r="F1780" i="25"/>
  <c r="F1788" i="25"/>
  <c r="F1796" i="25"/>
  <c r="F1804" i="25"/>
  <c r="F1812" i="25"/>
  <c r="F1820" i="25"/>
  <c r="F1828" i="25"/>
  <c r="F1836" i="25"/>
  <c r="F1844" i="25"/>
  <c r="F1852" i="25"/>
  <c r="F1860" i="25"/>
  <c r="F1868" i="25"/>
  <c r="F1876" i="25"/>
  <c r="F1884" i="25"/>
  <c r="F1892" i="25"/>
  <c r="F1900" i="25"/>
  <c r="F1908" i="25"/>
  <c r="F1916" i="25"/>
  <c r="F1924" i="25"/>
  <c r="F1932" i="25"/>
  <c r="F1940" i="25"/>
  <c r="F1948" i="25"/>
  <c r="F1956" i="25"/>
  <c r="F1964" i="25"/>
  <c r="F1972" i="25"/>
  <c r="F1980" i="25"/>
  <c r="F1988" i="25"/>
  <c r="F1996" i="25"/>
  <c r="F2004" i="25"/>
  <c r="F2012" i="25"/>
  <c r="F2020" i="25"/>
  <c r="F2028" i="25"/>
  <c r="F2036" i="25"/>
  <c r="F2044" i="25"/>
  <c r="F2052" i="25"/>
  <c r="F2060" i="25"/>
  <c r="F2068" i="25"/>
  <c r="F2076" i="25"/>
  <c r="F2084" i="25"/>
  <c r="F2092" i="25"/>
  <c r="F2100" i="25"/>
  <c r="F2108" i="25"/>
  <c r="F1378" i="25"/>
  <c r="F1491" i="25"/>
  <c r="F1565" i="25"/>
  <c r="F1629" i="25"/>
  <c r="F1693" i="25"/>
  <c r="F1757" i="25"/>
  <c r="F1821" i="25"/>
  <c r="F1885" i="25"/>
  <c r="F1949" i="25"/>
  <c r="F2013" i="25"/>
  <c r="F2077" i="25"/>
  <c r="F2125" i="25"/>
  <c r="F2156" i="25"/>
  <c r="F2179" i="25"/>
  <c r="F2197" i="25"/>
  <c r="F2220" i="25"/>
  <c r="F2243" i="25"/>
  <c r="F2261" i="25"/>
  <c r="F2284" i="25"/>
  <c r="F2307" i="25"/>
  <c r="F2325" i="25"/>
  <c r="F2344" i="25"/>
  <c r="F2356" i="25"/>
  <c r="F2370" i="25"/>
  <c r="F2381" i="25"/>
  <c r="F2393" i="25"/>
  <c r="F2403" i="25"/>
  <c r="F2412" i="25"/>
  <c r="F2421" i="25"/>
  <c r="F2431" i="25"/>
  <c r="F2440" i="25"/>
  <c r="F2449" i="25"/>
  <c r="F2457" i="25"/>
  <c r="F2465" i="25"/>
  <c r="F2473" i="25"/>
  <c r="F2481" i="25"/>
  <c r="F2489" i="25"/>
  <c r="F2497" i="25"/>
  <c r="F2505" i="25"/>
  <c r="F2513" i="25"/>
  <c r="F2521" i="25"/>
  <c r="F2529" i="25"/>
  <c r="F2537" i="25"/>
  <c r="F2545" i="25"/>
  <c r="F2553" i="25"/>
  <c r="F2561" i="25"/>
  <c r="F2569" i="25"/>
  <c r="F2577" i="25"/>
  <c r="F2585" i="25"/>
  <c r="F2593" i="25"/>
  <c r="F2601" i="25"/>
  <c r="F2609" i="25"/>
  <c r="F2617" i="25"/>
  <c r="F2625" i="25"/>
  <c r="F2633" i="25"/>
  <c r="F2641" i="25"/>
  <c r="F2649" i="25"/>
  <c r="F2657" i="25"/>
  <c r="F2665" i="25"/>
  <c r="F2673" i="25"/>
  <c r="F2681" i="25"/>
  <c r="F2689" i="25"/>
  <c r="F2697" i="25"/>
  <c r="F2705" i="25"/>
  <c r="F2713" i="25"/>
  <c r="F2721" i="25"/>
  <c r="F2729" i="25"/>
  <c r="F2737" i="25"/>
  <c r="F2745" i="25"/>
  <c r="F2753" i="25"/>
  <c r="F2761" i="25"/>
  <c r="F2769" i="25"/>
  <c r="F2777" i="25"/>
  <c r="F2785" i="25"/>
  <c r="F2793" i="25"/>
  <c r="F2801" i="25"/>
  <c r="F2809" i="25"/>
  <c r="F2817" i="25"/>
  <c r="F2825" i="25"/>
  <c r="F2833" i="25"/>
  <c r="F2841" i="25"/>
  <c r="F2849" i="25"/>
  <c r="F2857" i="25"/>
  <c r="F2865" i="25"/>
  <c r="F2873" i="25"/>
  <c r="F2881" i="25"/>
  <c r="F2889" i="25"/>
  <c r="F2897" i="25"/>
  <c r="F2905" i="25"/>
  <c r="F2913" i="25"/>
  <c r="F2921" i="25"/>
  <c r="F2929" i="25"/>
  <c r="F2937" i="25"/>
  <c r="F2945" i="25"/>
  <c r="F2953" i="25"/>
  <c r="F2961" i="25"/>
  <c r="F2969" i="25"/>
  <c r="F2977" i="25"/>
  <c r="F2985" i="25"/>
  <c r="F2993" i="25"/>
  <c r="F3001" i="25"/>
  <c r="F3009" i="25"/>
  <c r="F1410" i="25"/>
  <c r="F1501" i="25"/>
  <c r="F1573" i="25"/>
  <c r="F1637" i="25"/>
  <c r="F1701" i="25"/>
  <c r="F1765" i="25"/>
  <c r="F1829" i="25"/>
  <c r="F1893" i="25"/>
  <c r="F1957" i="25"/>
  <c r="F2021" i="25"/>
  <c r="F2085" i="25"/>
  <c r="F2132" i="25"/>
  <c r="F2157" i="25"/>
  <c r="F2180" i="25"/>
  <c r="F2203" i="25"/>
  <c r="F2221" i="25"/>
  <c r="F2244" i="25"/>
  <c r="F2267" i="25"/>
  <c r="F2285" i="25"/>
  <c r="F2308" i="25"/>
  <c r="F2331" i="25"/>
  <c r="F2346" i="25"/>
  <c r="F2357" i="25"/>
  <c r="F2371" i="25"/>
  <c r="F2384" i="25"/>
  <c r="F2394" i="25"/>
  <c r="F2404" i="25"/>
  <c r="F2413" i="25"/>
  <c r="F2423" i="25"/>
  <c r="F2432" i="25"/>
  <c r="F2441" i="25"/>
  <c r="F2450" i="25"/>
  <c r="F2458" i="25"/>
  <c r="F2466" i="25"/>
  <c r="F2474" i="25"/>
  <c r="F2482" i="25"/>
  <c r="F2490" i="25"/>
  <c r="F2498" i="25"/>
  <c r="F2506" i="25"/>
  <c r="F2514" i="25"/>
  <c r="F2522" i="25"/>
  <c r="F2530" i="25"/>
  <c r="F2538" i="25"/>
  <c r="F2546" i="25"/>
  <c r="F2554" i="25"/>
  <c r="F2562" i="25"/>
  <c r="F2570" i="25"/>
  <c r="F2578" i="25"/>
  <c r="F2586" i="25"/>
  <c r="F2594" i="25"/>
  <c r="F2602" i="25"/>
  <c r="F2610" i="25"/>
  <c r="F2618" i="25"/>
  <c r="F2626" i="25"/>
  <c r="F2634" i="25"/>
  <c r="F2642" i="25"/>
  <c r="F2650" i="25"/>
  <c r="F2658" i="25"/>
  <c r="F2666" i="25"/>
  <c r="F2674" i="25"/>
  <c r="F2682" i="25"/>
  <c r="F2690" i="25"/>
  <c r="F2698" i="25"/>
  <c r="F2706" i="25"/>
  <c r="F2714" i="25"/>
  <c r="F2722" i="25"/>
  <c r="F2730" i="25"/>
  <c r="F2738" i="25"/>
  <c r="F2746" i="25"/>
  <c r="F2754" i="25"/>
  <c r="F2762" i="25"/>
  <c r="F2770" i="25"/>
  <c r="F2778" i="25"/>
  <c r="F2786" i="25"/>
  <c r="F2794" i="25"/>
  <c r="F2802" i="25"/>
  <c r="F2810" i="25"/>
  <c r="F2818" i="25"/>
  <c r="F2826" i="25"/>
  <c r="F2834" i="25"/>
  <c r="F2842" i="25"/>
  <c r="F2850" i="25"/>
  <c r="F2858" i="25"/>
  <c r="F2866" i="25"/>
  <c r="F2874" i="25"/>
  <c r="F2882" i="25"/>
  <c r="F2890" i="25"/>
  <c r="F2898" i="25"/>
  <c r="F2906" i="25"/>
  <c r="F2914" i="25"/>
  <c r="F2922" i="25"/>
  <c r="F2930" i="25"/>
  <c r="F2938" i="25"/>
  <c r="F2946" i="25"/>
  <c r="F2954" i="25"/>
  <c r="F2962" i="25"/>
  <c r="F2970" i="25"/>
  <c r="F2978" i="25"/>
  <c r="F2986" i="25"/>
  <c r="F2994" i="25"/>
  <c r="F3002" i="25"/>
  <c r="F1429" i="25"/>
  <c r="F1510" i="25"/>
  <c r="F1581" i="25"/>
  <c r="F1645" i="25"/>
  <c r="F1709" i="25"/>
  <c r="F1773" i="25"/>
  <c r="F1837" i="25"/>
  <c r="F1901" i="25"/>
  <c r="F1965" i="25"/>
  <c r="F2029" i="25"/>
  <c r="F2093" i="25"/>
  <c r="F2133" i="25"/>
  <c r="F2163" i="25"/>
  <c r="F2181" i="25"/>
  <c r="F2204" i="25"/>
  <c r="F2227" i="25"/>
  <c r="F2245" i="25"/>
  <c r="F2268" i="25"/>
  <c r="F2291" i="25"/>
  <c r="F2309" i="25"/>
  <c r="F2332" i="25"/>
  <c r="F2347" i="25"/>
  <c r="F2360" i="25"/>
  <c r="F2372" i="25"/>
  <c r="F2385" i="25"/>
  <c r="F2395" i="25"/>
  <c r="F2405" i="25"/>
  <c r="F2415" i="25"/>
  <c r="F2424" i="25"/>
  <c r="F2433" i="25"/>
  <c r="F2442" i="25"/>
  <c r="F2451" i="25"/>
  <c r="F2459" i="25"/>
  <c r="F2467" i="25"/>
  <c r="F2475" i="25"/>
  <c r="F2483" i="25"/>
  <c r="F2491" i="25"/>
  <c r="F2499" i="25"/>
  <c r="F2507" i="25"/>
  <c r="F2515" i="25"/>
  <c r="F2523" i="25"/>
  <c r="F2531" i="25"/>
  <c r="F2539" i="25"/>
  <c r="F2547" i="25"/>
  <c r="F2555" i="25"/>
  <c r="F2563" i="25"/>
  <c r="F2571" i="25"/>
  <c r="F2579" i="25"/>
  <c r="F2587" i="25"/>
  <c r="F2595" i="25"/>
  <c r="F2603" i="25"/>
  <c r="F2611" i="25"/>
  <c r="F2619" i="25"/>
  <c r="F2627" i="25"/>
  <c r="F2635" i="25"/>
  <c r="F2643" i="25"/>
  <c r="F2651" i="25"/>
  <c r="F2659" i="25"/>
  <c r="F2667" i="25"/>
  <c r="F2675" i="25"/>
  <c r="F2683" i="25"/>
  <c r="F2691" i="25"/>
  <c r="F2699" i="25"/>
  <c r="F2707" i="25"/>
  <c r="F2715" i="25"/>
  <c r="F2723" i="25"/>
  <c r="F2731" i="25"/>
  <c r="F2739" i="25"/>
  <c r="F2747" i="25"/>
  <c r="F2755" i="25"/>
  <c r="F2763" i="25"/>
  <c r="F2771" i="25"/>
  <c r="F2779" i="25"/>
  <c r="F2787" i="25"/>
  <c r="F2795" i="25"/>
  <c r="F2803" i="25"/>
  <c r="F2811" i="25"/>
  <c r="F2819" i="25"/>
  <c r="F2827" i="25"/>
  <c r="F2835" i="25"/>
  <c r="F2843" i="25"/>
  <c r="F2851" i="25"/>
  <c r="F2859" i="25"/>
  <c r="F2867" i="25"/>
  <c r="F2875" i="25"/>
  <c r="F2883" i="25"/>
  <c r="F2891" i="25"/>
  <c r="F2899" i="25"/>
  <c r="F2907" i="25"/>
  <c r="F2915" i="25"/>
  <c r="F2923" i="25"/>
  <c r="F2931" i="25"/>
  <c r="F2939" i="25"/>
  <c r="F2947" i="25"/>
  <c r="F2955" i="25"/>
  <c r="F2963" i="25"/>
  <c r="F2971" i="25"/>
  <c r="F1439" i="25"/>
  <c r="F1519" i="25"/>
  <c r="F1589" i="25"/>
  <c r="F1653" i="25"/>
  <c r="F1717" i="25"/>
  <c r="F1781" i="25"/>
  <c r="F1845" i="25"/>
  <c r="F1909" i="25"/>
  <c r="F1973" i="25"/>
  <c r="F2037" i="25"/>
  <c r="F2101" i="25"/>
  <c r="F2140" i="25"/>
  <c r="F2164" i="25"/>
  <c r="F2187" i="25"/>
  <c r="F2205" i="25"/>
  <c r="F2228" i="25"/>
  <c r="F2251" i="25"/>
  <c r="F2269" i="25"/>
  <c r="F2292" i="25"/>
  <c r="F2315" i="25"/>
  <c r="F2333" i="25"/>
  <c r="F2348" i="25"/>
  <c r="F2362" i="25"/>
  <c r="F1449" i="25"/>
  <c r="F1528" i="25"/>
  <c r="F1597" i="25"/>
  <c r="F1661" i="25"/>
  <c r="F1725" i="25"/>
  <c r="F1789" i="25"/>
  <c r="F1853" i="25"/>
  <c r="F1917" i="25"/>
  <c r="F1981" i="25"/>
  <c r="F2045" i="25"/>
  <c r="F2109" i="25"/>
  <c r="F2141" i="25"/>
  <c r="F2165" i="25"/>
  <c r="F2188" i="25"/>
  <c r="F2211" i="25"/>
  <c r="F2229" i="25"/>
  <c r="F2252" i="25"/>
  <c r="F2275" i="25"/>
  <c r="F2293" i="25"/>
  <c r="F2316" i="25"/>
  <c r="F2336" i="25"/>
  <c r="F2349" i="25"/>
  <c r="F2363" i="25"/>
  <c r="F2376" i="25"/>
  <c r="F2387" i="25"/>
  <c r="F2397" i="25"/>
  <c r="F2408" i="25"/>
  <c r="F2417" i="25"/>
  <c r="F2426" i="25"/>
  <c r="F2435" i="25"/>
  <c r="F2444" i="25"/>
  <c r="F2453" i="25"/>
  <c r="F2461" i="25"/>
  <c r="F2469" i="25"/>
  <c r="F2477" i="25"/>
  <c r="F2485" i="25"/>
  <c r="F2493" i="25"/>
  <c r="F2501" i="25"/>
  <c r="F2509" i="25"/>
  <c r="F2517" i="25"/>
  <c r="F2525" i="25"/>
  <c r="F2533" i="25"/>
  <c r="F2541" i="25"/>
  <c r="F2549" i="25"/>
  <c r="F2557" i="25"/>
  <c r="F2565" i="25"/>
  <c r="F2573" i="25"/>
  <c r="F2581" i="25"/>
  <c r="F2589" i="25"/>
  <c r="F2597" i="25"/>
  <c r="F2605" i="25"/>
  <c r="F2613" i="25"/>
  <c r="F2621" i="25"/>
  <c r="F2629" i="25"/>
  <c r="F2637" i="25"/>
  <c r="F2645" i="25"/>
  <c r="F2653" i="25"/>
  <c r="F2661" i="25"/>
  <c r="F2669" i="25"/>
  <c r="F2677" i="25"/>
  <c r="F2685" i="25"/>
  <c r="F2693" i="25"/>
  <c r="F2701" i="25"/>
  <c r="F2709" i="25"/>
  <c r="F2717" i="25"/>
  <c r="F2725" i="25"/>
  <c r="F2733" i="25"/>
  <c r="F2741" i="25"/>
  <c r="F2749" i="25"/>
  <c r="F2757" i="25"/>
  <c r="F2765" i="25"/>
  <c r="F2773" i="25"/>
  <c r="F2781" i="25"/>
  <c r="F2789" i="25"/>
  <c r="F2797" i="25"/>
  <c r="F2805" i="25"/>
  <c r="F2813" i="25"/>
  <c r="F2821" i="25"/>
  <c r="F2829" i="25"/>
  <c r="F2837" i="25"/>
  <c r="F2845" i="25"/>
  <c r="F2853" i="25"/>
  <c r="F2861" i="25"/>
  <c r="F2869" i="25"/>
  <c r="F2877" i="25"/>
  <c r="F2885" i="25"/>
  <c r="F2893" i="25"/>
  <c r="F2901" i="25"/>
  <c r="F2909" i="25"/>
  <c r="F2917" i="25"/>
  <c r="F2925" i="25"/>
  <c r="F1461" i="25"/>
  <c r="F1537" i="25"/>
  <c r="F1605" i="25"/>
  <c r="F1669" i="25"/>
  <c r="F1733" i="25"/>
  <c r="F1797" i="25"/>
  <c r="F1861" i="25"/>
  <c r="F1925" i="25"/>
  <c r="F1989" i="25"/>
  <c r="F2053" i="25"/>
  <c r="F2116" i="25"/>
  <c r="F2148" i="25"/>
  <c r="F2171" i="25"/>
  <c r="F2189" i="25"/>
  <c r="F2212" i="25"/>
  <c r="F2235" i="25"/>
  <c r="F2253" i="25"/>
  <c r="F2276" i="25"/>
  <c r="F2299" i="25"/>
  <c r="F2317" i="25"/>
  <c r="F2339" i="25"/>
  <c r="F2352" i="25"/>
  <c r="F2364" i="25"/>
  <c r="F2378" i="25"/>
  <c r="F2388" i="25"/>
  <c r="F2400" i="25"/>
  <c r="F2409" i="25"/>
  <c r="F2418" i="25"/>
  <c r="F2427" i="25"/>
  <c r="F2436" i="25"/>
  <c r="F2445" i="25"/>
  <c r="F2454" i="25"/>
  <c r="F2462" i="25"/>
  <c r="F2470" i="25"/>
  <c r="F2478" i="25"/>
  <c r="F2486" i="25"/>
  <c r="F2494" i="25"/>
  <c r="F2502" i="25"/>
  <c r="F2510" i="25"/>
  <c r="F2518" i="25"/>
  <c r="F2526" i="25"/>
  <c r="F2534" i="25"/>
  <c r="F2542" i="25"/>
  <c r="F2550" i="25"/>
  <c r="F2558" i="25"/>
  <c r="F2566" i="25"/>
  <c r="F2574" i="25"/>
  <c r="F2582" i="25"/>
  <c r="F2590" i="25"/>
  <c r="F2598" i="25"/>
  <c r="F2606" i="25"/>
  <c r="F2614" i="25"/>
  <c r="F2622" i="25"/>
  <c r="F2630" i="25"/>
  <c r="F2638" i="25"/>
  <c r="F2646" i="25"/>
  <c r="F2654" i="25"/>
  <c r="F2662" i="25"/>
  <c r="F2670" i="25"/>
  <c r="F2678" i="25"/>
  <c r="F2686" i="25"/>
  <c r="F2694" i="25"/>
  <c r="F2702" i="25"/>
  <c r="F2710" i="25"/>
  <c r="F2718" i="25"/>
  <c r="F2726" i="25"/>
  <c r="F2734" i="25"/>
  <c r="F2742" i="25"/>
  <c r="F2750" i="25"/>
  <c r="F2758" i="25"/>
  <c r="F2766" i="25"/>
  <c r="F2774" i="25"/>
  <c r="F1471" i="25"/>
  <c r="F1546" i="25"/>
  <c r="F1613" i="25"/>
  <c r="F1677" i="25"/>
  <c r="F1741" i="25"/>
  <c r="F1805" i="25"/>
  <c r="F1869" i="25"/>
  <c r="F1933" i="25"/>
  <c r="F1997" i="25"/>
  <c r="F2061" i="25"/>
  <c r="F2117" i="25"/>
  <c r="F2149" i="25"/>
  <c r="F2172" i="25"/>
  <c r="F2195" i="25"/>
  <c r="F2213" i="25"/>
  <c r="F2236" i="25"/>
  <c r="F2259" i="25"/>
  <c r="F2277" i="25"/>
  <c r="F2300" i="25"/>
  <c r="F2323" i="25"/>
  <c r="F2340" i="25"/>
  <c r="F2354" i="25"/>
  <c r="F2365" i="25"/>
  <c r="F2379" i="25"/>
  <c r="F2389" i="25"/>
  <c r="F2401" i="25"/>
  <c r="F2410" i="25"/>
  <c r="F2419" i="25"/>
  <c r="F2428" i="25"/>
  <c r="F2437" i="25"/>
  <c r="F2447" i="25"/>
  <c r="F2455" i="25"/>
  <c r="F2463" i="25"/>
  <c r="F2471" i="25"/>
  <c r="F2479" i="25"/>
  <c r="F2487" i="25"/>
  <c r="F2495" i="25"/>
  <c r="F2503" i="25"/>
  <c r="F2511" i="25"/>
  <c r="F2519" i="25"/>
  <c r="F2527" i="25"/>
  <c r="F2535" i="25"/>
  <c r="F2543" i="25"/>
  <c r="F2551" i="25"/>
  <c r="F2559" i="25"/>
  <c r="F2567" i="25"/>
  <c r="F2575" i="25"/>
  <c r="F2583" i="25"/>
  <c r="F2591" i="25"/>
  <c r="F2599" i="25"/>
  <c r="F2607" i="25"/>
  <c r="F2615" i="25"/>
  <c r="F2623" i="25"/>
  <c r="F2631" i="25"/>
  <c r="F2639" i="25"/>
  <c r="F2647" i="25"/>
  <c r="F2655" i="25"/>
  <c r="F2663" i="25"/>
  <c r="F2671" i="25"/>
  <c r="F2679" i="25"/>
  <c r="F2687" i="25"/>
  <c r="F2695" i="25"/>
  <c r="F2703" i="25"/>
  <c r="F2711" i="25"/>
  <c r="F2719" i="25"/>
  <c r="F2727" i="25"/>
  <c r="F2735" i="25"/>
  <c r="F2743" i="25"/>
  <c r="F2751" i="25"/>
  <c r="F2759" i="25"/>
  <c r="F2767" i="25"/>
  <c r="F2775" i="25"/>
  <c r="F1481" i="25"/>
  <c r="F1555" i="25"/>
  <c r="F1621" i="25"/>
  <c r="F1685" i="25"/>
  <c r="F1749" i="25"/>
  <c r="F1813" i="25"/>
  <c r="F1877" i="25"/>
  <c r="F1941" i="25"/>
  <c r="F2005" i="25"/>
  <c r="F2069" i="25"/>
  <c r="F2124" i="25"/>
  <c r="F2155" i="25"/>
  <c r="F2173" i="25"/>
  <c r="F2196" i="25"/>
  <c r="F2219" i="25"/>
  <c r="F2237" i="25"/>
  <c r="F2260" i="25"/>
  <c r="F2283" i="25"/>
  <c r="F2301" i="25"/>
  <c r="F2324" i="25"/>
  <c r="F2341" i="25"/>
  <c r="F2355" i="25"/>
  <c r="F2368" i="25"/>
  <c r="F2380" i="25"/>
  <c r="F2392" i="25"/>
  <c r="F2402" i="25"/>
  <c r="F2411" i="25"/>
  <c r="F2420" i="25"/>
  <c r="F2429" i="25"/>
  <c r="F2439" i="25"/>
  <c r="F2448" i="25"/>
  <c r="F2456" i="25"/>
  <c r="F2464" i="25"/>
  <c r="F2472" i="25"/>
  <c r="F2480" i="25"/>
  <c r="F2488" i="25"/>
  <c r="F2496" i="25"/>
  <c r="F2504" i="25"/>
  <c r="F2512" i="25"/>
  <c r="F2520" i="25"/>
  <c r="F2528" i="25"/>
  <c r="F2536" i="25"/>
  <c r="F2544" i="25"/>
  <c r="F2552" i="25"/>
  <c r="F2560" i="25"/>
  <c r="F2568" i="25"/>
  <c r="F2576" i="25"/>
  <c r="F2584" i="25"/>
  <c r="F2592" i="25"/>
  <c r="F2600" i="25"/>
  <c r="F2608" i="25"/>
  <c r="F2616" i="25"/>
  <c r="F2624" i="25"/>
  <c r="F2632" i="25"/>
  <c r="F2640" i="25"/>
  <c r="F2648" i="25"/>
  <c r="F2656" i="25"/>
  <c r="F2664" i="25"/>
  <c r="F2672" i="25"/>
  <c r="F2680" i="25"/>
  <c r="F2688" i="25"/>
  <c r="F2696" i="25"/>
  <c r="F2704" i="25"/>
  <c r="F2712" i="25"/>
  <c r="F2720" i="25"/>
  <c r="F2728" i="25"/>
  <c r="F2736" i="25"/>
  <c r="F2744" i="25"/>
  <c r="F2752" i="25"/>
  <c r="F2760" i="25"/>
  <c r="F2768" i="25"/>
  <c r="F2776" i="25"/>
  <c r="F2784" i="25"/>
  <c r="F2792" i="25"/>
  <c r="F2800" i="25"/>
  <c r="F2808" i="25"/>
  <c r="F2816" i="25"/>
  <c r="F2824" i="25"/>
  <c r="F2832" i="25"/>
  <c r="F2840" i="25"/>
  <c r="F2848" i="25"/>
  <c r="F2856" i="25"/>
  <c r="F2864" i="25"/>
  <c r="F2872" i="25"/>
  <c r="F2880" i="25"/>
  <c r="F2373" i="25"/>
  <c r="F2452" i="25"/>
  <c r="F2516" i="25"/>
  <c r="F2580" i="25"/>
  <c r="F2644" i="25"/>
  <c r="F2708" i="25"/>
  <c r="F2772" i="25"/>
  <c r="F2798" i="25"/>
  <c r="F2820" i="25"/>
  <c r="F2839" i="25"/>
  <c r="F2862" i="25"/>
  <c r="F2884" i="25"/>
  <c r="F2900" i="25"/>
  <c r="F2916" i="25"/>
  <c r="F2932" i="25"/>
  <c r="F2943" i="25"/>
  <c r="F2957" i="25"/>
  <c r="F2968" i="25"/>
  <c r="F2981" i="25"/>
  <c r="F2991" i="25"/>
  <c r="F3003" i="25"/>
  <c r="F3012" i="25"/>
  <c r="F3020" i="25"/>
  <c r="F3028" i="25"/>
  <c r="F3036" i="25"/>
  <c r="F3044" i="25"/>
  <c r="F3052" i="25"/>
  <c r="F3060" i="25"/>
  <c r="F3068" i="25"/>
  <c r="F3076" i="25"/>
  <c r="F3084" i="25"/>
  <c r="F3092" i="25"/>
  <c r="F3100" i="25"/>
  <c r="F3108" i="25"/>
  <c r="F3116" i="25"/>
  <c r="F3124" i="25"/>
  <c r="F3132" i="25"/>
  <c r="F3140" i="25"/>
  <c r="F3148" i="25"/>
  <c r="F3156" i="25"/>
  <c r="F3164" i="25"/>
  <c r="F3172" i="25"/>
  <c r="F3180" i="25"/>
  <c r="F3188" i="25"/>
  <c r="F3196" i="25"/>
  <c r="F3204" i="25"/>
  <c r="F3212" i="25"/>
  <c r="F3220" i="25"/>
  <c r="F3228" i="25"/>
  <c r="F3236" i="25"/>
  <c r="F3244" i="25"/>
  <c r="F3252" i="25"/>
  <c r="F3260" i="25"/>
  <c r="F3268" i="25"/>
  <c r="F3276" i="25"/>
  <c r="F3284" i="25"/>
  <c r="F3292" i="25"/>
  <c r="F3300" i="25"/>
  <c r="F3308" i="25"/>
  <c r="F3316" i="25"/>
  <c r="F3324" i="25"/>
  <c r="F3332" i="25"/>
  <c r="F3340" i="25"/>
  <c r="F3348" i="25"/>
  <c r="F3356" i="25"/>
  <c r="F3364" i="25"/>
  <c r="F3372" i="25"/>
  <c r="F3380" i="25"/>
  <c r="F3388" i="25"/>
  <c r="F3396" i="25"/>
  <c r="F3404" i="25"/>
  <c r="F3412" i="25"/>
  <c r="F3420" i="25"/>
  <c r="F3428" i="25"/>
  <c r="F3436" i="25"/>
  <c r="F3444" i="25"/>
  <c r="F3452" i="25"/>
  <c r="F3460" i="25"/>
  <c r="F3468" i="25"/>
  <c r="F3476" i="25"/>
  <c r="F3484" i="25"/>
  <c r="F3492" i="25"/>
  <c r="F3500" i="25"/>
  <c r="F3508" i="25"/>
  <c r="F3516" i="25"/>
  <c r="F3524" i="25"/>
  <c r="F3532" i="25"/>
  <c r="F3540" i="25"/>
  <c r="F3548" i="25"/>
  <c r="F3556" i="25"/>
  <c r="F3564" i="25"/>
  <c r="F3572" i="25"/>
  <c r="F3580" i="25"/>
  <c r="F3588" i="25"/>
  <c r="F3596" i="25"/>
  <c r="F3604" i="25"/>
  <c r="F3612" i="25"/>
  <c r="F3620" i="25"/>
  <c r="F3628" i="25"/>
  <c r="F3636" i="25"/>
  <c r="F3644" i="25"/>
  <c r="F3652" i="25"/>
  <c r="F3660" i="25"/>
  <c r="F3668" i="25"/>
  <c r="F3676" i="25"/>
  <c r="F3684" i="25"/>
  <c r="F3692" i="25"/>
  <c r="F3700" i="25"/>
  <c r="F3708" i="25"/>
  <c r="F3716" i="25"/>
  <c r="F3724" i="25"/>
  <c r="F3732" i="25"/>
  <c r="F3740" i="25"/>
  <c r="F3748" i="25"/>
  <c r="F3756" i="25"/>
  <c r="F3764" i="25"/>
  <c r="F3772" i="25"/>
  <c r="F3780" i="25"/>
  <c r="F3788" i="25"/>
  <c r="F3796" i="25"/>
  <c r="F3804" i="25"/>
  <c r="F3812" i="25"/>
  <c r="F3820" i="25"/>
  <c r="F3828" i="25"/>
  <c r="F3836" i="25"/>
  <c r="F3844" i="25"/>
  <c r="F3852" i="25"/>
  <c r="F3860" i="25"/>
  <c r="F3868" i="25"/>
  <c r="F3876" i="25"/>
  <c r="F3884" i="25"/>
  <c r="F3892" i="25"/>
  <c r="F3900" i="25"/>
  <c r="F3908" i="25"/>
  <c r="F3916" i="25"/>
  <c r="F3924" i="25"/>
  <c r="F3932" i="25"/>
  <c r="F3940" i="25"/>
  <c r="F3948" i="25"/>
  <c r="F3956" i="25"/>
  <c r="F3964" i="25"/>
  <c r="F3972" i="25"/>
  <c r="F3980" i="25"/>
  <c r="F3988" i="25"/>
  <c r="F3996" i="25"/>
  <c r="F4004" i="25"/>
  <c r="F4012" i="25"/>
  <c r="F4020" i="25"/>
  <c r="F4028" i="25"/>
  <c r="F4036" i="25"/>
  <c r="F4044" i="25"/>
  <c r="F4052" i="25"/>
  <c r="F4060" i="25"/>
  <c r="F4068" i="25"/>
  <c r="F4076" i="25"/>
  <c r="F4084" i="25"/>
  <c r="F4092" i="25"/>
  <c r="F4100" i="25"/>
  <c r="F4108" i="25"/>
  <c r="F4116" i="25"/>
  <c r="F4124" i="25"/>
  <c r="F4132" i="25"/>
  <c r="F4140" i="25"/>
  <c r="F4148" i="25"/>
  <c r="F4156" i="25"/>
  <c r="F4164" i="25"/>
  <c r="F4172" i="25"/>
  <c r="F4180" i="25"/>
  <c r="F4188" i="25"/>
  <c r="F4196" i="25"/>
  <c r="F2386" i="25"/>
  <c r="F2460" i="25"/>
  <c r="F2524" i="25"/>
  <c r="F2588" i="25"/>
  <c r="F2652" i="25"/>
  <c r="F2716" i="25"/>
  <c r="F2780" i="25"/>
  <c r="F2799" i="25"/>
  <c r="F2822" i="25"/>
  <c r="F2844" i="25"/>
  <c r="F2863" i="25"/>
  <c r="F2886" i="25"/>
  <c r="F2902" i="25"/>
  <c r="F2918" i="25"/>
  <c r="F2933" i="25"/>
  <c r="F2944" i="25"/>
  <c r="F2958" i="25"/>
  <c r="F2972" i="25"/>
  <c r="F2982" i="25"/>
  <c r="F2992" i="25"/>
  <c r="F3004" i="25"/>
  <c r="F3013" i="25"/>
  <c r="F3021" i="25"/>
  <c r="F3029" i="25"/>
  <c r="F3037" i="25"/>
  <c r="F3045" i="25"/>
  <c r="F3053" i="25"/>
  <c r="F3061" i="25"/>
  <c r="F3069" i="25"/>
  <c r="F3077" i="25"/>
  <c r="F3085" i="25"/>
  <c r="F3093" i="25"/>
  <c r="F3101" i="25"/>
  <c r="F3109" i="25"/>
  <c r="F3117" i="25"/>
  <c r="F3125" i="25"/>
  <c r="F3133" i="25"/>
  <c r="F3141" i="25"/>
  <c r="F3149" i="25"/>
  <c r="F3157" i="25"/>
  <c r="F3165" i="25"/>
  <c r="F3173" i="25"/>
  <c r="F3181" i="25"/>
  <c r="F3189" i="25"/>
  <c r="F3197" i="25"/>
  <c r="F3205" i="25"/>
  <c r="F3213" i="25"/>
  <c r="F3221" i="25"/>
  <c r="F3229" i="25"/>
  <c r="F3237" i="25"/>
  <c r="F3245" i="25"/>
  <c r="F3253" i="25"/>
  <c r="F3261" i="25"/>
  <c r="F3269" i="25"/>
  <c r="F3277" i="25"/>
  <c r="F3285" i="25"/>
  <c r="F3293" i="25"/>
  <c r="F3301" i="25"/>
  <c r="F3309" i="25"/>
  <c r="F3317" i="25"/>
  <c r="F3325" i="25"/>
  <c r="F3333" i="25"/>
  <c r="F3341" i="25"/>
  <c r="F3349" i="25"/>
  <c r="F3357" i="25"/>
  <c r="F3365" i="25"/>
  <c r="F3373" i="25"/>
  <c r="F3381" i="25"/>
  <c r="F3389" i="25"/>
  <c r="F3397" i="25"/>
  <c r="F3405" i="25"/>
  <c r="F3413" i="25"/>
  <c r="F3421" i="25"/>
  <c r="F3429" i="25"/>
  <c r="F3437" i="25"/>
  <c r="F3445" i="25"/>
  <c r="F3453" i="25"/>
  <c r="F3461" i="25"/>
  <c r="F3469" i="25"/>
  <c r="F3477" i="25"/>
  <c r="F3485" i="25"/>
  <c r="F3493" i="25"/>
  <c r="F3501" i="25"/>
  <c r="F3509" i="25"/>
  <c r="F3517" i="25"/>
  <c r="F3525" i="25"/>
  <c r="F3533" i="25"/>
  <c r="F3541" i="25"/>
  <c r="F3549" i="25"/>
  <c r="F3557" i="25"/>
  <c r="F3565" i="25"/>
  <c r="F3573" i="25"/>
  <c r="F3581" i="25"/>
  <c r="F3589" i="25"/>
  <c r="F3597" i="25"/>
  <c r="F3605" i="25"/>
  <c r="F3613" i="25"/>
  <c r="F3621" i="25"/>
  <c r="F3629" i="25"/>
  <c r="F3637" i="25"/>
  <c r="F3645" i="25"/>
  <c r="F3653" i="25"/>
  <c r="F3661" i="25"/>
  <c r="F3669" i="25"/>
  <c r="F3677" i="25"/>
  <c r="F3685" i="25"/>
  <c r="F3693" i="25"/>
  <c r="F3701" i="25"/>
  <c r="F3709" i="25"/>
  <c r="F3717" i="25"/>
  <c r="F3725" i="25"/>
  <c r="F3733" i="25"/>
  <c r="F3741" i="25"/>
  <c r="F3749" i="25"/>
  <c r="F3757" i="25"/>
  <c r="F3765" i="25"/>
  <c r="F3773" i="25"/>
  <c r="F3781" i="25"/>
  <c r="F3789" i="25"/>
  <c r="F3797" i="25"/>
  <c r="F3805" i="25"/>
  <c r="F3813" i="25"/>
  <c r="F3821" i="25"/>
  <c r="F3829" i="25"/>
  <c r="F3837" i="25"/>
  <c r="F3845" i="25"/>
  <c r="F3853" i="25"/>
  <c r="F3861" i="25"/>
  <c r="F3869" i="25"/>
  <c r="F3877" i="25"/>
  <c r="F3885" i="25"/>
  <c r="F3893" i="25"/>
  <c r="F3901" i="25"/>
  <c r="F3909" i="25"/>
  <c r="F3917" i="25"/>
  <c r="F3925" i="25"/>
  <c r="F3933" i="25"/>
  <c r="F3941" i="25"/>
  <c r="F3949" i="25"/>
  <c r="F3957" i="25"/>
  <c r="F3965" i="25"/>
  <c r="F3973" i="25"/>
  <c r="F3981" i="25"/>
  <c r="F3989" i="25"/>
  <c r="F3997" i="25"/>
  <c r="F4005" i="25"/>
  <c r="F4013" i="25"/>
  <c r="F4021" i="25"/>
  <c r="F4029" i="25"/>
  <c r="F4037" i="25"/>
  <c r="F4045" i="25"/>
  <c r="F4053" i="25"/>
  <c r="F4061" i="25"/>
  <c r="F4069" i="25"/>
  <c r="F4077" i="25"/>
  <c r="F4085" i="25"/>
  <c r="F4093" i="25"/>
  <c r="F4101" i="25"/>
  <c r="F4109" i="25"/>
  <c r="F4117" i="25"/>
  <c r="F4125" i="25"/>
  <c r="F4133" i="25"/>
  <c r="F4141" i="25"/>
  <c r="F4149" i="25"/>
  <c r="F4157" i="25"/>
  <c r="F4165" i="25"/>
  <c r="F4173" i="25"/>
  <c r="F4181" i="25"/>
  <c r="F4189" i="25"/>
  <c r="F4197" i="25"/>
  <c r="F2396" i="25"/>
  <c r="F2468" i="25"/>
  <c r="F2532" i="25"/>
  <c r="F2596" i="25"/>
  <c r="F2660" i="25"/>
  <c r="F2724" i="25"/>
  <c r="F2782" i="25"/>
  <c r="F2804" i="25"/>
  <c r="F2823" i="25"/>
  <c r="F2846" i="25"/>
  <c r="F2868" i="25"/>
  <c r="F2887" i="25"/>
  <c r="F2903" i="25"/>
  <c r="F2919" i="25"/>
  <c r="F2934" i="25"/>
  <c r="F2948" i="25"/>
  <c r="F2959" i="25"/>
  <c r="F2973" i="25"/>
  <c r="F2983" i="25"/>
  <c r="F2995" i="25"/>
  <c r="F3005" i="25"/>
  <c r="F3014" i="25"/>
  <c r="F3022" i="25"/>
  <c r="F3030" i="25"/>
  <c r="F3038" i="25"/>
  <c r="F3046" i="25"/>
  <c r="F3054" i="25"/>
  <c r="F3062" i="25"/>
  <c r="F3070" i="25"/>
  <c r="F3078" i="25"/>
  <c r="F3086" i="25"/>
  <c r="F3094" i="25"/>
  <c r="F3102" i="25"/>
  <c r="F3110" i="25"/>
  <c r="F3118" i="25"/>
  <c r="F3126" i="25"/>
  <c r="F3134" i="25"/>
  <c r="F3142" i="25"/>
  <c r="F3150" i="25"/>
  <c r="F3158" i="25"/>
  <c r="F3166" i="25"/>
  <c r="F3174" i="25"/>
  <c r="F3182" i="25"/>
  <c r="F3190" i="25"/>
  <c r="F3198" i="25"/>
  <c r="F3206" i="25"/>
  <c r="F3214" i="25"/>
  <c r="F3222" i="25"/>
  <c r="F3230" i="25"/>
  <c r="F3238" i="25"/>
  <c r="F3246" i="25"/>
  <c r="F3254" i="25"/>
  <c r="F3262" i="25"/>
  <c r="F3270" i="25"/>
  <c r="F3278" i="25"/>
  <c r="F3286" i="25"/>
  <c r="F3294" i="25"/>
  <c r="F3302" i="25"/>
  <c r="F3310" i="25"/>
  <c r="F3318" i="25"/>
  <c r="F3326" i="25"/>
  <c r="F3334" i="25"/>
  <c r="F3342" i="25"/>
  <c r="F3350" i="25"/>
  <c r="F3358" i="25"/>
  <c r="F3366" i="25"/>
  <c r="F3374" i="25"/>
  <c r="F3382" i="25"/>
  <c r="F3390" i="25"/>
  <c r="F3398" i="25"/>
  <c r="F3406" i="25"/>
  <c r="F3414" i="25"/>
  <c r="F3422" i="25"/>
  <c r="F3430" i="25"/>
  <c r="F3438" i="25"/>
  <c r="F3446" i="25"/>
  <c r="F3454" i="25"/>
  <c r="F3462" i="25"/>
  <c r="F3470" i="25"/>
  <c r="F3478" i="25"/>
  <c r="F3486" i="25"/>
  <c r="F3494" i="25"/>
  <c r="F3502" i="25"/>
  <c r="F3510" i="25"/>
  <c r="F3518" i="25"/>
  <c r="F3526" i="25"/>
  <c r="F3534" i="25"/>
  <c r="F3542" i="25"/>
  <c r="F3550" i="25"/>
  <c r="F3558" i="25"/>
  <c r="F3566" i="25"/>
  <c r="F3574" i="25"/>
  <c r="F3582" i="25"/>
  <c r="F3590" i="25"/>
  <c r="F3598" i="25"/>
  <c r="F3606" i="25"/>
  <c r="F3614" i="25"/>
  <c r="F3622" i="25"/>
  <c r="F3630" i="25"/>
  <c r="F3638" i="25"/>
  <c r="F3646" i="25"/>
  <c r="F3654" i="25"/>
  <c r="F3662" i="25"/>
  <c r="F3670" i="25"/>
  <c r="F3678" i="25"/>
  <c r="F3686" i="25"/>
  <c r="F3694" i="25"/>
  <c r="F3702" i="25"/>
  <c r="F3710" i="25"/>
  <c r="F3718" i="25"/>
  <c r="F3726" i="25"/>
  <c r="F3734" i="25"/>
  <c r="F3742" i="25"/>
  <c r="F3750" i="25"/>
  <c r="F3758" i="25"/>
  <c r="F3766" i="25"/>
  <c r="F3774" i="25"/>
  <c r="F3782" i="25"/>
  <c r="F3790" i="25"/>
  <c r="F3798" i="25"/>
  <c r="F3806" i="25"/>
  <c r="F3814" i="25"/>
  <c r="F3822" i="25"/>
  <c r="F3830" i="25"/>
  <c r="F3838" i="25"/>
  <c r="F3846" i="25"/>
  <c r="F3854" i="25"/>
  <c r="F3862" i="25"/>
  <c r="F3870" i="25"/>
  <c r="F3878" i="25"/>
  <c r="F3886" i="25"/>
  <c r="F3894" i="25"/>
  <c r="F3902" i="25"/>
  <c r="F3910" i="25"/>
  <c r="F3918" i="25"/>
  <c r="F3926" i="25"/>
  <c r="F3934" i="25"/>
  <c r="F3942" i="25"/>
  <c r="F3950" i="25"/>
  <c r="F3958" i="25"/>
  <c r="F3966" i="25"/>
  <c r="F3974" i="25"/>
  <c r="F3982" i="25"/>
  <c r="F3990" i="25"/>
  <c r="F3998" i="25"/>
  <c r="F4006" i="25"/>
  <c r="F2407" i="25"/>
  <c r="F2476" i="25"/>
  <c r="F2540" i="25"/>
  <c r="F2604" i="25"/>
  <c r="F2668" i="25"/>
  <c r="F2732" i="25"/>
  <c r="F2783" i="25"/>
  <c r="F2806" i="25"/>
  <c r="F2828" i="25"/>
  <c r="F2847" i="25"/>
  <c r="F2870" i="25"/>
  <c r="F2888" i="25"/>
  <c r="F2904" i="25"/>
  <c r="F2920" i="25"/>
  <c r="F2935" i="25"/>
  <c r="F2949" i="25"/>
  <c r="F2960" i="25"/>
  <c r="F2974" i="25"/>
  <c r="F2984" i="25"/>
  <c r="F2996" i="25"/>
  <c r="F3006" i="25"/>
  <c r="F3015" i="25"/>
  <c r="F3023" i="25"/>
  <c r="F3031" i="25"/>
  <c r="F3039" i="25"/>
  <c r="F3047" i="25"/>
  <c r="F3055" i="25"/>
  <c r="F3063" i="25"/>
  <c r="F3071" i="25"/>
  <c r="F3079" i="25"/>
  <c r="F3087" i="25"/>
  <c r="F3095" i="25"/>
  <c r="F3103" i="25"/>
  <c r="F3111" i="25"/>
  <c r="F3119" i="25"/>
  <c r="F3127" i="25"/>
  <c r="F3135" i="25"/>
  <c r="F3143" i="25"/>
  <c r="F3151" i="25"/>
  <c r="F3159" i="25"/>
  <c r="F3167" i="25"/>
  <c r="F3175" i="25"/>
  <c r="F3183" i="25"/>
  <c r="F3191" i="25"/>
  <c r="F3199" i="25"/>
  <c r="F3207" i="25"/>
  <c r="F3215" i="25"/>
  <c r="F3223" i="25"/>
  <c r="F3231" i="25"/>
  <c r="F3239" i="25"/>
  <c r="F3247" i="25"/>
  <c r="F3255" i="25"/>
  <c r="F3263" i="25"/>
  <c r="F3271" i="25"/>
  <c r="F3279" i="25"/>
  <c r="F3287" i="25"/>
  <c r="F3295" i="25"/>
  <c r="F3303" i="25"/>
  <c r="F3311" i="25"/>
  <c r="F3319" i="25"/>
  <c r="F3327" i="25"/>
  <c r="F3335" i="25"/>
  <c r="F3343" i="25"/>
  <c r="F3351" i="25"/>
  <c r="F3359" i="25"/>
  <c r="F3367" i="25"/>
  <c r="F3375" i="25"/>
  <c r="F3383" i="25"/>
  <c r="F3391" i="25"/>
  <c r="F3399" i="25"/>
  <c r="F3407" i="25"/>
  <c r="F3415" i="25"/>
  <c r="F3423" i="25"/>
  <c r="F3431" i="25"/>
  <c r="F3439" i="25"/>
  <c r="F3447" i="25"/>
  <c r="F3455" i="25"/>
  <c r="F3463" i="25"/>
  <c r="F3471" i="25"/>
  <c r="F3479" i="25"/>
  <c r="F3487" i="25"/>
  <c r="F3495" i="25"/>
  <c r="F3503" i="25"/>
  <c r="F3511" i="25"/>
  <c r="F3519" i="25"/>
  <c r="F3527" i="25"/>
  <c r="F3535" i="25"/>
  <c r="F3543" i="25"/>
  <c r="F3551" i="25"/>
  <c r="F3559" i="25"/>
  <c r="F3567" i="25"/>
  <c r="F3575" i="25"/>
  <c r="F3583" i="25"/>
  <c r="F3591" i="25"/>
  <c r="F3599" i="25"/>
  <c r="F3607" i="25"/>
  <c r="F3615" i="25"/>
  <c r="F3623" i="25"/>
  <c r="F3631" i="25"/>
  <c r="F3639" i="25"/>
  <c r="F3647" i="25"/>
  <c r="F3655" i="25"/>
  <c r="F3663" i="25"/>
  <c r="F3671" i="25"/>
  <c r="F3679" i="25"/>
  <c r="F3687" i="25"/>
  <c r="F3695" i="25"/>
  <c r="F3703" i="25"/>
  <c r="F3711" i="25"/>
  <c r="F3719" i="25"/>
  <c r="F3727" i="25"/>
  <c r="F3735" i="25"/>
  <c r="F3743" i="25"/>
  <c r="F3751" i="25"/>
  <c r="F3759" i="25"/>
  <c r="F3767" i="25"/>
  <c r="F3775" i="25"/>
  <c r="F3783" i="25"/>
  <c r="F3791" i="25"/>
  <c r="F3799" i="25"/>
  <c r="F3807" i="25"/>
  <c r="F3815" i="25"/>
  <c r="F3823" i="25"/>
  <c r="F3831" i="25"/>
  <c r="F3839" i="25"/>
  <c r="F3847" i="25"/>
  <c r="F3855" i="25"/>
  <c r="F3863" i="25"/>
  <c r="F3871" i="25"/>
  <c r="F3879" i="25"/>
  <c r="F3887" i="25"/>
  <c r="F3895" i="25"/>
  <c r="F3903" i="25"/>
  <c r="F3911" i="25"/>
  <c r="F3919" i="25"/>
  <c r="F3927" i="25"/>
  <c r="F3935" i="25"/>
  <c r="F3943" i="25"/>
  <c r="F3951" i="25"/>
  <c r="F3959" i="25"/>
  <c r="F3967" i="25"/>
  <c r="F3975" i="25"/>
  <c r="F3983" i="25"/>
  <c r="F3991" i="25"/>
  <c r="F3999" i="25"/>
  <c r="F4007" i="25"/>
  <c r="F4015" i="25"/>
  <c r="F4023" i="25"/>
  <c r="F4031" i="25"/>
  <c r="F4039" i="25"/>
  <c r="F4047" i="25"/>
  <c r="F4055" i="25"/>
  <c r="F2416" i="25"/>
  <c r="F2484" i="25"/>
  <c r="F2548" i="25"/>
  <c r="F2612" i="25"/>
  <c r="F2676" i="25"/>
  <c r="F2740" i="25"/>
  <c r="F2788" i="25"/>
  <c r="F2807" i="25"/>
  <c r="F2830" i="25"/>
  <c r="F2852" i="25"/>
  <c r="F2871" i="25"/>
  <c r="F2892" i="25"/>
  <c r="F2908" i="25"/>
  <c r="F2924" i="25"/>
  <c r="F2936" i="25"/>
  <c r="F2950" i="25"/>
  <c r="F2964" i="25"/>
  <c r="F2975" i="25"/>
  <c r="F2987" i="25"/>
  <c r="F2997" i="25"/>
  <c r="F3007" i="25"/>
  <c r="F3016" i="25"/>
  <c r="F3024" i="25"/>
  <c r="F3032" i="25"/>
  <c r="F3040" i="25"/>
  <c r="F3048" i="25"/>
  <c r="F3056" i="25"/>
  <c r="F3064" i="25"/>
  <c r="F3072" i="25"/>
  <c r="F3080" i="25"/>
  <c r="F3088" i="25"/>
  <c r="F3096" i="25"/>
  <c r="F3104" i="25"/>
  <c r="F3112" i="25"/>
  <c r="F3120" i="25"/>
  <c r="F3128" i="25"/>
  <c r="F3136" i="25"/>
  <c r="F3144" i="25"/>
  <c r="F3152" i="25"/>
  <c r="F3160" i="25"/>
  <c r="F3168" i="25"/>
  <c r="F3176" i="25"/>
  <c r="F3184" i="25"/>
  <c r="F3192" i="25"/>
  <c r="F3200" i="25"/>
  <c r="F3208" i="25"/>
  <c r="F3216" i="25"/>
  <c r="F3224" i="25"/>
  <c r="F3232" i="25"/>
  <c r="F3240" i="25"/>
  <c r="F3248" i="25"/>
  <c r="F3256" i="25"/>
  <c r="F3264" i="25"/>
  <c r="F3272" i="25"/>
  <c r="F3280" i="25"/>
  <c r="F3288" i="25"/>
  <c r="F3296" i="25"/>
  <c r="F3304" i="25"/>
  <c r="F3312" i="25"/>
  <c r="F3320" i="25"/>
  <c r="F3328" i="25"/>
  <c r="F3336" i="25"/>
  <c r="F3344" i="25"/>
  <c r="F3352" i="25"/>
  <c r="F3360" i="25"/>
  <c r="F3368" i="25"/>
  <c r="F3376" i="25"/>
  <c r="F3384" i="25"/>
  <c r="F3392" i="25"/>
  <c r="F3400" i="25"/>
  <c r="F3408" i="25"/>
  <c r="F3416" i="25"/>
  <c r="F3424" i="25"/>
  <c r="F3432" i="25"/>
  <c r="F3440" i="25"/>
  <c r="F3448" i="25"/>
  <c r="F3456" i="25"/>
  <c r="F3464" i="25"/>
  <c r="F3472" i="25"/>
  <c r="F3480" i="25"/>
  <c r="F3488" i="25"/>
  <c r="F3496" i="25"/>
  <c r="F3504" i="25"/>
  <c r="F3512" i="25"/>
  <c r="F3520" i="25"/>
  <c r="F3528" i="25"/>
  <c r="F3536" i="25"/>
  <c r="F3544" i="25"/>
  <c r="F3552" i="25"/>
  <c r="F3560" i="25"/>
  <c r="F3568" i="25"/>
  <c r="F3576" i="25"/>
  <c r="F3584" i="25"/>
  <c r="F3592" i="25"/>
  <c r="F3600" i="25"/>
  <c r="F3608" i="25"/>
  <c r="F3616" i="25"/>
  <c r="F3624" i="25"/>
  <c r="F3632" i="25"/>
  <c r="F3640" i="25"/>
  <c r="F3648" i="25"/>
  <c r="F3656" i="25"/>
  <c r="F3664" i="25"/>
  <c r="F3672" i="25"/>
  <c r="F3680" i="25"/>
  <c r="F3688" i="25"/>
  <c r="F3696" i="25"/>
  <c r="F3704" i="25"/>
  <c r="F3712" i="25"/>
  <c r="F3720" i="25"/>
  <c r="F3728" i="25"/>
  <c r="F3736" i="25"/>
  <c r="F3744" i="25"/>
  <c r="F3752" i="25"/>
  <c r="F3760" i="25"/>
  <c r="F3768" i="25"/>
  <c r="F3776" i="25"/>
  <c r="F3784" i="25"/>
  <c r="F3792" i="25"/>
  <c r="F3800" i="25"/>
  <c r="F3808" i="25"/>
  <c r="F3816" i="25"/>
  <c r="F3824" i="25"/>
  <c r="F3832" i="25"/>
  <c r="F3840" i="25"/>
  <c r="F3848" i="25"/>
  <c r="F3856" i="25"/>
  <c r="F3864" i="25"/>
  <c r="F3872" i="25"/>
  <c r="F3880" i="25"/>
  <c r="F3888" i="25"/>
  <c r="F3896" i="25"/>
  <c r="F3904" i="25"/>
  <c r="F3912" i="25"/>
  <c r="F3920" i="25"/>
  <c r="F3928" i="25"/>
  <c r="F3936" i="25"/>
  <c r="F3944" i="25"/>
  <c r="F3952" i="25"/>
  <c r="F3960" i="25"/>
  <c r="F3968" i="25"/>
  <c r="F3976" i="25"/>
  <c r="F3984" i="25"/>
  <c r="F3992" i="25"/>
  <c r="F4000" i="25"/>
  <c r="F4008" i="25"/>
  <c r="F4016" i="25"/>
  <c r="F4024" i="25"/>
  <c r="F4032" i="25"/>
  <c r="F4040" i="25"/>
  <c r="F2425" i="25"/>
  <c r="F2492" i="25"/>
  <c r="F2556" i="25"/>
  <c r="F2620" i="25"/>
  <c r="F2684" i="25"/>
  <c r="F2748" i="25"/>
  <c r="F2790" i="25"/>
  <c r="F2812" i="25"/>
  <c r="F2831" i="25"/>
  <c r="F2854" i="25"/>
  <c r="F2876" i="25"/>
  <c r="F2894" i="25"/>
  <c r="F2910" i="25"/>
  <c r="F2926" i="25"/>
  <c r="F2940" i="25"/>
  <c r="F2951" i="25"/>
  <c r="F2965" i="25"/>
  <c r="F2976" i="25"/>
  <c r="F2988" i="25"/>
  <c r="F2998" i="25"/>
  <c r="F3008" i="25"/>
  <c r="F3017" i="25"/>
  <c r="F3025" i="25"/>
  <c r="F3033" i="25"/>
  <c r="F3041" i="25"/>
  <c r="F3049" i="25"/>
  <c r="F3057" i="25"/>
  <c r="F3065" i="25"/>
  <c r="F3073" i="25"/>
  <c r="F3081" i="25"/>
  <c r="F3089" i="25"/>
  <c r="F3097" i="25"/>
  <c r="F3105" i="25"/>
  <c r="F3113" i="25"/>
  <c r="F3121" i="25"/>
  <c r="F3129" i="25"/>
  <c r="F3137" i="25"/>
  <c r="F3145" i="25"/>
  <c r="F3153" i="25"/>
  <c r="F3161" i="25"/>
  <c r="F3169" i="25"/>
  <c r="F3177" i="25"/>
  <c r="F3185" i="25"/>
  <c r="F3193" i="25"/>
  <c r="F3201" i="25"/>
  <c r="F3209" i="25"/>
  <c r="F3217" i="25"/>
  <c r="F3225" i="25"/>
  <c r="F3233" i="25"/>
  <c r="F3241" i="25"/>
  <c r="F3249" i="25"/>
  <c r="F3257" i="25"/>
  <c r="F3265" i="25"/>
  <c r="F3273" i="25"/>
  <c r="F3281" i="25"/>
  <c r="F3289" i="25"/>
  <c r="F3297" i="25"/>
  <c r="F3305" i="25"/>
  <c r="F3313" i="25"/>
  <c r="F3321" i="25"/>
  <c r="F3329" i="25"/>
  <c r="F3337" i="25"/>
  <c r="F3345" i="25"/>
  <c r="F3353" i="25"/>
  <c r="F3361" i="25"/>
  <c r="F3369" i="25"/>
  <c r="F3377" i="25"/>
  <c r="F3385" i="25"/>
  <c r="F3393" i="25"/>
  <c r="F3401" i="25"/>
  <c r="F3409" i="25"/>
  <c r="F3417" i="25"/>
  <c r="F3425" i="25"/>
  <c r="F3433" i="25"/>
  <c r="F3441" i="25"/>
  <c r="F3449" i="25"/>
  <c r="F3457" i="25"/>
  <c r="F3465" i="25"/>
  <c r="F3473" i="25"/>
  <c r="F3481" i="25"/>
  <c r="F3489" i="25"/>
  <c r="F3497" i="25"/>
  <c r="F3505" i="25"/>
  <c r="F3513" i="25"/>
  <c r="F3521" i="25"/>
  <c r="F3529" i="25"/>
  <c r="F3537" i="25"/>
  <c r="F3545" i="25"/>
  <c r="F3553" i="25"/>
  <c r="F3561" i="25"/>
  <c r="F3569" i="25"/>
  <c r="F3577" i="25"/>
  <c r="F3585" i="25"/>
  <c r="F3593" i="25"/>
  <c r="F3601" i="25"/>
  <c r="F3609" i="25"/>
  <c r="F3617" i="25"/>
  <c r="F3625" i="25"/>
  <c r="F3633" i="25"/>
  <c r="F3641" i="25"/>
  <c r="F3649" i="25"/>
  <c r="F3657" i="25"/>
  <c r="F3665" i="25"/>
  <c r="F3673" i="25"/>
  <c r="F3681" i="25"/>
  <c r="F3689" i="25"/>
  <c r="F3697" i="25"/>
  <c r="F3705" i="25"/>
  <c r="F3713" i="25"/>
  <c r="F3721" i="25"/>
  <c r="F3729" i="25"/>
  <c r="F3737" i="25"/>
  <c r="F3745" i="25"/>
  <c r="F3753" i="25"/>
  <c r="F3761" i="25"/>
  <c r="F3769" i="25"/>
  <c r="F3777" i="25"/>
  <c r="F3785" i="25"/>
  <c r="F3793" i="25"/>
  <c r="F3801" i="25"/>
  <c r="F3809" i="25"/>
  <c r="F3817" i="25"/>
  <c r="F3825" i="25"/>
  <c r="F3833" i="25"/>
  <c r="F3841" i="25"/>
  <c r="F3849" i="25"/>
  <c r="F3857" i="25"/>
  <c r="F3865" i="25"/>
  <c r="F3873" i="25"/>
  <c r="F3881" i="25"/>
  <c r="F3889" i="25"/>
  <c r="F3897" i="25"/>
  <c r="F3905" i="25"/>
  <c r="F3913" i="25"/>
  <c r="F3921" i="25"/>
  <c r="F3929" i="25"/>
  <c r="F3937" i="25"/>
  <c r="F3945" i="25"/>
  <c r="F3953" i="25"/>
  <c r="F3961" i="25"/>
  <c r="F3969" i="25"/>
  <c r="F3977" i="25"/>
  <c r="F3985" i="25"/>
  <c r="F3993" i="25"/>
  <c r="F4001" i="25"/>
  <c r="F4009" i="25"/>
  <c r="F4017" i="25"/>
  <c r="F4025" i="25"/>
  <c r="F4033" i="25"/>
  <c r="F4041" i="25"/>
  <c r="F4049" i="25"/>
  <c r="F4057" i="25"/>
  <c r="F4065" i="25"/>
  <c r="F4073" i="25"/>
  <c r="F2434" i="25"/>
  <c r="F2500" i="25"/>
  <c r="F2564" i="25"/>
  <c r="F2628" i="25"/>
  <c r="F2692" i="25"/>
  <c r="F2756" i="25"/>
  <c r="F2791" i="25"/>
  <c r="F2814" i="25"/>
  <c r="F2836" i="25"/>
  <c r="F2855" i="25"/>
  <c r="F2878" i="25"/>
  <c r="F2895" i="25"/>
  <c r="F2911" i="25"/>
  <c r="F2927" i="25"/>
  <c r="F2941" i="25"/>
  <c r="F2952" i="25"/>
  <c r="F2966" i="25"/>
  <c r="F2979" i="25"/>
  <c r="F2989" i="25"/>
  <c r="F2999" i="25"/>
  <c r="F3010" i="25"/>
  <c r="F3018" i="25"/>
  <c r="F3026" i="25"/>
  <c r="F3034" i="25"/>
  <c r="F3042" i="25"/>
  <c r="F3050" i="25"/>
  <c r="F3058" i="25"/>
  <c r="F3066" i="25"/>
  <c r="F3074" i="25"/>
  <c r="F3082" i="25"/>
  <c r="F3090" i="25"/>
  <c r="F3098" i="25"/>
  <c r="F3106" i="25"/>
  <c r="F3114" i="25"/>
  <c r="F3122" i="25"/>
  <c r="F3130" i="25"/>
  <c r="F3138" i="25"/>
  <c r="F3146" i="25"/>
  <c r="F3154" i="25"/>
  <c r="F3162" i="25"/>
  <c r="F3170" i="25"/>
  <c r="F3178" i="25"/>
  <c r="F3186" i="25"/>
  <c r="F3194" i="25"/>
  <c r="F3202" i="25"/>
  <c r="F3210" i="25"/>
  <c r="F3218" i="25"/>
  <c r="F3226" i="25"/>
  <c r="F3234" i="25"/>
  <c r="F3242" i="25"/>
  <c r="F3250" i="25"/>
  <c r="F3258" i="25"/>
  <c r="F3266" i="25"/>
  <c r="F3274" i="25"/>
  <c r="F3282" i="25"/>
  <c r="F3290" i="25"/>
  <c r="F3298" i="25"/>
  <c r="F3306" i="25"/>
  <c r="F3314" i="25"/>
  <c r="F3322" i="25"/>
  <c r="F3330" i="25"/>
  <c r="F3338" i="25"/>
  <c r="F3346" i="25"/>
  <c r="F3354" i="25"/>
  <c r="F3362" i="25"/>
  <c r="F3370" i="25"/>
  <c r="F3378" i="25"/>
  <c r="F3386" i="25"/>
  <c r="F3394" i="25"/>
  <c r="F3402" i="25"/>
  <c r="F3410" i="25"/>
  <c r="F3418" i="25"/>
  <c r="F3426" i="25"/>
  <c r="F3434" i="25"/>
  <c r="F3442" i="25"/>
  <c r="F3450" i="25"/>
  <c r="F3458" i="25"/>
  <c r="F3466" i="25"/>
  <c r="F3474" i="25"/>
  <c r="F3482" i="25"/>
  <c r="F3490" i="25"/>
  <c r="F3498" i="25"/>
  <c r="F3506" i="25"/>
  <c r="F3514" i="25"/>
  <c r="F3522" i="25"/>
  <c r="F3530" i="25"/>
  <c r="F3538" i="25"/>
  <c r="F3546" i="25"/>
  <c r="F3554" i="25"/>
  <c r="F3562" i="25"/>
  <c r="F3570" i="25"/>
  <c r="F3578" i="25"/>
  <c r="F3586" i="25"/>
  <c r="F3594" i="25"/>
  <c r="F3602" i="25"/>
  <c r="F3610" i="25"/>
  <c r="F3618" i="25"/>
  <c r="F3626" i="25"/>
  <c r="F3634" i="25"/>
  <c r="F3642" i="25"/>
  <c r="F3650" i="25"/>
  <c r="F3658" i="25"/>
  <c r="F3666" i="25"/>
  <c r="F3674" i="25"/>
  <c r="F3682" i="25"/>
  <c r="F3690" i="25"/>
  <c r="F3698" i="25"/>
  <c r="F3706" i="25"/>
  <c r="F3714" i="25"/>
  <c r="F3722" i="25"/>
  <c r="F3730" i="25"/>
  <c r="F3738" i="25"/>
  <c r="F3746" i="25"/>
  <c r="F3754" i="25"/>
  <c r="F3762" i="25"/>
  <c r="F3770" i="25"/>
  <c r="F3778" i="25"/>
  <c r="F3786" i="25"/>
  <c r="F3794" i="25"/>
  <c r="F3802" i="25"/>
  <c r="F3810" i="25"/>
  <c r="F3818" i="25"/>
  <c r="F3826" i="25"/>
  <c r="F3834" i="25"/>
  <c r="F3842" i="25"/>
  <c r="F3850" i="25"/>
  <c r="F3858" i="25"/>
  <c r="F3866" i="25"/>
  <c r="F3874" i="25"/>
  <c r="F3882" i="25"/>
  <c r="F3890" i="25"/>
  <c r="F3898" i="25"/>
  <c r="F3906" i="25"/>
  <c r="F3914" i="25"/>
  <c r="F3922" i="25"/>
  <c r="F3930" i="25"/>
  <c r="F3938" i="25"/>
  <c r="F3946" i="25"/>
  <c r="F3954" i="25"/>
  <c r="F3962" i="25"/>
  <c r="F3970" i="25"/>
  <c r="F3978" i="25"/>
  <c r="F2443" i="25"/>
  <c r="F2508" i="25"/>
  <c r="F2572" i="25"/>
  <c r="F2636" i="25"/>
  <c r="F2700" i="25"/>
  <c r="F2764" i="25"/>
  <c r="F2796" i="25"/>
  <c r="F2815" i="25"/>
  <c r="F2838" i="25"/>
  <c r="F2860" i="25"/>
  <c r="F2879" i="25"/>
  <c r="F2896" i="25"/>
  <c r="F2912" i="25"/>
  <c r="F2928" i="25"/>
  <c r="F2942" i="25"/>
  <c r="F2956" i="25"/>
  <c r="F2967" i="25"/>
  <c r="F2980" i="25"/>
  <c r="F2990" i="25"/>
  <c r="F3000" i="25"/>
  <c r="F3011" i="25"/>
  <c r="F3019" i="25"/>
  <c r="F3027" i="25"/>
  <c r="F3035" i="25"/>
  <c r="F3043" i="25"/>
  <c r="F3051" i="25"/>
  <c r="F3059" i="25"/>
  <c r="F3067" i="25"/>
  <c r="F3075" i="25"/>
  <c r="F3083" i="25"/>
  <c r="F3091" i="25"/>
  <c r="F3099" i="25"/>
  <c r="F3107" i="25"/>
  <c r="F3115" i="25"/>
  <c r="F3123" i="25"/>
  <c r="F3131" i="25"/>
  <c r="F3139" i="25"/>
  <c r="F3147" i="25"/>
  <c r="F3155" i="25"/>
  <c r="F3163" i="25"/>
  <c r="F3171" i="25"/>
  <c r="F3179" i="25"/>
  <c r="F3187" i="25"/>
  <c r="F3195" i="25"/>
  <c r="F3203" i="25"/>
  <c r="F3211" i="25"/>
  <c r="F3219" i="25"/>
  <c r="F3227" i="25"/>
  <c r="F3235" i="25"/>
  <c r="F3243" i="25"/>
  <c r="F3251" i="25"/>
  <c r="F3259" i="25"/>
  <c r="F3267" i="25"/>
  <c r="F3275" i="25"/>
  <c r="F3283" i="25"/>
  <c r="F3291" i="25"/>
  <c r="F3299" i="25"/>
  <c r="F3307" i="25"/>
  <c r="F3315" i="25"/>
  <c r="F3323" i="25"/>
  <c r="F3331" i="25"/>
  <c r="F3339" i="25"/>
  <c r="F3347" i="25"/>
  <c r="F3355" i="25"/>
  <c r="F3363" i="25"/>
  <c r="F3371" i="25"/>
  <c r="F3379" i="25"/>
  <c r="F3387" i="25"/>
  <c r="F3395" i="25"/>
  <c r="F3403" i="25"/>
  <c r="F3411" i="25"/>
  <c r="F3419" i="25"/>
  <c r="F3427" i="25"/>
  <c r="F3435" i="25"/>
  <c r="F3443" i="25"/>
  <c r="F3451" i="25"/>
  <c r="F3459" i="25"/>
  <c r="F3467" i="25"/>
  <c r="F3475" i="25"/>
  <c r="F3483" i="25"/>
  <c r="F3491" i="25"/>
  <c r="F3499" i="25"/>
  <c r="F3507" i="25"/>
  <c r="F3515" i="25"/>
  <c r="F3523" i="25"/>
  <c r="F3531" i="25"/>
  <c r="F3539" i="25"/>
  <c r="F3547" i="25"/>
  <c r="F3555" i="25"/>
  <c r="F3563" i="25"/>
  <c r="F3571" i="25"/>
  <c r="F3579" i="25"/>
  <c r="F3587" i="25"/>
  <c r="F3595" i="25"/>
  <c r="F3603" i="25"/>
  <c r="F3611" i="25"/>
  <c r="F3619" i="25"/>
  <c r="F3627" i="25"/>
  <c r="F3635" i="25"/>
  <c r="F3643" i="25"/>
  <c r="F3651" i="25"/>
  <c r="F3659" i="25"/>
  <c r="F3667" i="25"/>
  <c r="F3675" i="25"/>
  <c r="F3683" i="25"/>
  <c r="F3691" i="25"/>
  <c r="F3699" i="25"/>
  <c r="F3707" i="25"/>
  <c r="F3715" i="25"/>
  <c r="F3723" i="25"/>
  <c r="F3731" i="25"/>
  <c r="F3739" i="25"/>
  <c r="F3747" i="25"/>
  <c r="F3755" i="25"/>
  <c r="F3763" i="25"/>
  <c r="F3771" i="25"/>
  <c r="F3779" i="25"/>
  <c r="F3787" i="25"/>
  <c r="F3795" i="25"/>
  <c r="F3803" i="25"/>
  <c r="F3811" i="25"/>
  <c r="F3819" i="25"/>
  <c r="F3827" i="25"/>
  <c r="F3835" i="25"/>
  <c r="F3843" i="25"/>
  <c r="F3851" i="25"/>
  <c r="F3859" i="25"/>
  <c r="F3867" i="25"/>
  <c r="F3931" i="25"/>
  <c r="F3987" i="25"/>
  <c r="F4018" i="25"/>
  <c r="F4038" i="25"/>
  <c r="F4056" i="25"/>
  <c r="F4070" i="25"/>
  <c r="F4081" i="25"/>
  <c r="F4091" i="25"/>
  <c r="F4103" i="25"/>
  <c r="F4113" i="25"/>
  <c r="F4123" i="25"/>
  <c r="F4135" i="25"/>
  <c r="F4145" i="25"/>
  <c r="F4155" i="25"/>
  <c r="F4167" i="25"/>
  <c r="F4177" i="25"/>
  <c r="F4187" i="25"/>
  <c r="F4199" i="25"/>
  <c r="F4207" i="25"/>
  <c r="F4215" i="25"/>
  <c r="F4223" i="25"/>
  <c r="F4231" i="25"/>
  <c r="F4239" i="25"/>
  <c r="F4247" i="25"/>
  <c r="F4255" i="25"/>
  <c r="F4263" i="25"/>
  <c r="F4271" i="25"/>
  <c r="F4279" i="25"/>
  <c r="F4287" i="25"/>
  <c r="F4295" i="25"/>
  <c r="F4303" i="25"/>
  <c r="F4311" i="25"/>
  <c r="F4319" i="25"/>
  <c r="F4327" i="25"/>
  <c r="F4335" i="25"/>
  <c r="F4343" i="25"/>
  <c r="F4351" i="25"/>
  <c r="F4359" i="25"/>
  <c r="F4367" i="25"/>
  <c r="F4375" i="25"/>
  <c r="F4383" i="25"/>
  <c r="F4391" i="25"/>
  <c r="F4399" i="25"/>
  <c r="F4407" i="25"/>
  <c r="F4415" i="25"/>
  <c r="F4423" i="25"/>
  <c r="F4431" i="25"/>
  <c r="F4439" i="25"/>
  <c r="F4447" i="25"/>
  <c r="F4455" i="25"/>
  <c r="F4463" i="25"/>
  <c r="F4471" i="25"/>
  <c r="F4479" i="25"/>
  <c r="F4487" i="25"/>
  <c r="F4495" i="25"/>
  <c r="F4503" i="25"/>
  <c r="F4511" i="25"/>
  <c r="F4519" i="25"/>
  <c r="F4527" i="25"/>
  <c r="F4535" i="25"/>
  <c r="F4543" i="25"/>
  <c r="F4551" i="25"/>
  <c r="F4559" i="25"/>
  <c r="F4567" i="25"/>
  <c r="F4575" i="25"/>
  <c r="F4583" i="25"/>
  <c r="F4591" i="25"/>
  <c r="F4599" i="25"/>
  <c r="F4607" i="25"/>
  <c r="F4615" i="25"/>
  <c r="F4623" i="25"/>
  <c r="F4631" i="25"/>
  <c r="F4639" i="25"/>
  <c r="F4647" i="25"/>
  <c r="F4655" i="25"/>
  <c r="F4663" i="25"/>
  <c r="F4671" i="25"/>
  <c r="F4679" i="25"/>
  <c r="F4687" i="25"/>
  <c r="F4695" i="25"/>
  <c r="F4703" i="25"/>
  <c r="F4711" i="25"/>
  <c r="F4719" i="25"/>
  <c r="F4727" i="25"/>
  <c r="F4735" i="25"/>
  <c r="F4743" i="25"/>
  <c r="F4751" i="25"/>
  <c r="F4759" i="25"/>
  <c r="F4767" i="25"/>
  <c r="F4775" i="25"/>
  <c r="F4783" i="25"/>
  <c r="F4791" i="25"/>
  <c r="F4799" i="25"/>
  <c r="F4807" i="25"/>
  <c r="F4815" i="25"/>
  <c r="F4823" i="25"/>
  <c r="F4831" i="25"/>
  <c r="F4839" i="25"/>
  <c r="F4847" i="25"/>
  <c r="F4855" i="25"/>
  <c r="F4863" i="25"/>
  <c r="F4871" i="25"/>
  <c r="F4879" i="25"/>
  <c r="F4887" i="25"/>
  <c r="F4895" i="25"/>
  <c r="F4903" i="25"/>
  <c r="F4911" i="25"/>
  <c r="F4919" i="25"/>
  <c r="F4927" i="25"/>
  <c r="F4935" i="25"/>
  <c r="F4943" i="25"/>
  <c r="F4951" i="25"/>
  <c r="F4959" i="25"/>
  <c r="F4967" i="25"/>
  <c r="F4975" i="25"/>
  <c r="F4983" i="25"/>
  <c r="F4991" i="25"/>
  <c r="F4999" i="25"/>
  <c r="F5007" i="25"/>
  <c r="F5015" i="25"/>
  <c r="F5023" i="25"/>
  <c r="F5031" i="25"/>
  <c r="F5039" i="25"/>
  <c r="F5047" i="25"/>
  <c r="F5055" i="25"/>
  <c r="F5063" i="25"/>
  <c r="F5071" i="25"/>
  <c r="F5079" i="25"/>
  <c r="F5087" i="25"/>
  <c r="F5095" i="25"/>
  <c r="F5103" i="25"/>
  <c r="F5111" i="25"/>
  <c r="F5119" i="25"/>
  <c r="F5127" i="25"/>
  <c r="F5135" i="25"/>
  <c r="F5143" i="25"/>
  <c r="F5151" i="25"/>
  <c r="F5159" i="25"/>
  <c r="F5167" i="25"/>
  <c r="F5175" i="25"/>
  <c r="F5183" i="25"/>
  <c r="F5191" i="25"/>
  <c r="F5199" i="25"/>
  <c r="F5207" i="25"/>
  <c r="F5215" i="25"/>
  <c r="F5223" i="25"/>
  <c r="F5231" i="25"/>
  <c r="F5239" i="25"/>
  <c r="F5247" i="25"/>
  <c r="F5255" i="25"/>
  <c r="F5263" i="25"/>
  <c r="F5271" i="25"/>
  <c r="F5279" i="25"/>
  <c r="F5287" i="25"/>
  <c r="F5295" i="25"/>
  <c r="F5303" i="25"/>
  <c r="F5311" i="25"/>
  <c r="F5319" i="25"/>
  <c r="F5327" i="25"/>
  <c r="F5335" i="25"/>
  <c r="F5343" i="25"/>
  <c r="F5351" i="25"/>
  <c r="F5359" i="25"/>
  <c r="F5367" i="25"/>
  <c r="F5375" i="25"/>
  <c r="F5383" i="25"/>
  <c r="F5391" i="25"/>
  <c r="F5399" i="25"/>
  <c r="F3875" i="25"/>
  <c r="F3939" i="25"/>
  <c r="F3994" i="25"/>
  <c r="F4019" i="25"/>
  <c r="F4042" i="25"/>
  <c r="F4058" i="25"/>
  <c r="F4071" i="25"/>
  <c r="F4082" i="25"/>
  <c r="F4094" i="25"/>
  <c r="F4104" i="25"/>
  <c r="F4114" i="25"/>
  <c r="F4126" i="25"/>
  <c r="F4136" i="25"/>
  <c r="F4146" i="25"/>
  <c r="F4158" i="25"/>
  <c r="F4168" i="25"/>
  <c r="F4178" i="25"/>
  <c r="F4190" i="25"/>
  <c r="F4200" i="25"/>
  <c r="F4208" i="25"/>
  <c r="F4216" i="25"/>
  <c r="F4224" i="25"/>
  <c r="F4232" i="25"/>
  <c r="F4240" i="25"/>
  <c r="F4248" i="25"/>
  <c r="F4256" i="25"/>
  <c r="F4264" i="25"/>
  <c r="F4272" i="25"/>
  <c r="F4280" i="25"/>
  <c r="F4288" i="25"/>
  <c r="F4296" i="25"/>
  <c r="F4304" i="25"/>
  <c r="F4312" i="25"/>
  <c r="F4320" i="25"/>
  <c r="F4328" i="25"/>
  <c r="F4336" i="25"/>
  <c r="F4344" i="25"/>
  <c r="F4352" i="25"/>
  <c r="F4360" i="25"/>
  <c r="F4368" i="25"/>
  <c r="F4376" i="25"/>
  <c r="F4384" i="25"/>
  <c r="F4392" i="25"/>
  <c r="F4400" i="25"/>
  <c r="F4408" i="25"/>
  <c r="F4416" i="25"/>
  <c r="F4424" i="25"/>
  <c r="F4432" i="25"/>
  <c r="F4440" i="25"/>
  <c r="F4448" i="25"/>
  <c r="F4456" i="25"/>
  <c r="F4464" i="25"/>
  <c r="F4472" i="25"/>
  <c r="F4480" i="25"/>
  <c r="F4488" i="25"/>
  <c r="F4496" i="25"/>
  <c r="F4504" i="25"/>
  <c r="F4512" i="25"/>
  <c r="F4520" i="25"/>
  <c r="F4528" i="25"/>
  <c r="F4536" i="25"/>
  <c r="F4544" i="25"/>
  <c r="F4552" i="25"/>
  <c r="F4560" i="25"/>
  <c r="F4568" i="25"/>
  <c r="F4576" i="25"/>
  <c r="F4584" i="25"/>
  <c r="F4592" i="25"/>
  <c r="F4600" i="25"/>
  <c r="F4608" i="25"/>
  <c r="F4616" i="25"/>
  <c r="F4624" i="25"/>
  <c r="F4632" i="25"/>
  <c r="F4640" i="25"/>
  <c r="F4648" i="25"/>
  <c r="F4656" i="25"/>
  <c r="F4664" i="25"/>
  <c r="F4672" i="25"/>
  <c r="F4680" i="25"/>
  <c r="F4688" i="25"/>
  <c r="F4696" i="25"/>
  <c r="F4704" i="25"/>
  <c r="F4712" i="25"/>
  <c r="F4720" i="25"/>
  <c r="F4728" i="25"/>
  <c r="F4736" i="25"/>
  <c r="F4744" i="25"/>
  <c r="F4752" i="25"/>
  <c r="F4760" i="25"/>
  <c r="F4768" i="25"/>
  <c r="F4776" i="25"/>
  <c r="F4784" i="25"/>
  <c r="F4792" i="25"/>
  <c r="F4800" i="25"/>
  <c r="F4808" i="25"/>
  <c r="F4816" i="25"/>
  <c r="F4824" i="25"/>
  <c r="F4832" i="25"/>
  <c r="F4840" i="25"/>
  <c r="F4848" i="25"/>
  <c r="F4856" i="25"/>
  <c r="F4864" i="25"/>
  <c r="F4872" i="25"/>
  <c r="F4880" i="25"/>
  <c r="F4888" i="25"/>
  <c r="F4896" i="25"/>
  <c r="F4904" i="25"/>
  <c r="F4912" i="25"/>
  <c r="F4920" i="25"/>
  <c r="F4928" i="25"/>
  <c r="F4936" i="25"/>
  <c r="F4944" i="25"/>
  <c r="F4952" i="25"/>
  <c r="F4960" i="25"/>
  <c r="F4968" i="25"/>
  <c r="F4976" i="25"/>
  <c r="F4984" i="25"/>
  <c r="F4992" i="25"/>
  <c r="F5000" i="25"/>
  <c r="F5008" i="25"/>
  <c r="F5016" i="25"/>
  <c r="F5024" i="25"/>
  <c r="F5032" i="25"/>
  <c r="F5040" i="25"/>
  <c r="F5048" i="25"/>
  <c r="F5056" i="25"/>
  <c r="F5064" i="25"/>
  <c r="F5072" i="25"/>
  <c r="F5080" i="25"/>
  <c r="F5088" i="25"/>
  <c r="F5096" i="25"/>
  <c r="F5104" i="25"/>
  <c r="F5112" i="25"/>
  <c r="F5120" i="25"/>
  <c r="F5128" i="25"/>
  <c r="F5136" i="25"/>
  <c r="F5144" i="25"/>
  <c r="F5152" i="25"/>
  <c r="F5160" i="25"/>
  <c r="F5168" i="25"/>
  <c r="F5176" i="25"/>
  <c r="F5184" i="25"/>
  <c r="F5192" i="25"/>
  <c r="F5200" i="25"/>
  <c r="F5208" i="25"/>
  <c r="F5216" i="25"/>
  <c r="F5224" i="25"/>
  <c r="F5232" i="25"/>
  <c r="F5240" i="25"/>
  <c r="F5248" i="25"/>
  <c r="F5256" i="25"/>
  <c r="F5264" i="25"/>
  <c r="F5272" i="25"/>
  <c r="F5280" i="25"/>
  <c r="F5288" i="25"/>
  <c r="F5296" i="25"/>
  <c r="F5304" i="25"/>
  <c r="F5312" i="25"/>
  <c r="F5320" i="25"/>
  <c r="F5328" i="25"/>
  <c r="F5336" i="25"/>
  <c r="F5344" i="25"/>
  <c r="F5352" i="25"/>
  <c r="F5360" i="25"/>
  <c r="F5368" i="25"/>
  <c r="F5376" i="25"/>
  <c r="F5384" i="25"/>
  <c r="F5392" i="25"/>
  <c r="F5400" i="25"/>
  <c r="F3883" i="25"/>
  <c r="F3947" i="25"/>
  <c r="F3995" i="25"/>
  <c r="F4022" i="25"/>
  <c r="F4043" i="25"/>
  <c r="F4059" i="25"/>
  <c r="F4072" i="25"/>
  <c r="F4083" i="25"/>
  <c r="F4095" i="25"/>
  <c r="F4105" i="25"/>
  <c r="F4115" i="25"/>
  <c r="F4127" i="25"/>
  <c r="F4137" i="25"/>
  <c r="F4147" i="25"/>
  <c r="F4159" i="25"/>
  <c r="F4169" i="25"/>
  <c r="F4179" i="25"/>
  <c r="F4191" i="25"/>
  <c r="F4201" i="25"/>
  <c r="F4209" i="25"/>
  <c r="F4217" i="25"/>
  <c r="F4225" i="25"/>
  <c r="F4233" i="25"/>
  <c r="F4241" i="25"/>
  <c r="F4249" i="25"/>
  <c r="F4257" i="25"/>
  <c r="F4265" i="25"/>
  <c r="F4273" i="25"/>
  <c r="F4281" i="25"/>
  <c r="F4289" i="25"/>
  <c r="F4297" i="25"/>
  <c r="F4305" i="25"/>
  <c r="F4313" i="25"/>
  <c r="F4321" i="25"/>
  <c r="F4329" i="25"/>
  <c r="F4337" i="25"/>
  <c r="F4345" i="25"/>
  <c r="F4353" i="25"/>
  <c r="F4361" i="25"/>
  <c r="F4369" i="25"/>
  <c r="F4377" i="25"/>
  <c r="F4385" i="25"/>
  <c r="F4393" i="25"/>
  <c r="F4401" i="25"/>
  <c r="F4409" i="25"/>
  <c r="F4417" i="25"/>
  <c r="F4425" i="25"/>
  <c r="F4433" i="25"/>
  <c r="F4441" i="25"/>
  <c r="F4449" i="25"/>
  <c r="F4457" i="25"/>
  <c r="F4465" i="25"/>
  <c r="F4473" i="25"/>
  <c r="F4481" i="25"/>
  <c r="F4489" i="25"/>
  <c r="F4497" i="25"/>
  <c r="F4505" i="25"/>
  <c r="F4513" i="25"/>
  <c r="F4521" i="25"/>
  <c r="F4529" i="25"/>
  <c r="F4537" i="25"/>
  <c r="F4545" i="25"/>
  <c r="F4553" i="25"/>
  <c r="F4561" i="25"/>
  <c r="F4569" i="25"/>
  <c r="F4577" i="25"/>
  <c r="F4585" i="25"/>
  <c r="F4593" i="25"/>
  <c r="F4601" i="25"/>
  <c r="F4609" i="25"/>
  <c r="F4617" i="25"/>
  <c r="F4625" i="25"/>
  <c r="F4633" i="25"/>
  <c r="F4641" i="25"/>
  <c r="F4649" i="25"/>
  <c r="F4657" i="25"/>
  <c r="F4665" i="25"/>
  <c r="F4673" i="25"/>
  <c r="F4681" i="25"/>
  <c r="F4689" i="25"/>
  <c r="F4697" i="25"/>
  <c r="F4705" i="25"/>
  <c r="F4713" i="25"/>
  <c r="F4721" i="25"/>
  <c r="F4729" i="25"/>
  <c r="F4737" i="25"/>
  <c r="F4745" i="25"/>
  <c r="F4753" i="25"/>
  <c r="F4761" i="25"/>
  <c r="F4769" i="25"/>
  <c r="F4777" i="25"/>
  <c r="F4785" i="25"/>
  <c r="F4793" i="25"/>
  <c r="F4801" i="25"/>
  <c r="F4809" i="25"/>
  <c r="F4817" i="25"/>
  <c r="F4825" i="25"/>
  <c r="F4833" i="25"/>
  <c r="F4841" i="25"/>
  <c r="F4849" i="25"/>
  <c r="F4857" i="25"/>
  <c r="F4865" i="25"/>
  <c r="F4873" i="25"/>
  <c r="F4881" i="25"/>
  <c r="F4889" i="25"/>
  <c r="F4897" i="25"/>
  <c r="F4905" i="25"/>
  <c r="F4913" i="25"/>
  <c r="F4921" i="25"/>
  <c r="F4929" i="25"/>
  <c r="F4937" i="25"/>
  <c r="F4945" i="25"/>
  <c r="F4953" i="25"/>
  <c r="F4961" i="25"/>
  <c r="F4969" i="25"/>
  <c r="F4977" i="25"/>
  <c r="F4985" i="25"/>
  <c r="F4993" i="25"/>
  <c r="F5001" i="25"/>
  <c r="F5009" i="25"/>
  <c r="F5017" i="25"/>
  <c r="F5025" i="25"/>
  <c r="F5033" i="25"/>
  <c r="F5041" i="25"/>
  <c r="F5049" i="25"/>
  <c r="F5057" i="25"/>
  <c r="F5065" i="25"/>
  <c r="F5073" i="25"/>
  <c r="F5081" i="25"/>
  <c r="F5089" i="25"/>
  <c r="F5097" i="25"/>
  <c r="F5105" i="25"/>
  <c r="F5113" i="25"/>
  <c r="F5121" i="25"/>
  <c r="F5129" i="25"/>
  <c r="F5137" i="25"/>
  <c r="F5145" i="25"/>
  <c r="F5153" i="25"/>
  <c r="F5161" i="25"/>
  <c r="F5169" i="25"/>
  <c r="F5177" i="25"/>
  <c r="F5185" i="25"/>
  <c r="F5193" i="25"/>
  <c r="F5201" i="25"/>
  <c r="F5209" i="25"/>
  <c r="F5217" i="25"/>
  <c r="F5225" i="25"/>
  <c r="F5233" i="25"/>
  <c r="F5241" i="25"/>
  <c r="F5249" i="25"/>
  <c r="F5257" i="25"/>
  <c r="F5265" i="25"/>
  <c r="F5273" i="25"/>
  <c r="F5281" i="25"/>
  <c r="F5289" i="25"/>
  <c r="F5297" i="25"/>
  <c r="F5305" i="25"/>
  <c r="F5313" i="25"/>
  <c r="F5321" i="25"/>
  <c r="F5329" i="25"/>
  <c r="F5337" i="25"/>
  <c r="F5345" i="25"/>
  <c r="F5353" i="25"/>
  <c r="F5361" i="25"/>
  <c r="F5369" i="25"/>
  <c r="F5377" i="25"/>
  <c r="F5385" i="25"/>
  <c r="F3891" i="25"/>
  <c r="F3955" i="25"/>
  <c r="F4002" i="25"/>
  <c r="F4026" i="25"/>
  <c r="F4046" i="25"/>
  <c r="F4062" i="25"/>
  <c r="F4074" i="25"/>
  <c r="F4086" i="25"/>
  <c r="F4096" i="25"/>
  <c r="F4106" i="25"/>
  <c r="F4118" i="25"/>
  <c r="F4128" i="25"/>
  <c r="F4138" i="25"/>
  <c r="F4150" i="25"/>
  <c r="F4160" i="25"/>
  <c r="F4170" i="25"/>
  <c r="F4182" i="25"/>
  <c r="F4192" i="25"/>
  <c r="F4202" i="25"/>
  <c r="F4210" i="25"/>
  <c r="F4218" i="25"/>
  <c r="F4226" i="25"/>
  <c r="F4234" i="25"/>
  <c r="F4242" i="25"/>
  <c r="F4250" i="25"/>
  <c r="F4258" i="25"/>
  <c r="F4266" i="25"/>
  <c r="F4274" i="25"/>
  <c r="F4282" i="25"/>
  <c r="F4290" i="25"/>
  <c r="F4298" i="25"/>
  <c r="F4306" i="25"/>
  <c r="F4314" i="25"/>
  <c r="F4322" i="25"/>
  <c r="F4330" i="25"/>
  <c r="F4338" i="25"/>
  <c r="F4346" i="25"/>
  <c r="F4354" i="25"/>
  <c r="F4362" i="25"/>
  <c r="F4370" i="25"/>
  <c r="F4378" i="25"/>
  <c r="F4386" i="25"/>
  <c r="F4394" i="25"/>
  <c r="F4402" i="25"/>
  <c r="F4410" i="25"/>
  <c r="F4418" i="25"/>
  <c r="F4426" i="25"/>
  <c r="F4434" i="25"/>
  <c r="F4442" i="25"/>
  <c r="F4450" i="25"/>
  <c r="F4458" i="25"/>
  <c r="F4466" i="25"/>
  <c r="F4474" i="25"/>
  <c r="F4482" i="25"/>
  <c r="F4490" i="25"/>
  <c r="F4498" i="25"/>
  <c r="F4506" i="25"/>
  <c r="F4514" i="25"/>
  <c r="F4522" i="25"/>
  <c r="F4530" i="25"/>
  <c r="F4538" i="25"/>
  <c r="F4546" i="25"/>
  <c r="F4554" i="25"/>
  <c r="F4562" i="25"/>
  <c r="F4570" i="25"/>
  <c r="F4578" i="25"/>
  <c r="F4586" i="25"/>
  <c r="F4594" i="25"/>
  <c r="F4602" i="25"/>
  <c r="F4610" i="25"/>
  <c r="F4618" i="25"/>
  <c r="F4626" i="25"/>
  <c r="F4634" i="25"/>
  <c r="F4642" i="25"/>
  <c r="F4650" i="25"/>
  <c r="F4658" i="25"/>
  <c r="F4666" i="25"/>
  <c r="F4674" i="25"/>
  <c r="F4682" i="25"/>
  <c r="F4690" i="25"/>
  <c r="F4698" i="25"/>
  <c r="F4706" i="25"/>
  <c r="F4714" i="25"/>
  <c r="F4722" i="25"/>
  <c r="F4730" i="25"/>
  <c r="F4738" i="25"/>
  <c r="F4746" i="25"/>
  <c r="F4754" i="25"/>
  <c r="F4762" i="25"/>
  <c r="F4770" i="25"/>
  <c r="F4778" i="25"/>
  <c r="F4786" i="25"/>
  <c r="F4794" i="25"/>
  <c r="F4802" i="25"/>
  <c r="F4810" i="25"/>
  <c r="F4818" i="25"/>
  <c r="F4826" i="25"/>
  <c r="F4834" i="25"/>
  <c r="F4842" i="25"/>
  <c r="F4850" i="25"/>
  <c r="F4858" i="25"/>
  <c r="F4866" i="25"/>
  <c r="F4874" i="25"/>
  <c r="F4882" i="25"/>
  <c r="F4890" i="25"/>
  <c r="F4898" i="25"/>
  <c r="F4906" i="25"/>
  <c r="F4914" i="25"/>
  <c r="F4922" i="25"/>
  <c r="F4930" i="25"/>
  <c r="F4938" i="25"/>
  <c r="F4946" i="25"/>
  <c r="F4954" i="25"/>
  <c r="F4962" i="25"/>
  <c r="F4970" i="25"/>
  <c r="F4978" i="25"/>
  <c r="F4986" i="25"/>
  <c r="F4994" i="25"/>
  <c r="F5002" i="25"/>
  <c r="F5010" i="25"/>
  <c r="F5018" i="25"/>
  <c r="F5026" i="25"/>
  <c r="F5034" i="25"/>
  <c r="F5042" i="25"/>
  <c r="F5050" i="25"/>
  <c r="F5058" i="25"/>
  <c r="F5066" i="25"/>
  <c r="F5074" i="25"/>
  <c r="F5082" i="25"/>
  <c r="F5090" i="25"/>
  <c r="F5098" i="25"/>
  <c r="F5106" i="25"/>
  <c r="F5114" i="25"/>
  <c r="F5122" i="25"/>
  <c r="F5130" i="25"/>
  <c r="F5138" i="25"/>
  <c r="F5146" i="25"/>
  <c r="F5154" i="25"/>
  <c r="F5162" i="25"/>
  <c r="F5170" i="25"/>
  <c r="F5178" i="25"/>
  <c r="F5186" i="25"/>
  <c r="F5194" i="25"/>
  <c r="F5202" i="25"/>
  <c r="F5210" i="25"/>
  <c r="F5218" i="25"/>
  <c r="F5226" i="25"/>
  <c r="F5234" i="25"/>
  <c r="F5242" i="25"/>
  <c r="F5250" i="25"/>
  <c r="F5258" i="25"/>
  <c r="F5266" i="25"/>
  <c r="F5274" i="25"/>
  <c r="F5282" i="25"/>
  <c r="F5290" i="25"/>
  <c r="F5298" i="25"/>
  <c r="F5306" i="25"/>
  <c r="F5314" i="25"/>
  <c r="F5322" i="25"/>
  <c r="F5330" i="25"/>
  <c r="F5338" i="25"/>
  <c r="F5346" i="25"/>
  <c r="F5354" i="25"/>
  <c r="F5362" i="25"/>
  <c r="F5370" i="25"/>
  <c r="F5378" i="25"/>
  <c r="F5386" i="25"/>
  <c r="F5394" i="25"/>
  <c r="F5402" i="25"/>
  <c r="F3899" i="25"/>
  <c r="F3963" i="25"/>
  <c r="F4003" i="25"/>
  <c r="F4027" i="25"/>
  <c r="F4048" i="25"/>
  <c r="F4063" i="25"/>
  <c r="F4075" i="25"/>
  <c r="F4087" i="25"/>
  <c r="F4097" i="25"/>
  <c r="F4107" i="25"/>
  <c r="F4119" i="25"/>
  <c r="F4129" i="25"/>
  <c r="F4139" i="25"/>
  <c r="F4151" i="25"/>
  <c r="F4161" i="25"/>
  <c r="F4171" i="25"/>
  <c r="F4183" i="25"/>
  <c r="F4193" i="25"/>
  <c r="F4203" i="25"/>
  <c r="F4211" i="25"/>
  <c r="F4219" i="25"/>
  <c r="F4227" i="25"/>
  <c r="F4235" i="25"/>
  <c r="F4243" i="25"/>
  <c r="F4251" i="25"/>
  <c r="F4259" i="25"/>
  <c r="F4267" i="25"/>
  <c r="F4275" i="25"/>
  <c r="F4283" i="25"/>
  <c r="F4291" i="25"/>
  <c r="F4299" i="25"/>
  <c r="F4307" i="25"/>
  <c r="F4315" i="25"/>
  <c r="F4323" i="25"/>
  <c r="F4331" i="25"/>
  <c r="F4339" i="25"/>
  <c r="F4347" i="25"/>
  <c r="F4355" i="25"/>
  <c r="F4363" i="25"/>
  <c r="F4371" i="25"/>
  <c r="F4379" i="25"/>
  <c r="F4387" i="25"/>
  <c r="F4395" i="25"/>
  <c r="F4403" i="25"/>
  <c r="F4411" i="25"/>
  <c r="F4419" i="25"/>
  <c r="F4427" i="25"/>
  <c r="F4435" i="25"/>
  <c r="F4443" i="25"/>
  <c r="F4451" i="25"/>
  <c r="F4459" i="25"/>
  <c r="F4467" i="25"/>
  <c r="F4475" i="25"/>
  <c r="F4483" i="25"/>
  <c r="F4491" i="25"/>
  <c r="F4499" i="25"/>
  <c r="F4507" i="25"/>
  <c r="F4515" i="25"/>
  <c r="F4523" i="25"/>
  <c r="F4531" i="25"/>
  <c r="F4539" i="25"/>
  <c r="F4547" i="25"/>
  <c r="F4555" i="25"/>
  <c r="F4563" i="25"/>
  <c r="F4571" i="25"/>
  <c r="F4579" i="25"/>
  <c r="F4587" i="25"/>
  <c r="F4595" i="25"/>
  <c r="F4603" i="25"/>
  <c r="F4611" i="25"/>
  <c r="F4619" i="25"/>
  <c r="F4627" i="25"/>
  <c r="F4635" i="25"/>
  <c r="F4643" i="25"/>
  <c r="F4651" i="25"/>
  <c r="F4659" i="25"/>
  <c r="F4667" i="25"/>
  <c r="F4675" i="25"/>
  <c r="F4683" i="25"/>
  <c r="F4691" i="25"/>
  <c r="F4699" i="25"/>
  <c r="F4707" i="25"/>
  <c r="F4715" i="25"/>
  <c r="F4723" i="25"/>
  <c r="F4731" i="25"/>
  <c r="F4739" i="25"/>
  <c r="F4747" i="25"/>
  <c r="F4755" i="25"/>
  <c r="F4763" i="25"/>
  <c r="F4771" i="25"/>
  <c r="F4779" i="25"/>
  <c r="F4787" i="25"/>
  <c r="F4795" i="25"/>
  <c r="F4803" i="25"/>
  <c r="F4811" i="25"/>
  <c r="F4819" i="25"/>
  <c r="F4827" i="25"/>
  <c r="F4835" i="25"/>
  <c r="F4843" i="25"/>
  <c r="F4851" i="25"/>
  <c r="F4859" i="25"/>
  <c r="F4867" i="25"/>
  <c r="F4875" i="25"/>
  <c r="F4883" i="25"/>
  <c r="F4891" i="25"/>
  <c r="F4899" i="25"/>
  <c r="F4907" i="25"/>
  <c r="F4915" i="25"/>
  <c r="F4923" i="25"/>
  <c r="F4931" i="25"/>
  <c r="F4939" i="25"/>
  <c r="F4947" i="25"/>
  <c r="F4955" i="25"/>
  <c r="F4963" i="25"/>
  <c r="F4971" i="25"/>
  <c r="F4979" i="25"/>
  <c r="F4987" i="25"/>
  <c r="F4995" i="25"/>
  <c r="F5003" i="25"/>
  <c r="F5011" i="25"/>
  <c r="F5019" i="25"/>
  <c r="F5027" i="25"/>
  <c r="F5035" i="25"/>
  <c r="F5043" i="25"/>
  <c r="F5051" i="25"/>
  <c r="F5059" i="25"/>
  <c r="F5067" i="25"/>
  <c r="F5075" i="25"/>
  <c r="F5083" i="25"/>
  <c r="F5091" i="25"/>
  <c r="F5099" i="25"/>
  <c r="F5107" i="25"/>
  <c r="F5115" i="25"/>
  <c r="F5123" i="25"/>
  <c r="F5131" i="25"/>
  <c r="F5139" i="25"/>
  <c r="F5147" i="25"/>
  <c r="F5155" i="25"/>
  <c r="F5163" i="25"/>
  <c r="F5171" i="25"/>
  <c r="F5179" i="25"/>
  <c r="F5187" i="25"/>
  <c r="F5195" i="25"/>
  <c r="F5203" i="25"/>
  <c r="F5211" i="25"/>
  <c r="F5219" i="25"/>
  <c r="F5227" i="25"/>
  <c r="F5235" i="25"/>
  <c r="F5243" i="25"/>
  <c r="F5251" i="25"/>
  <c r="F5259" i="25"/>
  <c r="F5267" i="25"/>
  <c r="F5275" i="25"/>
  <c r="F5283" i="25"/>
  <c r="F5291" i="25"/>
  <c r="F5299" i="25"/>
  <c r="F5307" i="25"/>
  <c r="F5315" i="25"/>
  <c r="F5323" i="25"/>
  <c r="F5331" i="25"/>
  <c r="F5339" i="25"/>
  <c r="F5347" i="25"/>
  <c r="F5355" i="25"/>
  <c r="F5363" i="25"/>
  <c r="F5371" i="25"/>
  <c r="F5379" i="25"/>
  <c r="F5387" i="25"/>
  <c r="F5395" i="25"/>
  <c r="F5403" i="25"/>
  <c r="F5411" i="25"/>
  <c r="F3907" i="25"/>
  <c r="F3971" i="25"/>
  <c r="F4010" i="25"/>
  <c r="F4030" i="25"/>
  <c r="F4050" i="25"/>
  <c r="F4064" i="25"/>
  <c r="F4078" i="25"/>
  <c r="F4088" i="25"/>
  <c r="F4098" i="25"/>
  <c r="F4110" i="25"/>
  <c r="F4120" i="25"/>
  <c r="F4130" i="25"/>
  <c r="F4142" i="25"/>
  <c r="F4152" i="25"/>
  <c r="F4162" i="25"/>
  <c r="F4174" i="25"/>
  <c r="F4184" i="25"/>
  <c r="F4194" i="25"/>
  <c r="F4204" i="25"/>
  <c r="F4212" i="25"/>
  <c r="F4220" i="25"/>
  <c r="F4228" i="25"/>
  <c r="F4236" i="25"/>
  <c r="F4244" i="25"/>
  <c r="F4252" i="25"/>
  <c r="F4260" i="25"/>
  <c r="F4268" i="25"/>
  <c r="F4276" i="25"/>
  <c r="F4284" i="25"/>
  <c r="F4292" i="25"/>
  <c r="F4300" i="25"/>
  <c r="F4308" i="25"/>
  <c r="F4316" i="25"/>
  <c r="F4324" i="25"/>
  <c r="F4332" i="25"/>
  <c r="F4340" i="25"/>
  <c r="F4348" i="25"/>
  <c r="F4356" i="25"/>
  <c r="F4364" i="25"/>
  <c r="F4372" i="25"/>
  <c r="F4380" i="25"/>
  <c r="F4388" i="25"/>
  <c r="F4396" i="25"/>
  <c r="F4404" i="25"/>
  <c r="F4412" i="25"/>
  <c r="F4420" i="25"/>
  <c r="F4428" i="25"/>
  <c r="F4436" i="25"/>
  <c r="F4444" i="25"/>
  <c r="F4452" i="25"/>
  <c r="F4460" i="25"/>
  <c r="F4468" i="25"/>
  <c r="F4476" i="25"/>
  <c r="F4484" i="25"/>
  <c r="F4492" i="25"/>
  <c r="F4500" i="25"/>
  <c r="F4508" i="25"/>
  <c r="F4516" i="25"/>
  <c r="F4524" i="25"/>
  <c r="F4532" i="25"/>
  <c r="F4540" i="25"/>
  <c r="F4548" i="25"/>
  <c r="F4556" i="25"/>
  <c r="F4564" i="25"/>
  <c r="F4572" i="25"/>
  <c r="F4580" i="25"/>
  <c r="F4588" i="25"/>
  <c r="F4596" i="25"/>
  <c r="F4604" i="25"/>
  <c r="F4612" i="25"/>
  <c r="F4620" i="25"/>
  <c r="F4628" i="25"/>
  <c r="F4636" i="25"/>
  <c r="F4644" i="25"/>
  <c r="F4652" i="25"/>
  <c r="F4660" i="25"/>
  <c r="F4668" i="25"/>
  <c r="F4676" i="25"/>
  <c r="F4684" i="25"/>
  <c r="F4692" i="25"/>
  <c r="F4700" i="25"/>
  <c r="F4708" i="25"/>
  <c r="F4716" i="25"/>
  <c r="F4724" i="25"/>
  <c r="F4732" i="25"/>
  <c r="F4740" i="25"/>
  <c r="F4748" i="25"/>
  <c r="F4756" i="25"/>
  <c r="F4764" i="25"/>
  <c r="F4772" i="25"/>
  <c r="F4780" i="25"/>
  <c r="F4788" i="25"/>
  <c r="F4796" i="25"/>
  <c r="F4804" i="25"/>
  <c r="F4812" i="25"/>
  <c r="F4820" i="25"/>
  <c r="F4828" i="25"/>
  <c r="F4836" i="25"/>
  <c r="F4844" i="25"/>
  <c r="F4852" i="25"/>
  <c r="F4860" i="25"/>
  <c r="F4868" i="25"/>
  <c r="F4876" i="25"/>
  <c r="F4884" i="25"/>
  <c r="F4892" i="25"/>
  <c r="F4900" i="25"/>
  <c r="F4908" i="25"/>
  <c r="F4916" i="25"/>
  <c r="F4924" i="25"/>
  <c r="F4932" i="25"/>
  <c r="F4940" i="25"/>
  <c r="F4948" i="25"/>
  <c r="F4956" i="25"/>
  <c r="F4964" i="25"/>
  <c r="F4972" i="25"/>
  <c r="F4980" i="25"/>
  <c r="F4988" i="25"/>
  <c r="F4996" i="25"/>
  <c r="F5004" i="25"/>
  <c r="F5012" i="25"/>
  <c r="F5020" i="25"/>
  <c r="F5028" i="25"/>
  <c r="F5036" i="25"/>
  <c r="F5044" i="25"/>
  <c r="F5052" i="25"/>
  <c r="F5060" i="25"/>
  <c r="F5068" i="25"/>
  <c r="F5076" i="25"/>
  <c r="F5084" i="25"/>
  <c r="F5092" i="25"/>
  <c r="F5100" i="25"/>
  <c r="F5108" i="25"/>
  <c r="F3915" i="25"/>
  <c r="F3979" i="25"/>
  <c r="F4011" i="25"/>
  <c r="F4034" i="25"/>
  <c r="F4051" i="25"/>
  <c r="F4066" i="25"/>
  <c r="F4079" i="25"/>
  <c r="F4089" i="25"/>
  <c r="F4099" i="25"/>
  <c r="F4111" i="25"/>
  <c r="F4121" i="25"/>
  <c r="F4131" i="25"/>
  <c r="F4143" i="25"/>
  <c r="F4153" i="25"/>
  <c r="F4163" i="25"/>
  <c r="F4175" i="25"/>
  <c r="F4185" i="25"/>
  <c r="F4195" i="25"/>
  <c r="F4205" i="25"/>
  <c r="F4213" i="25"/>
  <c r="F4221" i="25"/>
  <c r="F4229" i="25"/>
  <c r="F4237" i="25"/>
  <c r="F4245" i="25"/>
  <c r="F4253" i="25"/>
  <c r="F4261" i="25"/>
  <c r="F4269" i="25"/>
  <c r="F4277" i="25"/>
  <c r="F4285" i="25"/>
  <c r="F4293" i="25"/>
  <c r="F4301" i="25"/>
  <c r="F4309" i="25"/>
  <c r="F4317" i="25"/>
  <c r="F4325" i="25"/>
  <c r="F4333" i="25"/>
  <c r="F4341" i="25"/>
  <c r="F4349" i="25"/>
  <c r="F4357" i="25"/>
  <c r="F4365" i="25"/>
  <c r="F4373" i="25"/>
  <c r="F4381" i="25"/>
  <c r="F4389" i="25"/>
  <c r="F4397" i="25"/>
  <c r="F4405" i="25"/>
  <c r="F4413" i="25"/>
  <c r="F4421" i="25"/>
  <c r="F4429" i="25"/>
  <c r="F4437" i="25"/>
  <c r="F4445" i="25"/>
  <c r="F4453" i="25"/>
  <c r="F4461" i="25"/>
  <c r="F4469" i="25"/>
  <c r="F4477" i="25"/>
  <c r="F4485" i="25"/>
  <c r="F4493" i="25"/>
  <c r="F4501" i="25"/>
  <c r="F4509" i="25"/>
  <c r="F4517" i="25"/>
  <c r="F4525" i="25"/>
  <c r="F4533" i="25"/>
  <c r="F4541" i="25"/>
  <c r="F4549" i="25"/>
  <c r="F4557" i="25"/>
  <c r="F4565" i="25"/>
  <c r="F4573" i="25"/>
  <c r="F4581" i="25"/>
  <c r="F4589" i="25"/>
  <c r="F4597" i="25"/>
  <c r="F4605" i="25"/>
  <c r="F4613" i="25"/>
  <c r="F4621" i="25"/>
  <c r="F4629" i="25"/>
  <c r="F4637" i="25"/>
  <c r="F4645" i="25"/>
  <c r="F4653" i="25"/>
  <c r="F4661" i="25"/>
  <c r="F4669" i="25"/>
  <c r="F4677" i="25"/>
  <c r="F4685" i="25"/>
  <c r="F4693" i="25"/>
  <c r="F4701" i="25"/>
  <c r="F4709" i="25"/>
  <c r="F4717" i="25"/>
  <c r="F4725" i="25"/>
  <c r="F4733" i="25"/>
  <c r="F4741" i="25"/>
  <c r="F4749" i="25"/>
  <c r="F4757" i="25"/>
  <c r="F4765" i="25"/>
  <c r="F4773" i="25"/>
  <c r="F4781" i="25"/>
  <c r="F4789" i="25"/>
  <c r="F4797" i="25"/>
  <c r="F4805" i="25"/>
  <c r="F4813" i="25"/>
  <c r="F4821" i="25"/>
  <c r="F4829" i="25"/>
  <c r="F4837" i="25"/>
  <c r="F4845" i="25"/>
  <c r="F4853" i="25"/>
  <c r="F4861" i="25"/>
  <c r="F4869" i="25"/>
  <c r="F4877" i="25"/>
  <c r="F4885" i="25"/>
  <c r="F4893" i="25"/>
  <c r="F4901" i="25"/>
  <c r="F4909" i="25"/>
  <c r="F4917" i="25"/>
  <c r="F4925" i="25"/>
  <c r="F4933" i="25"/>
  <c r="F4941" i="25"/>
  <c r="F4949" i="25"/>
  <c r="F4957" i="25"/>
  <c r="F4965" i="25"/>
  <c r="F4973" i="25"/>
  <c r="F4981" i="25"/>
  <c r="F4989" i="25"/>
  <c r="F4997" i="25"/>
  <c r="F5005" i="25"/>
  <c r="F5013" i="25"/>
  <c r="F5021" i="25"/>
  <c r="F5029" i="25"/>
  <c r="F5037" i="25"/>
  <c r="F5045" i="25"/>
  <c r="F5053" i="25"/>
  <c r="F5061" i="25"/>
  <c r="F5069" i="25"/>
  <c r="F5077" i="25"/>
  <c r="F5085" i="25"/>
  <c r="F5093" i="25"/>
  <c r="F5101" i="25"/>
  <c r="F5109" i="25"/>
  <c r="F5117" i="25"/>
  <c r="F5125" i="25"/>
  <c r="F3923" i="25"/>
  <c r="F3986" i="25"/>
  <c r="F4014" i="25"/>
  <c r="F4035" i="25"/>
  <c r="F4054" i="25"/>
  <c r="F4067" i="25"/>
  <c r="F4080" i="25"/>
  <c r="F4090" i="25"/>
  <c r="F4102" i="25"/>
  <c r="F4112" i="25"/>
  <c r="F4122" i="25"/>
  <c r="F4134" i="25"/>
  <c r="F4144" i="25"/>
  <c r="F4154" i="25"/>
  <c r="F4166" i="25"/>
  <c r="F4176" i="25"/>
  <c r="F4186" i="25"/>
  <c r="F4198" i="25"/>
  <c r="F4206" i="25"/>
  <c r="F4214" i="25"/>
  <c r="F4222" i="25"/>
  <c r="F4230" i="25"/>
  <c r="F4238" i="25"/>
  <c r="F4246" i="25"/>
  <c r="F4254" i="25"/>
  <c r="F4262" i="25"/>
  <c r="F4270" i="25"/>
  <c r="F4278" i="25"/>
  <c r="F4286" i="25"/>
  <c r="F4294" i="25"/>
  <c r="F4302" i="25"/>
  <c r="F4310" i="25"/>
  <c r="F4318" i="25"/>
  <c r="F4326" i="25"/>
  <c r="F4334" i="25"/>
  <c r="F4342" i="25"/>
  <c r="F4350" i="25"/>
  <c r="F4358" i="25"/>
  <c r="F4366" i="25"/>
  <c r="F4374" i="25"/>
  <c r="F4382" i="25"/>
  <c r="F4390" i="25"/>
  <c r="F4398" i="25"/>
  <c r="F4406" i="25"/>
  <c r="F4414" i="25"/>
  <c r="F4422" i="25"/>
  <c r="F4430" i="25"/>
  <c r="F4438" i="25"/>
  <c r="F4446" i="25"/>
  <c r="F4454" i="25"/>
  <c r="F4462" i="25"/>
  <c r="F4470" i="25"/>
  <c r="F4478" i="25"/>
  <c r="F4486" i="25"/>
  <c r="F4494" i="25"/>
  <c r="F4502" i="25"/>
  <c r="F4510" i="25"/>
  <c r="F4518" i="25"/>
  <c r="F4526" i="25"/>
  <c r="F4534" i="25"/>
  <c r="F4542" i="25"/>
  <c r="F4550" i="25"/>
  <c r="F4558" i="25"/>
  <c r="F4566" i="25"/>
  <c r="F4574" i="25"/>
  <c r="F4582" i="25"/>
  <c r="F4590" i="25"/>
  <c r="F4598" i="25"/>
  <c r="F4606" i="25"/>
  <c r="F4614" i="25"/>
  <c r="F4622" i="25"/>
  <c r="F4630" i="25"/>
  <c r="F4638" i="25"/>
  <c r="F4646" i="25"/>
  <c r="F4654" i="25"/>
  <c r="F4662" i="25"/>
  <c r="F4670" i="25"/>
  <c r="F4678" i="25"/>
  <c r="F4686" i="25"/>
  <c r="F4694" i="25"/>
  <c r="F4702" i="25"/>
  <c r="F4710" i="25"/>
  <c r="F4718" i="25"/>
  <c r="F4726" i="25"/>
  <c r="F4734" i="25"/>
  <c r="F4742" i="25"/>
  <c r="F4750" i="25"/>
  <c r="F4758" i="25"/>
  <c r="F4766" i="25"/>
  <c r="F4774" i="25"/>
  <c r="F4782" i="25"/>
  <c r="F4790" i="25"/>
  <c r="F4798" i="25"/>
  <c r="F4806" i="25"/>
  <c r="F4814" i="25"/>
  <c r="F4822" i="25"/>
  <c r="F4830" i="25"/>
  <c r="F4838" i="25"/>
  <c r="F4846" i="25"/>
  <c r="F4854" i="25"/>
  <c r="F4862" i="25"/>
  <c r="F4870" i="25"/>
  <c r="F4878" i="25"/>
  <c r="F4886" i="25"/>
  <c r="F4894" i="25"/>
  <c r="F4902" i="25"/>
  <c r="F4910" i="25"/>
  <c r="F4918" i="25"/>
  <c r="F4926" i="25"/>
  <c r="F4934" i="25"/>
  <c r="F4942" i="25"/>
  <c r="F4950" i="25"/>
  <c r="F4958" i="25"/>
  <c r="F4966" i="25"/>
  <c r="F4974" i="25"/>
  <c r="F4982" i="25"/>
  <c r="F4990" i="25"/>
  <c r="F4998" i="25"/>
  <c r="F5006" i="25"/>
  <c r="F5014" i="25"/>
  <c r="F5022" i="25"/>
  <c r="F5030" i="25"/>
  <c r="F5038" i="25"/>
  <c r="F5046" i="25"/>
  <c r="F5054" i="25"/>
  <c r="F5062" i="25"/>
  <c r="F5070" i="25"/>
  <c r="F5078" i="25"/>
  <c r="F5086" i="25"/>
  <c r="F5094" i="25"/>
  <c r="F5102" i="25"/>
  <c r="F5110" i="25"/>
  <c r="F5118" i="25"/>
  <c r="F5126" i="25"/>
  <c r="F5134" i="25"/>
  <c r="F5142" i="25"/>
  <c r="F5150" i="25"/>
  <c r="F5158" i="25"/>
  <c r="F5166" i="25"/>
  <c r="F5174" i="25"/>
  <c r="F5182" i="25"/>
  <c r="F5190" i="25"/>
  <c r="F5198" i="25"/>
  <c r="F5206" i="25"/>
  <c r="F5214" i="25"/>
  <c r="F5222" i="25"/>
  <c r="F5230" i="25"/>
  <c r="F5116" i="25"/>
  <c r="F5156" i="25"/>
  <c r="F5188" i="25"/>
  <c r="F5220" i="25"/>
  <c r="F5245" i="25"/>
  <c r="F5268" i="25"/>
  <c r="F5286" i="25"/>
  <c r="F5309" i="25"/>
  <c r="F5332" i="25"/>
  <c r="F5350" i="25"/>
  <c r="F5373" i="25"/>
  <c r="F5393" i="25"/>
  <c r="F5407" i="25"/>
  <c r="F5416" i="25"/>
  <c r="F5424" i="25"/>
  <c r="F5432" i="25"/>
  <c r="F5440" i="25"/>
  <c r="F5448" i="25"/>
  <c r="F5456" i="25"/>
  <c r="F5464" i="25"/>
  <c r="F5472" i="25"/>
  <c r="F5480" i="25"/>
  <c r="F5488" i="25"/>
  <c r="F5496" i="25"/>
  <c r="F5504" i="25"/>
  <c r="F5512" i="25"/>
  <c r="F5520" i="25"/>
  <c r="F5528" i="25"/>
  <c r="F5536" i="25"/>
  <c r="F5544" i="25"/>
  <c r="F5552" i="25"/>
  <c r="F5560" i="25"/>
  <c r="F5568" i="25"/>
  <c r="F5576" i="25"/>
  <c r="F5584" i="25"/>
  <c r="F5592" i="25"/>
  <c r="F5600" i="25"/>
  <c r="F5608" i="25"/>
  <c r="F5616" i="25"/>
  <c r="F5624" i="25"/>
  <c r="F5632" i="25"/>
  <c r="F5640" i="25"/>
  <c r="F5648" i="25"/>
  <c r="F5656" i="25"/>
  <c r="F5664" i="25"/>
  <c r="F5672" i="25"/>
  <c r="F5680" i="25"/>
  <c r="F5688" i="25"/>
  <c r="F5696" i="25"/>
  <c r="F5704" i="25"/>
  <c r="F5712" i="25"/>
  <c r="F5720" i="25"/>
  <c r="F5728" i="25"/>
  <c r="F5736" i="25"/>
  <c r="F5744" i="25"/>
  <c r="F5752" i="25"/>
  <c r="F5760" i="25"/>
  <c r="F5768" i="25"/>
  <c r="F5776" i="25"/>
  <c r="F5784" i="25"/>
  <c r="F5792" i="25"/>
  <c r="F5800" i="25"/>
  <c r="F5808" i="25"/>
  <c r="F5816" i="25"/>
  <c r="F5824" i="25"/>
  <c r="F5832" i="25"/>
  <c r="F5840" i="25"/>
  <c r="F5848" i="25"/>
  <c r="F5856" i="25"/>
  <c r="F5864" i="25"/>
  <c r="F5872" i="25"/>
  <c r="F5880" i="25"/>
  <c r="F5888" i="25"/>
  <c r="F5896" i="25"/>
  <c r="F5904" i="25"/>
  <c r="F5912" i="25"/>
  <c r="F5920" i="25"/>
  <c r="F5928" i="25"/>
  <c r="F5936" i="25"/>
  <c r="F5944" i="25"/>
  <c r="F5952" i="25"/>
  <c r="F5960" i="25"/>
  <c r="F5968" i="25"/>
  <c r="F5976" i="25"/>
  <c r="F5984" i="25"/>
  <c r="F5992" i="25"/>
  <c r="F6000" i="25"/>
  <c r="F6008" i="25"/>
  <c r="F6016" i="25"/>
  <c r="F6024" i="25"/>
  <c r="F6032" i="25"/>
  <c r="F6040" i="25"/>
  <c r="F6048" i="25"/>
  <c r="F6056" i="25"/>
  <c r="F6064" i="25"/>
  <c r="F6072" i="25"/>
  <c r="F6080" i="25"/>
  <c r="F6088" i="25"/>
  <c r="F6096" i="25"/>
  <c r="F6104" i="25"/>
  <c r="F6112" i="25"/>
  <c r="F6120" i="25"/>
  <c r="F6128" i="25"/>
  <c r="F6136" i="25"/>
  <c r="F6144" i="25"/>
  <c r="F6152" i="25"/>
  <c r="F6160" i="25"/>
  <c r="F6168" i="25"/>
  <c r="F6176" i="25"/>
  <c r="F6184" i="25"/>
  <c r="F6192" i="25"/>
  <c r="F6200" i="25"/>
  <c r="F6208" i="25"/>
  <c r="F6216" i="25"/>
  <c r="F6224" i="25"/>
  <c r="F6232" i="25"/>
  <c r="F6240" i="25"/>
  <c r="F6248" i="25"/>
  <c r="F6256" i="25"/>
  <c r="F6264" i="25"/>
  <c r="F6272" i="25"/>
  <c r="F6280" i="25"/>
  <c r="F6288" i="25"/>
  <c r="F6296" i="25"/>
  <c r="F6304" i="25"/>
  <c r="F6312" i="25"/>
  <c r="F6320" i="25"/>
  <c r="F6328" i="25"/>
  <c r="F6336" i="25"/>
  <c r="F6344" i="25"/>
  <c r="F6352" i="25"/>
  <c r="F6360" i="25"/>
  <c r="F6368" i="25"/>
  <c r="F6376" i="25"/>
  <c r="F6384" i="25"/>
  <c r="F6392" i="25"/>
  <c r="F6400" i="25"/>
  <c r="F6408" i="25"/>
  <c r="F6416" i="25"/>
  <c r="F6424" i="25"/>
  <c r="F6432" i="25"/>
  <c r="F6440" i="25"/>
  <c r="F6448" i="25"/>
  <c r="F6456" i="25"/>
  <c r="F6464" i="25"/>
  <c r="F6472" i="25"/>
  <c r="F6480" i="25"/>
  <c r="F6488" i="25"/>
  <c r="F6496" i="25"/>
  <c r="F6504" i="25"/>
  <c r="F6512" i="25"/>
  <c r="F6520" i="25"/>
  <c r="F6528" i="25"/>
  <c r="F6536" i="25"/>
  <c r="F6544" i="25"/>
  <c r="F6552" i="25"/>
  <c r="F6560" i="25"/>
  <c r="F6568" i="25"/>
  <c r="F6576" i="25"/>
  <c r="F6584" i="25"/>
  <c r="F6592" i="25"/>
  <c r="F6600" i="25"/>
  <c r="F6608" i="25"/>
  <c r="F6616" i="25"/>
  <c r="F6624" i="25"/>
  <c r="F6632" i="25"/>
  <c r="F6640" i="25"/>
  <c r="F6648" i="25"/>
  <c r="F6656" i="25"/>
  <c r="F6664" i="25"/>
  <c r="F5124" i="25"/>
  <c r="F5157" i="25"/>
  <c r="F5189" i="25"/>
  <c r="F5221" i="25"/>
  <c r="F5246" i="25"/>
  <c r="F5269" i="25"/>
  <c r="F5292" i="25"/>
  <c r="F5310" i="25"/>
  <c r="F5333" i="25"/>
  <c r="F5356" i="25"/>
  <c r="F5374" i="25"/>
  <c r="F5396" i="25"/>
  <c r="F5408" i="25"/>
  <c r="F5417" i="25"/>
  <c r="F5425" i="25"/>
  <c r="F5433" i="25"/>
  <c r="F5441" i="25"/>
  <c r="F5449" i="25"/>
  <c r="F5457" i="25"/>
  <c r="F5465" i="25"/>
  <c r="F5473" i="25"/>
  <c r="F5481" i="25"/>
  <c r="F5489" i="25"/>
  <c r="F5497" i="25"/>
  <c r="F5505" i="25"/>
  <c r="F5513" i="25"/>
  <c r="F5521" i="25"/>
  <c r="F5529" i="25"/>
  <c r="F5537" i="25"/>
  <c r="F5545" i="25"/>
  <c r="F5553" i="25"/>
  <c r="F5561" i="25"/>
  <c r="F5569" i="25"/>
  <c r="F5577" i="25"/>
  <c r="F5585" i="25"/>
  <c r="F5593" i="25"/>
  <c r="F5601" i="25"/>
  <c r="F5609" i="25"/>
  <c r="F5617" i="25"/>
  <c r="F5625" i="25"/>
  <c r="F5633" i="25"/>
  <c r="F5641" i="25"/>
  <c r="F5649" i="25"/>
  <c r="F5657" i="25"/>
  <c r="F5665" i="25"/>
  <c r="F5673" i="25"/>
  <c r="F5681" i="25"/>
  <c r="F5689" i="25"/>
  <c r="F5697" i="25"/>
  <c r="F5705" i="25"/>
  <c r="F5713" i="25"/>
  <c r="F5721" i="25"/>
  <c r="F5729" i="25"/>
  <c r="F5737" i="25"/>
  <c r="F5745" i="25"/>
  <c r="F5753" i="25"/>
  <c r="F5761" i="25"/>
  <c r="F5769" i="25"/>
  <c r="F5777" i="25"/>
  <c r="F5785" i="25"/>
  <c r="F5793" i="25"/>
  <c r="F5801" i="25"/>
  <c r="F5809" i="25"/>
  <c r="F5817" i="25"/>
  <c r="F5825" i="25"/>
  <c r="F5833" i="25"/>
  <c r="F5841" i="25"/>
  <c r="F5849" i="25"/>
  <c r="F5857" i="25"/>
  <c r="F5865" i="25"/>
  <c r="F5873" i="25"/>
  <c r="F5881" i="25"/>
  <c r="F5889" i="25"/>
  <c r="F5897" i="25"/>
  <c r="F5905" i="25"/>
  <c r="F5913" i="25"/>
  <c r="F5921" i="25"/>
  <c r="F5929" i="25"/>
  <c r="F5937" i="25"/>
  <c r="F5945" i="25"/>
  <c r="F5953" i="25"/>
  <c r="F5961" i="25"/>
  <c r="F5969" i="25"/>
  <c r="F5977" i="25"/>
  <c r="F5985" i="25"/>
  <c r="F5993" i="25"/>
  <c r="F6001" i="25"/>
  <c r="F6009" i="25"/>
  <c r="F6017" i="25"/>
  <c r="F6025" i="25"/>
  <c r="F6033" i="25"/>
  <c r="F6041" i="25"/>
  <c r="F6049" i="25"/>
  <c r="F6057" i="25"/>
  <c r="F6065" i="25"/>
  <c r="F6073" i="25"/>
  <c r="F6081" i="25"/>
  <c r="F6089" i="25"/>
  <c r="F6097" i="25"/>
  <c r="F6105" i="25"/>
  <c r="F6113" i="25"/>
  <c r="F6121" i="25"/>
  <c r="F6129" i="25"/>
  <c r="F6137" i="25"/>
  <c r="F6145" i="25"/>
  <c r="F6153" i="25"/>
  <c r="F6161" i="25"/>
  <c r="F6169" i="25"/>
  <c r="F6177" i="25"/>
  <c r="F6185" i="25"/>
  <c r="F6193" i="25"/>
  <c r="F6201" i="25"/>
  <c r="F6209" i="25"/>
  <c r="F6217" i="25"/>
  <c r="F6225" i="25"/>
  <c r="F6233" i="25"/>
  <c r="F6241" i="25"/>
  <c r="F6249" i="25"/>
  <c r="F6257" i="25"/>
  <c r="F6265" i="25"/>
  <c r="F6273" i="25"/>
  <c r="F6281" i="25"/>
  <c r="F6289" i="25"/>
  <c r="F6297" i="25"/>
  <c r="F6305" i="25"/>
  <c r="F6313" i="25"/>
  <c r="F6321" i="25"/>
  <c r="F6329" i="25"/>
  <c r="F6337" i="25"/>
  <c r="F6345" i="25"/>
  <c r="F6353" i="25"/>
  <c r="F6361" i="25"/>
  <c r="F6369" i="25"/>
  <c r="F6377" i="25"/>
  <c r="F6385" i="25"/>
  <c r="F6393" i="25"/>
  <c r="F6401" i="25"/>
  <c r="F6409" i="25"/>
  <c r="F6417" i="25"/>
  <c r="F6425" i="25"/>
  <c r="F6433" i="25"/>
  <c r="F6441" i="25"/>
  <c r="F6449" i="25"/>
  <c r="F6457" i="25"/>
  <c r="F6465" i="25"/>
  <c r="F6473" i="25"/>
  <c r="F6481" i="25"/>
  <c r="F6489" i="25"/>
  <c r="F6497" i="25"/>
  <c r="F6505" i="25"/>
  <c r="F6513" i="25"/>
  <c r="F6521" i="25"/>
  <c r="F6529" i="25"/>
  <c r="F6537" i="25"/>
  <c r="F6545" i="25"/>
  <c r="F6553" i="25"/>
  <c r="F6561" i="25"/>
  <c r="F6569" i="25"/>
  <c r="F6577" i="25"/>
  <c r="F6585" i="25"/>
  <c r="F6593" i="25"/>
  <c r="F6601" i="25"/>
  <c r="F6609" i="25"/>
  <c r="F6617" i="25"/>
  <c r="F6625" i="25"/>
  <c r="F6633" i="25"/>
  <c r="F6641" i="25"/>
  <c r="F5132" i="25"/>
  <c r="F5164" i="25"/>
  <c r="F5196" i="25"/>
  <c r="F5228" i="25"/>
  <c r="F5252" i="25"/>
  <c r="F5270" i="25"/>
  <c r="F5293" i="25"/>
  <c r="F5316" i="25"/>
  <c r="F5334" i="25"/>
  <c r="F5357" i="25"/>
  <c r="F5380" i="25"/>
  <c r="F5397" i="25"/>
  <c r="F5409" i="25"/>
  <c r="F5418" i="25"/>
  <c r="F5426" i="25"/>
  <c r="F5434" i="25"/>
  <c r="F5442" i="25"/>
  <c r="F5450" i="25"/>
  <c r="F5458" i="25"/>
  <c r="F5466" i="25"/>
  <c r="F5474" i="25"/>
  <c r="F5482" i="25"/>
  <c r="F5490" i="25"/>
  <c r="F5498" i="25"/>
  <c r="F5506" i="25"/>
  <c r="F5514" i="25"/>
  <c r="F5522" i="25"/>
  <c r="F5530" i="25"/>
  <c r="F5538" i="25"/>
  <c r="F5546" i="25"/>
  <c r="F5554" i="25"/>
  <c r="F5562" i="25"/>
  <c r="F5570" i="25"/>
  <c r="F5578" i="25"/>
  <c r="F5586" i="25"/>
  <c r="F5594" i="25"/>
  <c r="F5602" i="25"/>
  <c r="F5610" i="25"/>
  <c r="F5618" i="25"/>
  <c r="F5626" i="25"/>
  <c r="F5634" i="25"/>
  <c r="F5642" i="25"/>
  <c r="F5650" i="25"/>
  <c r="F5658" i="25"/>
  <c r="F5666" i="25"/>
  <c r="F5674" i="25"/>
  <c r="F5682" i="25"/>
  <c r="F5690" i="25"/>
  <c r="F5698" i="25"/>
  <c r="F5706" i="25"/>
  <c r="F5714" i="25"/>
  <c r="F5722" i="25"/>
  <c r="F5730" i="25"/>
  <c r="F5738" i="25"/>
  <c r="F5746" i="25"/>
  <c r="F5754" i="25"/>
  <c r="F5762" i="25"/>
  <c r="F5770" i="25"/>
  <c r="F5778" i="25"/>
  <c r="F5786" i="25"/>
  <c r="F5794" i="25"/>
  <c r="F5802" i="25"/>
  <c r="F5810" i="25"/>
  <c r="F5818" i="25"/>
  <c r="F5826" i="25"/>
  <c r="F5834" i="25"/>
  <c r="F5842" i="25"/>
  <c r="F5850" i="25"/>
  <c r="F5858" i="25"/>
  <c r="F5866" i="25"/>
  <c r="F5874" i="25"/>
  <c r="F5882" i="25"/>
  <c r="F5890" i="25"/>
  <c r="F5898" i="25"/>
  <c r="F5906" i="25"/>
  <c r="F5914" i="25"/>
  <c r="F5922" i="25"/>
  <c r="F5930" i="25"/>
  <c r="F5938" i="25"/>
  <c r="F5946" i="25"/>
  <c r="F5954" i="25"/>
  <c r="F5962" i="25"/>
  <c r="F5970" i="25"/>
  <c r="F5978" i="25"/>
  <c r="F5986" i="25"/>
  <c r="F5994" i="25"/>
  <c r="F6002" i="25"/>
  <c r="F6010" i="25"/>
  <c r="F6018" i="25"/>
  <c r="F6026" i="25"/>
  <c r="F6034" i="25"/>
  <c r="F6042" i="25"/>
  <c r="F6050" i="25"/>
  <c r="F6058" i="25"/>
  <c r="F6066" i="25"/>
  <c r="F6074" i="25"/>
  <c r="F6082" i="25"/>
  <c r="F6090" i="25"/>
  <c r="F6098" i="25"/>
  <c r="F6106" i="25"/>
  <c r="F6114" i="25"/>
  <c r="F6122" i="25"/>
  <c r="F6130" i="25"/>
  <c r="F6138" i="25"/>
  <c r="F6146" i="25"/>
  <c r="F6154" i="25"/>
  <c r="F6162" i="25"/>
  <c r="F6170" i="25"/>
  <c r="F6178" i="25"/>
  <c r="F6186" i="25"/>
  <c r="F6194" i="25"/>
  <c r="F6202" i="25"/>
  <c r="F6210" i="25"/>
  <c r="F6218" i="25"/>
  <c r="F6226" i="25"/>
  <c r="F6234" i="25"/>
  <c r="F6242" i="25"/>
  <c r="F6250" i="25"/>
  <c r="F6258" i="25"/>
  <c r="F6266" i="25"/>
  <c r="F6274" i="25"/>
  <c r="F6282" i="25"/>
  <c r="F6290" i="25"/>
  <c r="F6298" i="25"/>
  <c r="F6306" i="25"/>
  <c r="F6314" i="25"/>
  <c r="F6322" i="25"/>
  <c r="F6330" i="25"/>
  <c r="F6338" i="25"/>
  <c r="F6346" i="25"/>
  <c r="F6354" i="25"/>
  <c r="F6362" i="25"/>
  <c r="F6370" i="25"/>
  <c r="F6378" i="25"/>
  <c r="F6386" i="25"/>
  <c r="F6394" i="25"/>
  <c r="F6402" i="25"/>
  <c r="F6410" i="25"/>
  <c r="F6418" i="25"/>
  <c r="F5133" i="25"/>
  <c r="F5165" i="25"/>
  <c r="F5197" i="25"/>
  <c r="F5229" i="25"/>
  <c r="F5253" i="25"/>
  <c r="F5276" i="25"/>
  <c r="F5294" i="25"/>
  <c r="F5317" i="25"/>
  <c r="F5340" i="25"/>
  <c r="F5358" i="25"/>
  <c r="F5381" i="25"/>
  <c r="F5398" i="25"/>
  <c r="F5410" i="25"/>
  <c r="F5419" i="25"/>
  <c r="F5427" i="25"/>
  <c r="F5435" i="25"/>
  <c r="F5443" i="25"/>
  <c r="F5451" i="25"/>
  <c r="F5459" i="25"/>
  <c r="F5467" i="25"/>
  <c r="F5475" i="25"/>
  <c r="F5483" i="25"/>
  <c r="F5491" i="25"/>
  <c r="F5499" i="25"/>
  <c r="F5507" i="25"/>
  <c r="F5515" i="25"/>
  <c r="F5523" i="25"/>
  <c r="F5531" i="25"/>
  <c r="F5539" i="25"/>
  <c r="F5547" i="25"/>
  <c r="F5555" i="25"/>
  <c r="F5563" i="25"/>
  <c r="F5571" i="25"/>
  <c r="F5579" i="25"/>
  <c r="F5587" i="25"/>
  <c r="F5595" i="25"/>
  <c r="F5603" i="25"/>
  <c r="F5611" i="25"/>
  <c r="F5619" i="25"/>
  <c r="F5627" i="25"/>
  <c r="F5635" i="25"/>
  <c r="F5643" i="25"/>
  <c r="F5651" i="25"/>
  <c r="F5659" i="25"/>
  <c r="F5667" i="25"/>
  <c r="F5675" i="25"/>
  <c r="F5683" i="25"/>
  <c r="F5691" i="25"/>
  <c r="F5699" i="25"/>
  <c r="F5707" i="25"/>
  <c r="F5715" i="25"/>
  <c r="F5723" i="25"/>
  <c r="F5731" i="25"/>
  <c r="F5739" i="25"/>
  <c r="F5747" i="25"/>
  <c r="F5755" i="25"/>
  <c r="F5763" i="25"/>
  <c r="F5771" i="25"/>
  <c r="F5779" i="25"/>
  <c r="F5787" i="25"/>
  <c r="F5795" i="25"/>
  <c r="F5803" i="25"/>
  <c r="F5811" i="25"/>
  <c r="F5819" i="25"/>
  <c r="F5827" i="25"/>
  <c r="F5835" i="25"/>
  <c r="F5843" i="25"/>
  <c r="F5851" i="25"/>
  <c r="F5859" i="25"/>
  <c r="F5867" i="25"/>
  <c r="F5875" i="25"/>
  <c r="F5883" i="25"/>
  <c r="F5891" i="25"/>
  <c r="F5899" i="25"/>
  <c r="F5907" i="25"/>
  <c r="F5915" i="25"/>
  <c r="F5923" i="25"/>
  <c r="F5931" i="25"/>
  <c r="F5939" i="25"/>
  <c r="F5947" i="25"/>
  <c r="F5955" i="25"/>
  <c r="F5963" i="25"/>
  <c r="F5971" i="25"/>
  <c r="F5979" i="25"/>
  <c r="F5987" i="25"/>
  <c r="F5995" i="25"/>
  <c r="F6003" i="25"/>
  <c r="F6011" i="25"/>
  <c r="F6019" i="25"/>
  <c r="F6027" i="25"/>
  <c r="F6035" i="25"/>
  <c r="F6043" i="25"/>
  <c r="F6051" i="25"/>
  <c r="F6059" i="25"/>
  <c r="F6067" i="25"/>
  <c r="F6075" i="25"/>
  <c r="F6083" i="25"/>
  <c r="F6091" i="25"/>
  <c r="F6099" i="25"/>
  <c r="F6107" i="25"/>
  <c r="F6115" i="25"/>
  <c r="F6123" i="25"/>
  <c r="F6131" i="25"/>
  <c r="F6139" i="25"/>
  <c r="F6147" i="25"/>
  <c r="F6155" i="25"/>
  <c r="F6163" i="25"/>
  <c r="F6171" i="25"/>
  <c r="F6179" i="25"/>
  <c r="F6187" i="25"/>
  <c r="F6195" i="25"/>
  <c r="F6203" i="25"/>
  <c r="F6211" i="25"/>
  <c r="F6219" i="25"/>
  <c r="F6227" i="25"/>
  <c r="F6235" i="25"/>
  <c r="F6243" i="25"/>
  <c r="F6251" i="25"/>
  <c r="F6259" i="25"/>
  <c r="F6267" i="25"/>
  <c r="F6275" i="25"/>
  <c r="F6283" i="25"/>
  <c r="F6291" i="25"/>
  <c r="F6299" i="25"/>
  <c r="F6307" i="25"/>
  <c r="F6315" i="25"/>
  <c r="F6323" i="25"/>
  <c r="F6331" i="25"/>
  <c r="F6339" i="25"/>
  <c r="F6347" i="25"/>
  <c r="F6355" i="25"/>
  <c r="F6363" i="25"/>
  <c r="F6371" i="25"/>
  <c r="F6379" i="25"/>
  <c r="F6387" i="25"/>
  <c r="F6395" i="25"/>
  <c r="F5140" i="25"/>
  <c r="F5172" i="25"/>
  <c r="F5204" i="25"/>
  <c r="F5236" i="25"/>
  <c r="F5254" i="25"/>
  <c r="F5277" i="25"/>
  <c r="F5300" i="25"/>
  <c r="F5318" i="25"/>
  <c r="F5341" i="25"/>
  <c r="F5364" i="25"/>
  <c r="F5382" i="25"/>
  <c r="F5401" i="25"/>
  <c r="F5412" i="25"/>
  <c r="F5420" i="25"/>
  <c r="F5428" i="25"/>
  <c r="F5436" i="25"/>
  <c r="F5444" i="25"/>
  <c r="F5452" i="25"/>
  <c r="F5460" i="25"/>
  <c r="F5468" i="25"/>
  <c r="F5476" i="25"/>
  <c r="F5484" i="25"/>
  <c r="F5492" i="25"/>
  <c r="F5500" i="25"/>
  <c r="F5508" i="25"/>
  <c r="F5516" i="25"/>
  <c r="F5524" i="25"/>
  <c r="F5532" i="25"/>
  <c r="F5540" i="25"/>
  <c r="F5548" i="25"/>
  <c r="F5556" i="25"/>
  <c r="F5564" i="25"/>
  <c r="F5572" i="25"/>
  <c r="F5580" i="25"/>
  <c r="F5588" i="25"/>
  <c r="F5596" i="25"/>
  <c r="F5604" i="25"/>
  <c r="F5612" i="25"/>
  <c r="F5620" i="25"/>
  <c r="F5628" i="25"/>
  <c r="F5636" i="25"/>
  <c r="F5644" i="25"/>
  <c r="F5652" i="25"/>
  <c r="F5660" i="25"/>
  <c r="F5668" i="25"/>
  <c r="F5676" i="25"/>
  <c r="F5684" i="25"/>
  <c r="F5692" i="25"/>
  <c r="F5700" i="25"/>
  <c r="F5708" i="25"/>
  <c r="F5716" i="25"/>
  <c r="F5724" i="25"/>
  <c r="F5732" i="25"/>
  <c r="F5740" i="25"/>
  <c r="F5748" i="25"/>
  <c r="F5756" i="25"/>
  <c r="F5764" i="25"/>
  <c r="F5772" i="25"/>
  <c r="F5780" i="25"/>
  <c r="F5788" i="25"/>
  <c r="F5796" i="25"/>
  <c r="F5804" i="25"/>
  <c r="F5812" i="25"/>
  <c r="F5820" i="25"/>
  <c r="F5828" i="25"/>
  <c r="F5836" i="25"/>
  <c r="F5844" i="25"/>
  <c r="F5852" i="25"/>
  <c r="F5860" i="25"/>
  <c r="F5868" i="25"/>
  <c r="F5876" i="25"/>
  <c r="F5884" i="25"/>
  <c r="F5892" i="25"/>
  <c r="F5900" i="25"/>
  <c r="F5908" i="25"/>
  <c r="F5916" i="25"/>
  <c r="F5924" i="25"/>
  <c r="F5932" i="25"/>
  <c r="F5940" i="25"/>
  <c r="F5948" i="25"/>
  <c r="F5956" i="25"/>
  <c r="F5964" i="25"/>
  <c r="F5972" i="25"/>
  <c r="F5980" i="25"/>
  <c r="F5988" i="25"/>
  <c r="F5996" i="25"/>
  <c r="F6004" i="25"/>
  <c r="F6012" i="25"/>
  <c r="F6020" i="25"/>
  <c r="F6028" i="25"/>
  <c r="F6036" i="25"/>
  <c r="F6044" i="25"/>
  <c r="F6052" i="25"/>
  <c r="F6060" i="25"/>
  <c r="F6068" i="25"/>
  <c r="F6076" i="25"/>
  <c r="F6084" i="25"/>
  <c r="F6092" i="25"/>
  <c r="F6100" i="25"/>
  <c r="F6108" i="25"/>
  <c r="F6116" i="25"/>
  <c r="F6124" i="25"/>
  <c r="F6132" i="25"/>
  <c r="F6140" i="25"/>
  <c r="F6148" i="25"/>
  <c r="F6156" i="25"/>
  <c r="F6164" i="25"/>
  <c r="F6172" i="25"/>
  <c r="F6180" i="25"/>
  <c r="F6188" i="25"/>
  <c r="F6196" i="25"/>
  <c r="F6204" i="25"/>
  <c r="F6212" i="25"/>
  <c r="F6220" i="25"/>
  <c r="F6228" i="25"/>
  <c r="F6236" i="25"/>
  <c r="F6244" i="25"/>
  <c r="F6252" i="25"/>
  <c r="F6260" i="25"/>
  <c r="F6268" i="25"/>
  <c r="F6276" i="25"/>
  <c r="F6284" i="25"/>
  <c r="F6292" i="25"/>
  <c r="F6300" i="25"/>
  <c r="F6308" i="25"/>
  <c r="F6316" i="25"/>
  <c r="F6324" i="25"/>
  <c r="F6332" i="25"/>
  <c r="F6340" i="25"/>
  <c r="F6348" i="25"/>
  <c r="F6356" i="25"/>
  <c r="F6364" i="25"/>
  <c r="F6372" i="25"/>
  <c r="F6380" i="25"/>
  <c r="F6388" i="25"/>
  <c r="F6396" i="25"/>
  <c r="F6404" i="25"/>
  <c r="F5149" i="25"/>
  <c r="F5181" i="25"/>
  <c r="F5213" i="25"/>
  <c r="F5244" i="25"/>
  <c r="F5262" i="25"/>
  <c r="F5285" i="25"/>
  <c r="F5308" i="25"/>
  <c r="F5326" i="25"/>
  <c r="F5349" i="25"/>
  <c r="F5372" i="25"/>
  <c r="F5390" i="25"/>
  <c r="F5406" i="25"/>
  <c r="F5415" i="25"/>
  <c r="F5423" i="25"/>
  <c r="F5431" i="25"/>
  <c r="F5439" i="25"/>
  <c r="F5447" i="25"/>
  <c r="F5455" i="25"/>
  <c r="F5463" i="25"/>
  <c r="F5471" i="25"/>
  <c r="F5479" i="25"/>
  <c r="F5487" i="25"/>
  <c r="F5495" i="25"/>
  <c r="F5503" i="25"/>
  <c r="F5511" i="25"/>
  <c r="F5519" i="25"/>
  <c r="F5527" i="25"/>
  <c r="F5535" i="25"/>
  <c r="F5543" i="25"/>
  <c r="F5551" i="25"/>
  <c r="F5559" i="25"/>
  <c r="F5567" i="25"/>
  <c r="F5575" i="25"/>
  <c r="F5583" i="25"/>
  <c r="F5591" i="25"/>
  <c r="F5599" i="25"/>
  <c r="F5607" i="25"/>
  <c r="F5615" i="25"/>
  <c r="F5623" i="25"/>
  <c r="F5631" i="25"/>
  <c r="F5639" i="25"/>
  <c r="F5647" i="25"/>
  <c r="F5655" i="25"/>
  <c r="F5663" i="25"/>
  <c r="F5671" i="25"/>
  <c r="F5679" i="25"/>
  <c r="F5687" i="25"/>
  <c r="F5695" i="25"/>
  <c r="F5703" i="25"/>
  <c r="F5711" i="25"/>
  <c r="F5719" i="25"/>
  <c r="F5727" i="25"/>
  <c r="F5735" i="25"/>
  <c r="F5743" i="25"/>
  <c r="F5751" i="25"/>
  <c r="F5759" i="25"/>
  <c r="F5767" i="25"/>
  <c r="F5775" i="25"/>
  <c r="F5783" i="25"/>
  <c r="F5791" i="25"/>
  <c r="F5799" i="25"/>
  <c r="F5807" i="25"/>
  <c r="F5815" i="25"/>
  <c r="F5823" i="25"/>
  <c r="F5831" i="25"/>
  <c r="F5839" i="25"/>
  <c r="F5847" i="25"/>
  <c r="F5855" i="25"/>
  <c r="F5863" i="25"/>
  <c r="F5871" i="25"/>
  <c r="F5879" i="25"/>
  <c r="F5887" i="25"/>
  <c r="F5895" i="25"/>
  <c r="F5903" i="25"/>
  <c r="F5911" i="25"/>
  <c r="F5919" i="25"/>
  <c r="F5927" i="25"/>
  <c r="F5935" i="25"/>
  <c r="F5943" i="25"/>
  <c r="F5951" i="25"/>
  <c r="F5959" i="25"/>
  <c r="F5967" i="25"/>
  <c r="F5975" i="25"/>
  <c r="F5983" i="25"/>
  <c r="F5991" i="25"/>
  <c r="F5999" i="25"/>
  <c r="F6007" i="25"/>
  <c r="F6015" i="25"/>
  <c r="F6023" i="25"/>
  <c r="F6031" i="25"/>
  <c r="F6039" i="25"/>
  <c r="F6047" i="25"/>
  <c r="F6055" i="25"/>
  <c r="F6063" i="25"/>
  <c r="F6071" i="25"/>
  <c r="F6079" i="25"/>
  <c r="F6087" i="25"/>
  <c r="F6095" i="25"/>
  <c r="F6103" i="25"/>
  <c r="F6111" i="25"/>
  <c r="F6119" i="25"/>
  <c r="F6127" i="25"/>
  <c r="F6135" i="25"/>
  <c r="F6143" i="25"/>
  <c r="F6151" i="25"/>
  <c r="F6159" i="25"/>
  <c r="F6167" i="25"/>
  <c r="F6175" i="25"/>
  <c r="F6183" i="25"/>
  <c r="F6191" i="25"/>
  <c r="F6199" i="25"/>
  <c r="F6207" i="25"/>
  <c r="F6215" i="25"/>
  <c r="F6223" i="25"/>
  <c r="F6231" i="25"/>
  <c r="F6239" i="25"/>
  <c r="F6247" i="25"/>
  <c r="F6255" i="25"/>
  <c r="F6263" i="25"/>
  <c r="F6271" i="25"/>
  <c r="F6279" i="25"/>
  <c r="F6287" i="25"/>
  <c r="F6295" i="25"/>
  <c r="F6303" i="25"/>
  <c r="F6311" i="25"/>
  <c r="F5141" i="25"/>
  <c r="F5260" i="25"/>
  <c r="F5342" i="25"/>
  <c r="F5413" i="25"/>
  <c r="F5445" i="25"/>
  <c r="F5477" i="25"/>
  <c r="F5509" i="25"/>
  <c r="F5541" i="25"/>
  <c r="F5573" i="25"/>
  <c r="F5605" i="25"/>
  <c r="F5637" i="25"/>
  <c r="F5669" i="25"/>
  <c r="F5701" i="25"/>
  <c r="F5733" i="25"/>
  <c r="F5765" i="25"/>
  <c r="F5797" i="25"/>
  <c r="F5829" i="25"/>
  <c r="F5861" i="25"/>
  <c r="F5893" i="25"/>
  <c r="F5925" i="25"/>
  <c r="F5957" i="25"/>
  <c r="F5989" i="25"/>
  <c r="F6021" i="25"/>
  <c r="F6053" i="25"/>
  <c r="F6085" i="25"/>
  <c r="F6117" i="25"/>
  <c r="F6149" i="25"/>
  <c r="F6181" i="25"/>
  <c r="F6213" i="25"/>
  <c r="F6245" i="25"/>
  <c r="F6277" i="25"/>
  <c r="F6309" i="25"/>
  <c r="F6333" i="25"/>
  <c r="F6351" i="25"/>
  <c r="F6374" i="25"/>
  <c r="F6397" i="25"/>
  <c r="F6412" i="25"/>
  <c r="F6423" i="25"/>
  <c r="F6435" i="25"/>
  <c r="F6445" i="25"/>
  <c r="F6455" i="25"/>
  <c r="F6467" i="25"/>
  <c r="F6477" i="25"/>
  <c r="F6487" i="25"/>
  <c r="F6499" i="25"/>
  <c r="F6509" i="25"/>
  <c r="F6519" i="25"/>
  <c r="F6531" i="25"/>
  <c r="F6541" i="25"/>
  <c r="F6551" i="25"/>
  <c r="F6563" i="25"/>
  <c r="F6573" i="25"/>
  <c r="F6583" i="25"/>
  <c r="F6595" i="25"/>
  <c r="F6605" i="25"/>
  <c r="F6615" i="25"/>
  <c r="F6627" i="25"/>
  <c r="F6637" i="25"/>
  <c r="F6647" i="25"/>
  <c r="F6657" i="25"/>
  <c r="F6666" i="25"/>
  <c r="F6674" i="25"/>
  <c r="F6682" i="25"/>
  <c r="F6690" i="25"/>
  <c r="F6698" i="25"/>
  <c r="F6706" i="25"/>
  <c r="F6714" i="25"/>
  <c r="F6722" i="25"/>
  <c r="F6730" i="25"/>
  <c r="F6738" i="25"/>
  <c r="F6746" i="25"/>
  <c r="F6754" i="25"/>
  <c r="F6762" i="25"/>
  <c r="F6770" i="25"/>
  <c r="F6778" i="25"/>
  <c r="F6786" i="25"/>
  <c r="F6794" i="25"/>
  <c r="F6802" i="25"/>
  <c r="F6810" i="25"/>
  <c r="F6818" i="25"/>
  <c r="F6826" i="25"/>
  <c r="F6834" i="25"/>
  <c r="F6842" i="25"/>
  <c r="F6850" i="25"/>
  <c r="F6858" i="25"/>
  <c r="F6866" i="25"/>
  <c r="F6874" i="25"/>
  <c r="F6882" i="25"/>
  <c r="F6890" i="25"/>
  <c r="F6898" i="25"/>
  <c r="F6906" i="25"/>
  <c r="F6914" i="25"/>
  <c r="F6922" i="25"/>
  <c r="F6930" i="25"/>
  <c r="F6938" i="25"/>
  <c r="F6946" i="25"/>
  <c r="F6954" i="25"/>
  <c r="F6962" i="25"/>
  <c r="F6970" i="25"/>
  <c r="F6978" i="25"/>
  <c r="F6986" i="25"/>
  <c r="F6994" i="25"/>
  <c r="F7002" i="25"/>
  <c r="F7010" i="25"/>
  <c r="F7018" i="25"/>
  <c r="F7026" i="25"/>
  <c r="F7034" i="25"/>
  <c r="F7042" i="25"/>
  <c r="F7050" i="25"/>
  <c r="F7058" i="25"/>
  <c r="F7066" i="25"/>
  <c r="F7074" i="25"/>
  <c r="F7082" i="25"/>
  <c r="F7090" i="25"/>
  <c r="F7098" i="25"/>
  <c r="F7106" i="25"/>
  <c r="F7114" i="25"/>
  <c r="F7122" i="25"/>
  <c r="F7130" i="25"/>
  <c r="F7138" i="25"/>
  <c r="F7146" i="25"/>
  <c r="F7154" i="25"/>
  <c r="F7162" i="25"/>
  <c r="F7170" i="25"/>
  <c r="F7178" i="25"/>
  <c r="F7186" i="25"/>
  <c r="F7194" i="25"/>
  <c r="F7202" i="25"/>
  <c r="F7210" i="25"/>
  <c r="F7218" i="25"/>
  <c r="F7226" i="25"/>
  <c r="F7234" i="25"/>
  <c r="F7242" i="25"/>
  <c r="F7250" i="25"/>
  <c r="F7258" i="25"/>
  <c r="F7266" i="25"/>
  <c r="F7274" i="25"/>
  <c r="F7282" i="25"/>
  <c r="F7290" i="25"/>
  <c r="F7298" i="25"/>
  <c r="F7306" i="25"/>
  <c r="F7314" i="25"/>
  <c r="F7322" i="25"/>
  <c r="F7330" i="25"/>
  <c r="F7338" i="25"/>
  <c r="F7346" i="25"/>
  <c r="F7354" i="25"/>
  <c r="F7362" i="25"/>
  <c r="F7370" i="25"/>
  <c r="F7378" i="25"/>
  <c r="F7386" i="25"/>
  <c r="F7394" i="25"/>
  <c r="F7402" i="25"/>
  <c r="F7410" i="25"/>
  <c r="F7418" i="25"/>
  <c r="F7426" i="25"/>
  <c r="F7434" i="25"/>
  <c r="F7442" i="25"/>
  <c r="F7450" i="25"/>
  <c r="F7458" i="25"/>
  <c r="F7466" i="25"/>
  <c r="F7474" i="25"/>
  <c r="F7482" i="25"/>
  <c r="F7490" i="25"/>
  <c r="F7498" i="25"/>
  <c r="F7506" i="25"/>
  <c r="F7514" i="25"/>
  <c r="F7522" i="25"/>
  <c r="F7530" i="25"/>
  <c r="F7538" i="25"/>
  <c r="F7546" i="25"/>
  <c r="F5148" i="25"/>
  <c r="F5261" i="25"/>
  <c r="F5348" i="25"/>
  <c r="F5414" i="25"/>
  <c r="F5446" i="25"/>
  <c r="F5478" i="25"/>
  <c r="F5510" i="25"/>
  <c r="F5542" i="25"/>
  <c r="F5574" i="25"/>
  <c r="F5606" i="25"/>
  <c r="F5638" i="25"/>
  <c r="F5670" i="25"/>
  <c r="F5702" i="25"/>
  <c r="F5734" i="25"/>
  <c r="F5766" i="25"/>
  <c r="F5798" i="25"/>
  <c r="F5830" i="25"/>
  <c r="F5862" i="25"/>
  <c r="F5894" i="25"/>
  <c r="F5926" i="25"/>
  <c r="F5958" i="25"/>
  <c r="F5990" i="25"/>
  <c r="F6022" i="25"/>
  <c r="F6054" i="25"/>
  <c r="F6086" i="25"/>
  <c r="F6118" i="25"/>
  <c r="F6150" i="25"/>
  <c r="F6182" i="25"/>
  <c r="F6214" i="25"/>
  <c r="F6246" i="25"/>
  <c r="F6278" i="25"/>
  <c r="F6310" i="25"/>
  <c r="F6334" i="25"/>
  <c r="F6357" i="25"/>
  <c r="F6375" i="25"/>
  <c r="F6398" i="25"/>
  <c r="F6413" i="25"/>
  <c r="F6426" i="25"/>
  <c r="F6436" i="25"/>
  <c r="F6446" i="25"/>
  <c r="F6458" i="25"/>
  <c r="F6468" i="25"/>
  <c r="F6478" i="25"/>
  <c r="F6490" i="25"/>
  <c r="F6500" i="25"/>
  <c r="F6510" i="25"/>
  <c r="F6522" i="25"/>
  <c r="F6532" i="25"/>
  <c r="F6542" i="25"/>
  <c r="F6554" i="25"/>
  <c r="F6564" i="25"/>
  <c r="F6574" i="25"/>
  <c r="F6586" i="25"/>
  <c r="F6596" i="25"/>
  <c r="F6606" i="25"/>
  <c r="F6618" i="25"/>
  <c r="F6628" i="25"/>
  <c r="F6638" i="25"/>
  <c r="F6649" i="25"/>
  <c r="F6658" i="25"/>
  <c r="F6667" i="25"/>
  <c r="F6675" i="25"/>
  <c r="F6683" i="25"/>
  <c r="F6691" i="25"/>
  <c r="F6699" i="25"/>
  <c r="F6707" i="25"/>
  <c r="F6715" i="25"/>
  <c r="F6723" i="25"/>
  <c r="F6731" i="25"/>
  <c r="F6739" i="25"/>
  <c r="F6747" i="25"/>
  <c r="F6755" i="25"/>
  <c r="F6763" i="25"/>
  <c r="F6771" i="25"/>
  <c r="F6779" i="25"/>
  <c r="F6787" i="25"/>
  <c r="F6795" i="25"/>
  <c r="F6803" i="25"/>
  <c r="F6811" i="25"/>
  <c r="F6819" i="25"/>
  <c r="F6827" i="25"/>
  <c r="F6835" i="25"/>
  <c r="F6843" i="25"/>
  <c r="F6851" i="25"/>
  <c r="F6859" i="25"/>
  <c r="F6867" i="25"/>
  <c r="F6875" i="25"/>
  <c r="F6883" i="25"/>
  <c r="F6891" i="25"/>
  <c r="F6899" i="25"/>
  <c r="F6907" i="25"/>
  <c r="F6915" i="25"/>
  <c r="F6923" i="25"/>
  <c r="F6931" i="25"/>
  <c r="F6939" i="25"/>
  <c r="F6947" i="25"/>
  <c r="F6955" i="25"/>
  <c r="F6963" i="25"/>
  <c r="F6971" i="25"/>
  <c r="F6979" i="25"/>
  <c r="F6987" i="25"/>
  <c r="F6995" i="25"/>
  <c r="F7003" i="25"/>
  <c r="F7011" i="25"/>
  <c r="F7019" i="25"/>
  <c r="F7027" i="25"/>
  <c r="F7035" i="25"/>
  <c r="F7043" i="25"/>
  <c r="F7051" i="25"/>
  <c r="F7059" i="25"/>
  <c r="F7067" i="25"/>
  <c r="F7075" i="25"/>
  <c r="F7083" i="25"/>
  <c r="F7091" i="25"/>
  <c r="F7099" i="25"/>
  <c r="F7107" i="25"/>
  <c r="F7115" i="25"/>
  <c r="F7123" i="25"/>
  <c r="F7131" i="25"/>
  <c r="F7139" i="25"/>
  <c r="F7147" i="25"/>
  <c r="F7155" i="25"/>
  <c r="F7163" i="25"/>
  <c r="F7171" i="25"/>
  <c r="F7179" i="25"/>
  <c r="F7187" i="25"/>
  <c r="F7195" i="25"/>
  <c r="F7203" i="25"/>
  <c r="F7211" i="25"/>
  <c r="F7219" i="25"/>
  <c r="F7227" i="25"/>
  <c r="F7235" i="25"/>
  <c r="F7243" i="25"/>
  <c r="F7251" i="25"/>
  <c r="F7259" i="25"/>
  <c r="F7267" i="25"/>
  <c r="F7275" i="25"/>
  <c r="F7283" i="25"/>
  <c r="F7291" i="25"/>
  <c r="F7299" i="25"/>
  <c r="F7307" i="25"/>
  <c r="F7315" i="25"/>
  <c r="F7323" i="25"/>
  <c r="F7331" i="25"/>
  <c r="F7339" i="25"/>
  <c r="F7347" i="25"/>
  <c r="F7355" i="25"/>
  <c r="F7363" i="25"/>
  <c r="F7371" i="25"/>
  <c r="F7379" i="25"/>
  <c r="F7387" i="25"/>
  <c r="F7395" i="25"/>
  <c r="F7403" i="25"/>
  <c r="F7411" i="25"/>
  <c r="F7419" i="25"/>
  <c r="F7427" i="25"/>
  <c r="F7435" i="25"/>
  <c r="F7443" i="25"/>
  <c r="F7451" i="25"/>
  <c r="F7459" i="25"/>
  <c r="F7467" i="25"/>
  <c r="F7475" i="25"/>
  <c r="F7483" i="25"/>
  <c r="F7491" i="25"/>
  <c r="F7499" i="25"/>
  <c r="F7507" i="25"/>
  <c r="F7515" i="25"/>
  <c r="F7523" i="25"/>
  <c r="F7531" i="25"/>
  <c r="F7539" i="25"/>
  <c r="F7547" i="25"/>
  <c r="F5173" i="25"/>
  <c r="F5278" i="25"/>
  <c r="F5365" i="25"/>
  <c r="F5421" i="25"/>
  <c r="F5453" i="25"/>
  <c r="F5485" i="25"/>
  <c r="F5517" i="25"/>
  <c r="F5549" i="25"/>
  <c r="F5581" i="25"/>
  <c r="F5613" i="25"/>
  <c r="F5645" i="25"/>
  <c r="F5677" i="25"/>
  <c r="F5709" i="25"/>
  <c r="F5741" i="25"/>
  <c r="F5773" i="25"/>
  <c r="F5805" i="25"/>
  <c r="F5837" i="25"/>
  <c r="F5869" i="25"/>
  <c r="F5901" i="25"/>
  <c r="F5933" i="25"/>
  <c r="F5965" i="25"/>
  <c r="F5997" i="25"/>
  <c r="F6029" i="25"/>
  <c r="F6061" i="25"/>
  <c r="F6093" i="25"/>
  <c r="F6125" i="25"/>
  <c r="F6157" i="25"/>
  <c r="F6189" i="25"/>
  <c r="F6221" i="25"/>
  <c r="F6253" i="25"/>
  <c r="F6285" i="25"/>
  <c r="F6317" i="25"/>
  <c r="F6335" i="25"/>
  <c r="F6358" i="25"/>
  <c r="F6381" i="25"/>
  <c r="F6399" i="25"/>
  <c r="F6414" i="25"/>
  <c r="F6427" i="25"/>
  <c r="F6437" i="25"/>
  <c r="F6447" i="25"/>
  <c r="F6459" i="25"/>
  <c r="F6469" i="25"/>
  <c r="F6479" i="25"/>
  <c r="F6491" i="25"/>
  <c r="F6501" i="25"/>
  <c r="F6511" i="25"/>
  <c r="F6523" i="25"/>
  <c r="F6533" i="25"/>
  <c r="F6543" i="25"/>
  <c r="F6555" i="25"/>
  <c r="F6565" i="25"/>
  <c r="F6575" i="25"/>
  <c r="F6587" i="25"/>
  <c r="F6597" i="25"/>
  <c r="F6607" i="25"/>
  <c r="F6619" i="25"/>
  <c r="F6629" i="25"/>
  <c r="F6639" i="25"/>
  <c r="F6650" i="25"/>
  <c r="F6659" i="25"/>
  <c r="F6668" i="25"/>
  <c r="F6676" i="25"/>
  <c r="F6684" i="25"/>
  <c r="F6692" i="25"/>
  <c r="F6700" i="25"/>
  <c r="F6708" i="25"/>
  <c r="F6716" i="25"/>
  <c r="F6724" i="25"/>
  <c r="F6732" i="25"/>
  <c r="F6740" i="25"/>
  <c r="F6748" i="25"/>
  <c r="F6756" i="25"/>
  <c r="F6764" i="25"/>
  <c r="F6772" i="25"/>
  <c r="F6780" i="25"/>
  <c r="F6788" i="25"/>
  <c r="F6796" i="25"/>
  <c r="F6804" i="25"/>
  <c r="F6812" i="25"/>
  <c r="F6820" i="25"/>
  <c r="F6828" i="25"/>
  <c r="F6836" i="25"/>
  <c r="F6844" i="25"/>
  <c r="F6852" i="25"/>
  <c r="F6860" i="25"/>
  <c r="F6868" i="25"/>
  <c r="F6876" i="25"/>
  <c r="F6884" i="25"/>
  <c r="F6892" i="25"/>
  <c r="F6900" i="25"/>
  <c r="F6908" i="25"/>
  <c r="F6916" i="25"/>
  <c r="F6924" i="25"/>
  <c r="F6932" i="25"/>
  <c r="F6940" i="25"/>
  <c r="F6948" i="25"/>
  <c r="F6956" i="25"/>
  <c r="F6964" i="25"/>
  <c r="F6972" i="25"/>
  <c r="F6980" i="25"/>
  <c r="F6988" i="25"/>
  <c r="F6996" i="25"/>
  <c r="F7004" i="25"/>
  <c r="F7012" i="25"/>
  <c r="F7020" i="25"/>
  <c r="F7028" i="25"/>
  <c r="F7036" i="25"/>
  <c r="F7044" i="25"/>
  <c r="F7052" i="25"/>
  <c r="F7060" i="25"/>
  <c r="F7068" i="25"/>
  <c r="F7076" i="25"/>
  <c r="F7084" i="25"/>
  <c r="F7092" i="25"/>
  <c r="F7100" i="25"/>
  <c r="F7108" i="25"/>
  <c r="F7116" i="25"/>
  <c r="F7124" i="25"/>
  <c r="F7132" i="25"/>
  <c r="F7140" i="25"/>
  <c r="F7148" i="25"/>
  <c r="F7156" i="25"/>
  <c r="F7164" i="25"/>
  <c r="F7172" i="25"/>
  <c r="F7180" i="25"/>
  <c r="F7188" i="25"/>
  <c r="F7196" i="25"/>
  <c r="F7204" i="25"/>
  <c r="F7212" i="25"/>
  <c r="F7220" i="25"/>
  <c r="F7228" i="25"/>
  <c r="F7236" i="25"/>
  <c r="F7244" i="25"/>
  <c r="F7252" i="25"/>
  <c r="F7260" i="25"/>
  <c r="F7268" i="25"/>
  <c r="F7276" i="25"/>
  <c r="F7284" i="25"/>
  <c r="F7292" i="25"/>
  <c r="F7300" i="25"/>
  <c r="F7308" i="25"/>
  <c r="F7316" i="25"/>
  <c r="F7324" i="25"/>
  <c r="F7332" i="25"/>
  <c r="F7340" i="25"/>
  <c r="F7348" i="25"/>
  <c r="F7356" i="25"/>
  <c r="F7364" i="25"/>
  <c r="F7372" i="25"/>
  <c r="F7380" i="25"/>
  <c r="F7388" i="25"/>
  <c r="F7396" i="25"/>
  <c r="F7404" i="25"/>
  <c r="F7412" i="25"/>
  <c r="F7420" i="25"/>
  <c r="F7428" i="25"/>
  <c r="F7436" i="25"/>
  <c r="F7444" i="25"/>
  <c r="F7452" i="25"/>
  <c r="F7460" i="25"/>
  <c r="F7468" i="25"/>
  <c r="F7476" i="25"/>
  <c r="F7484" i="25"/>
  <c r="F7492" i="25"/>
  <c r="F7500" i="25"/>
  <c r="F7508" i="25"/>
  <c r="F7516" i="25"/>
  <c r="F7524" i="25"/>
  <c r="F7532" i="25"/>
  <c r="F7540" i="25"/>
  <c r="F5180" i="25"/>
  <c r="F5284" i="25"/>
  <c r="F5366" i="25"/>
  <c r="F5422" i="25"/>
  <c r="F5454" i="25"/>
  <c r="F5486" i="25"/>
  <c r="F5518" i="25"/>
  <c r="F5550" i="25"/>
  <c r="F5582" i="25"/>
  <c r="F5614" i="25"/>
  <c r="F5646" i="25"/>
  <c r="F5678" i="25"/>
  <c r="F5710" i="25"/>
  <c r="F5742" i="25"/>
  <c r="F5774" i="25"/>
  <c r="F5806" i="25"/>
  <c r="F5838" i="25"/>
  <c r="F5870" i="25"/>
  <c r="F5902" i="25"/>
  <c r="F5934" i="25"/>
  <c r="F5966" i="25"/>
  <c r="F5998" i="25"/>
  <c r="F6030" i="25"/>
  <c r="F6062" i="25"/>
  <c r="F6094" i="25"/>
  <c r="F6126" i="25"/>
  <c r="F6158" i="25"/>
  <c r="F6190" i="25"/>
  <c r="F6222" i="25"/>
  <c r="F6254" i="25"/>
  <c r="F6286" i="25"/>
  <c r="F6318" i="25"/>
  <c r="F6341" i="25"/>
  <c r="F6359" i="25"/>
  <c r="F6382" i="25"/>
  <c r="F6403" i="25"/>
  <c r="F6415" i="25"/>
  <c r="F6428" i="25"/>
  <c r="F6438" i="25"/>
  <c r="F6450" i="25"/>
  <c r="F6460" i="25"/>
  <c r="F6470" i="25"/>
  <c r="F6482" i="25"/>
  <c r="F6492" i="25"/>
  <c r="F6502" i="25"/>
  <c r="F6514" i="25"/>
  <c r="F6524" i="25"/>
  <c r="F6534" i="25"/>
  <c r="F6546" i="25"/>
  <c r="F6556" i="25"/>
  <c r="F6566" i="25"/>
  <c r="F6578" i="25"/>
  <c r="F6588" i="25"/>
  <c r="F6598" i="25"/>
  <c r="F6610" i="25"/>
  <c r="F6620" i="25"/>
  <c r="F6630" i="25"/>
  <c r="F6642" i="25"/>
  <c r="F6651" i="25"/>
  <c r="F6660" i="25"/>
  <c r="F6669" i="25"/>
  <c r="F6677" i="25"/>
  <c r="F6685" i="25"/>
  <c r="F6693" i="25"/>
  <c r="F6701" i="25"/>
  <c r="F6709" i="25"/>
  <c r="F6717" i="25"/>
  <c r="F6725" i="25"/>
  <c r="F6733" i="25"/>
  <c r="F6741" i="25"/>
  <c r="F6749" i="25"/>
  <c r="F6757" i="25"/>
  <c r="F6765" i="25"/>
  <c r="F6773" i="25"/>
  <c r="F6781" i="25"/>
  <c r="F6789" i="25"/>
  <c r="F6797" i="25"/>
  <c r="F6805" i="25"/>
  <c r="F6813" i="25"/>
  <c r="F6821" i="25"/>
  <c r="F6829" i="25"/>
  <c r="F6837" i="25"/>
  <c r="F6845" i="25"/>
  <c r="F6853" i="25"/>
  <c r="F6861" i="25"/>
  <c r="F6869" i="25"/>
  <c r="F6877" i="25"/>
  <c r="F6885" i="25"/>
  <c r="F6893" i="25"/>
  <c r="F6901" i="25"/>
  <c r="F6909" i="25"/>
  <c r="F6917" i="25"/>
  <c r="F6925" i="25"/>
  <c r="F6933" i="25"/>
  <c r="F6941" i="25"/>
  <c r="F6949" i="25"/>
  <c r="F6957" i="25"/>
  <c r="F6965" i="25"/>
  <c r="F6973" i="25"/>
  <c r="F6981" i="25"/>
  <c r="F6989" i="25"/>
  <c r="F6997" i="25"/>
  <c r="F7005" i="25"/>
  <c r="F7013" i="25"/>
  <c r="F7021" i="25"/>
  <c r="F7029" i="25"/>
  <c r="F7037" i="25"/>
  <c r="F7045" i="25"/>
  <c r="F7053" i="25"/>
  <c r="F7061" i="25"/>
  <c r="F7069" i="25"/>
  <c r="F7077" i="25"/>
  <c r="F7085" i="25"/>
  <c r="F7093" i="25"/>
  <c r="F7101" i="25"/>
  <c r="F7109" i="25"/>
  <c r="F7117" i="25"/>
  <c r="F7125" i="25"/>
  <c r="F7133" i="25"/>
  <c r="F7141" i="25"/>
  <c r="F7149" i="25"/>
  <c r="F7157" i="25"/>
  <c r="F7165" i="25"/>
  <c r="F7173" i="25"/>
  <c r="F7181" i="25"/>
  <c r="F7189" i="25"/>
  <c r="F7197" i="25"/>
  <c r="F7205" i="25"/>
  <c r="F7213" i="25"/>
  <c r="F7221" i="25"/>
  <c r="F7229" i="25"/>
  <c r="F7237" i="25"/>
  <c r="F7245" i="25"/>
  <c r="F7253" i="25"/>
  <c r="F7261" i="25"/>
  <c r="F7269" i="25"/>
  <c r="F7277" i="25"/>
  <c r="F7285" i="25"/>
  <c r="F7293" i="25"/>
  <c r="F7301" i="25"/>
  <c r="F7309" i="25"/>
  <c r="F7317" i="25"/>
  <c r="F7325" i="25"/>
  <c r="F7333" i="25"/>
  <c r="F7341" i="25"/>
  <c r="F7349" i="25"/>
  <c r="F7357" i="25"/>
  <c r="F7365" i="25"/>
  <c r="F7373" i="25"/>
  <c r="F7381" i="25"/>
  <c r="F7389" i="25"/>
  <c r="F7397" i="25"/>
  <c r="F7405" i="25"/>
  <c r="F7413" i="25"/>
  <c r="F7421" i="25"/>
  <c r="F7429" i="25"/>
  <c r="F7437" i="25"/>
  <c r="F7445" i="25"/>
  <c r="F7453" i="25"/>
  <c r="F7461" i="25"/>
  <c r="F7469" i="25"/>
  <c r="F7477" i="25"/>
  <c r="F7485" i="25"/>
  <c r="F7493" i="25"/>
  <c r="F7501" i="25"/>
  <c r="F7509" i="25"/>
  <c r="F7517" i="25"/>
  <c r="F7525" i="25"/>
  <c r="F7533" i="25"/>
  <c r="F7541" i="25"/>
  <c r="F5205" i="25"/>
  <c r="F5301" i="25"/>
  <c r="F5388" i="25"/>
  <c r="F5429" i="25"/>
  <c r="F5461" i="25"/>
  <c r="F5493" i="25"/>
  <c r="F5525" i="25"/>
  <c r="F5557" i="25"/>
  <c r="F5589" i="25"/>
  <c r="F5621" i="25"/>
  <c r="F5653" i="25"/>
  <c r="F5685" i="25"/>
  <c r="F5717" i="25"/>
  <c r="F5749" i="25"/>
  <c r="F5781" i="25"/>
  <c r="F5813" i="25"/>
  <c r="F5845" i="25"/>
  <c r="F5877" i="25"/>
  <c r="F5909" i="25"/>
  <c r="F5941" i="25"/>
  <c r="F5973" i="25"/>
  <c r="F6005" i="25"/>
  <c r="F6037" i="25"/>
  <c r="F6069" i="25"/>
  <c r="F6101" i="25"/>
  <c r="F6133" i="25"/>
  <c r="F6165" i="25"/>
  <c r="F6197" i="25"/>
  <c r="F6229" i="25"/>
  <c r="F6261" i="25"/>
  <c r="F6293" i="25"/>
  <c r="F6319" i="25"/>
  <c r="F6342" i="25"/>
  <c r="F6365" i="25"/>
  <c r="F6383" i="25"/>
  <c r="F6405" i="25"/>
  <c r="F6419" i="25"/>
  <c r="F6429" i="25"/>
  <c r="F6439" i="25"/>
  <c r="F6451" i="25"/>
  <c r="F6461" i="25"/>
  <c r="F6471" i="25"/>
  <c r="F6483" i="25"/>
  <c r="F6493" i="25"/>
  <c r="F6503" i="25"/>
  <c r="F6515" i="25"/>
  <c r="F6525" i="25"/>
  <c r="F6535" i="25"/>
  <c r="F6547" i="25"/>
  <c r="F6557" i="25"/>
  <c r="F6567" i="25"/>
  <c r="F6579" i="25"/>
  <c r="F6589" i="25"/>
  <c r="F6599" i="25"/>
  <c r="F6611" i="25"/>
  <c r="F6621" i="25"/>
  <c r="F6631" i="25"/>
  <c r="F6643" i="25"/>
  <c r="F6652" i="25"/>
  <c r="F6661" i="25"/>
  <c r="F6670" i="25"/>
  <c r="F6678" i="25"/>
  <c r="F6686" i="25"/>
  <c r="F6694" i="25"/>
  <c r="F6702" i="25"/>
  <c r="F6710" i="25"/>
  <c r="F6718" i="25"/>
  <c r="F6726" i="25"/>
  <c r="F6734" i="25"/>
  <c r="F6742" i="25"/>
  <c r="F6750" i="25"/>
  <c r="F6758" i="25"/>
  <c r="F6766" i="25"/>
  <c r="F6774" i="25"/>
  <c r="F6782" i="25"/>
  <c r="F6790" i="25"/>
  <c r="F6798" i="25"/>
  <c r="F6806" i="25"/>
  <c r="F6814" i="25"/>
  <c r="F6822" i="25"/>
  <c r="F6830" i="25"/>
  <c r="F6838" i="25"/>
  <c r="F6846" i="25"/>
  <c r="F6854" i="25"/>
  <c r="F6862" i="25"/>
  <c r="F6870" i="25"/>
  <c r="F6878" i="25"/>
  <c r="F6886" i="25"/>
  <c r="F6894" i="25"/>
  <c r="F6902" i="25"/>
  <c r="F6910" i="25"/>
  <c r="F6918" i="25"/>
  <c r="F6926" i="25"/>
  <c r="F6934" i="25"/>
  <c r="F6942" i="25"/>
  <c r="F6950" i="25"/>
  <c r="F6958" i="25"/>
  <c r="F6966" i="25"/>
  <c r="F6974" i="25"/>
  <c r="F6982" i="25"/>
  <c r="F6990" i="25"/>
  <c r="F6998" i="25"/>
  <c r="F7006" i="25"/>
  <c r="F7014" i="25"/>
  <c r="F7022" i="25"/>
  <c r="F7030" i="25"/>
  <c r="F7038" i="25"/>
  <c r="F7046" i="25"/>
  <c r="F7054" i="25"/>
  <c r="F7062" i="25"/>
  <c r="F7070" i="25"/>
  <c r="F7078" i="25"/>
  <c r="F7086" i="25"/>
  <c r="F7094" i="25"/>
  <c r="F7102" i="25"/>
  <c r="F7110" i="25"/>
  <c r="F7118" i="25"/>
  <c r="F7126" i="25"/>
  <c r="F7134" i="25"/>
  <c r="F7142" i="25"/>
  <c r="F7150" i="25"/>
  <c r="F7158" i="25"/>
  <c r="F7166" i="25"/>
  <c r="F7174" i="25"/>
  <c r="F7182" i="25"/>
  <c r="F7190" i="25"/>
  <c r="F7198" i="25"/>
  <c r="F7206" i="25"/>
  <c r="F7214" i="25"/>
  <c r="F7222" i="25"/>
  <c r="F7230" i="25"/>
  <c r="F7238" i="25"/>
  <c r="F7246" i="25"/>
  <c r="F7254" i="25"/>
  <c r="F7262" i="25"/>
  <c r="F7270" i="25"/>
  <c r="F7278" i="25"/>
  <c r="F7286" i="25"/>
  <c r="F7294" i="25"/>
  <c r="F7302" i="25"/>
  <c r="F7310" i="25"/>
  <c r="F7318" i="25"/>
  <c r="F7326" i="25"/>
  <c r="F7334" i="25"/>
  <c r="F7342" i="25"/>
  <c r="F7350" i="25"/>
  <c r="F7358" i="25"/>
  <c r="F7366" i="25"/>
  <c r="F7374" i="25"/>
  <c r="F7382" i="25"/>
  <c r="F7390" i="25"/>
  <c r="F7398" i="25"/>
  <c r="F7406" i="25"/>
  <c r="F7414" i="25"/>
  <c r="F7422" i="25"/>
  <c r="F7430" i="25"/>
  <c r="F7438" i="25"/>
  <c r="F7446" i="25"/>
  <c r="F7454" i="25"/>
  <c r="F7462" i="25"/>
  <c r="F7470" i="25"/>
  <c r="F7478" i="25"/>
  <c r="F7486" i="25"/>
  <c r="F7494" i="25"/>
  <c r="F7502" i="25"/>
  <c r="F7510" i="25"/>
  <c r="F7518" i="25"/>
  <c r="F7526" i="25"/>
  <c r="F7534" i="25"/>
  <c r="F7542" i="25"/>
  <c r="F7550" i="25"/>
  <c r="F5212" i="25"/>
  <c r="F5302" i="25"/>
  <c r="F5389" i="25"/>
  <c r="F5430" i="25"/>
  <c r="F5462" i="25"/>
  <c r="F5494" i="25"/>
  <c r="F5526" i="25"/>
  <c r="F5558" i="25"/>
  <c r="F5590" i="25"/>
  <c r="F5622" i="25"/>
  <c r="F5654" i="25"/>
  <c r="F5686" i="25"/>
  <c r="F5718" i="25"/>
  <c r="F5750" i="25"/>
  <c r="F5782" i="25"/>
  <c r="F5814" i="25"/>
  <c r="F5846" i="25"/>
  <c r="F5878" i="25"/>
  <c r="F5910" i="25"/>
  <c r="F5942" i="25"/>
  <c r="F5974" i="25"/>
  <c r="F6006" i="25"/>
  <c r="F6038" i="25"/>
  <c r="F6070" i="25"/>
  <c r="F6102" i="25"/>
  <c r="F6134" i="25"/>
  <c r="F6166" i="25"/>
  <c r="F6198" i="25"/>
  <c r="F6230" i="25"/>
  <c r="F6262" i="25"/>
  <c r="F6294" i="25"/>
  <c r="F6325" i="25"/>
  <c r="F6343" i="25"/>
  <c r="F6366" i="25"/>
  <c r="F6389" i="25"/>
  <c r="F6406" i="25"/>
  <c r="F6420" i="25"/>
  <c r="F6430" i="25"/>
  <c r="F6442" i="25"/>
  <c r="F6452" i="25"/>
  <c r="F6462" i="25"/>
  <c r="F6474" i="25"/>
  <c r="F6484" i="25"/>
  <c r="F6494" i="25"/>
  <c r="F6506" i="25"/>
  <c r="F6516" i="25"/>
  <c r="F6526" i="25"/>
  <c r="F6538" i="25"/>
  <c r="F6548" i="25"/>
  <c r="F6558" i="25"/>
  <c r="F6570" i="25"/>
  <c r="F6580" i="25"/>
  <c r="F6590" i="25"/>
  <c r="F6602" i="25"/>
  <c r="F6612" i="25"/>
  <c r="F6622" i="25"/>
  <c r="F6634" i="25"/>
  <c r="F6644" i="25"/>
  <c r="F6653" i="25"/>
  <c r="F6662" i="25"/>
  <c r="F6671" i="25"/>
  <c r="F6679" i="25"/>
  <c r="F6687" i="25"/>
  <c r="F6695" i="25"/>
  <c r="F6703" i="25"/>
  <c r="F6711" i="25"/>
  <c r="F6719" i="25"/>
  <c r="F6727" i="25"/>
  <c r="F6735" i="25"/>
  <c r="F6743" i="25"/>
  <c r="F6751" i="25"/>
  <c r="F6759" i="25"/>
  <c r="F6767" i="25"/>
  <c r="F6775" i="25"/>
  <c r="F6783" i="25"/>
  <c r="F6791" i="25"/>
  <c r="F6799" i="25"/>
  <c r="F6807" i="25"/>
  <c r="F6815" i="25"/>
  <c r="F6823" i="25"/>
  <c r="F6831" i="25"/>
  <c r="F6839" i="25"/>
  <c r="F6847" i="25"/>
  <c r="F6855" i="25"/>
  <c r="F6863" i="25"/>
  <c r="F6871" i="25"/>
  <c r="F6879" i="25"/>
  <c r="F6887" i="25"/>
  <c r="F6895" i="25"/>
  <c r="F6903" i="25"/>
  <c r="F6911" i="25"/>
  <c r="F6919" i="25"/>
  <c r="F6927" i="25"/>
  <c r="F6935" i="25"/>
  <c r="F6943" i="25"/>
  <c r="F6951" i="25"/>
  <c r="F6959" i="25"/>
  <c r="F6967" i="25"/>
  <c r="F6975" i="25"/>
  <c r="F6983" i="25"/>
  <c r="F6991" i="25"/>
  <c r="F6999" i="25"/>
  <c r="F7007" i="25"/>
  <c r="F7015" i="25"/>
  <c r="F7023" i="25"/>
  <c r="F7031" i="25"/>
  <c r="F7039" i="25"/>
  <c r="F7047" i="25"/>
  <c r="F7055" i="25"/>
  <c r="F7063" i="25"/>
  <c r="F7071" i="25"/>
  <c r="F7079" i="25"/>
  <c r="F7087" i="25"/>
  <c r="F7095" i="25"/>
  <c r="F7103" i="25"/>
  <c r="F7111" i="25"/>
  <c r="F7119" i="25"/>
  <c r="F7127" i="25"/>
  <c r="F7135" i="25"/>
  <c r="F7143" i="25"/>
  <c r="F7151" i="25"/>
  <c r="F7159" i="25"/>
  <c r="F7167" i="25"/>
  <c r="F7175" i="25"/>
  <c r="F7183" i="25"/>
  <c r="F7191" i="25"/>
  <c r="F7199" i="25"/>
  <c r="F7207" i="25"/>
  <c r="F7215" i="25"/>
  <c r="F7223" i="25"/>
  <c r="F7231" i="25"/>
  <c r="F7239" i="25"/>
  <c r="F7247" i="25"/>
  <c r="F7255" i="25"/>
  <c r="F7263" i="25"/>
  <c r="F7271" i="25"/>
  <c r="F7279" i="25"/>
  <c r="F7287" i="25"/>
  <c r="F7295" i="25"/>
  <c r="F7303" i="25"/>
  <c r="F7311" i="25"/>
  <c r="F7319" i="25"/>
  <c r="F7327" i="25"/>
  <c r="F7335" i="25"/>
  <c r="F7343" i="25"/>
  <c r="F7351" i="25"/>
  <c r="F7359" i="25"/>
  <c r="F7367" i="25"/>
  <c r="F7375" i="25"/>
  <c r="F7383" i="25"/>
  <c r="F7391" i="25"/>
  <c r="F7399" i="25"/>
  <c r="F7407" i="25"/>
  <c r="F7415" i="25"/>
  <c r="F7423" i="25"/>
  <c r="F7431" i="25"/>
  <c r="F7439" i="25"/>
  <c r="F7447" i="25"/>
  <c r="F7455" i="25"/>
  <c r="F7463" i="25"/>
  <c r="F7471" i="25"/>
  <c r="F5238" i="25"/>
  <c r="F5325" i="25"/>
  <c r="F5405" i="25"/>
  <c r="F5438" i="25"/>
  <c r="F5470" i="25"/>
  <c r="F5502" i="25"/>
  <c r="F5534" i="25"/>
  <c r="F5566" i="25"/>
  <c r="F5598" i="25"/>
  <c r="F5630" i="25"/>
  <c r="F5662" i="25"/>
  <c r="F5694" i="25"/>
  <c r="F5726" i="25"/>
  <c r="F5758" i="25"/>
  <c r="F5790" i="25"/>
  <c r="F5822" i="25"/>
  <c r="F5854" i="25"/>
  <c r="F5886" i="25"/>
  <c r="F5918" i="25"/>
  <c r="F5950" i="25"/>
  <c r="F5982" i="25"/>
  <c r="F6014" i="25"/>
  <c r="F6046" i="25"/>
  <c r="F6078" i="25"/>
  <c r="F6110" i="25"/>
  <c r="F6142" i="25"/>
  <c r="F6174" i="25"/>
  <c r="F6206" i="25"/>
  <c r="F6238" i="25"/>
  <c r="F6270" i="25"/>
  <c r="F6302" i="25"/>
  <c r="F6327" i="25"/>
  <c r="F6350" i="25"/>
  <c r="F6373" i="25"/>
  <c r="F6391" i="25"/>
  <c r="F6411" i="25"/>
  <c r="F6422" i="25"/>
  <c r="F6434" i="25"/>
  <c r="F6444" i="25"/>
  <c r="F6454" i="25"/>
  <c r="F6466" i="25"/>
  <c r="F6476" i="25"/>
  <c r="F6486" i="25"/>
  <c r="F6498" i="25"/>
  <c r="F6508" i="25"/>
  <c r="F6518" i="25"/>
  <c r="F6530" i="25"/>
  <c r="F6540" i="25"/>
  <c r="F6550" i="25"/>
  <c r="F6562" i="25"/>
  <c r="F6572" i="25"/>
  <c r="F6582" i="25"/>
  <c r="F6594" i="25"/>
  <c r="F6604" i="25"/>
  <c r="F6614" i="25"/>
  <c r="F6626" i="25"/>
  <c r="F6636" i="25"/>
  <c r="F6646" i="25"/>
  <c r="F6655" i="25"/>
  <c r="F6665" i="25"/>
  <c r="F6673" i="25"/>
  <c r="F6681" i="25"/>
  <c r="F6689" i="25"/>
  <c r="F6697" i="25"/>
  <c r="F6705" i="25"/>
  <c r="F6713" i="25"/>
  <c r="F6721" i="25"/>
  <c r="F6729" i="25"/>
  <c r="F6737" i="25"/>
  <c r="F6745" i="25"/>
  <c r="F6753" i="25"/>
  <c r="F6761" i="25"/>
  <c r="F6769" i="25"/>
  <c r="F6777" i="25"/>
  <c r="F6785" i="25"/>
  <c r="F6793" i="25"/>
  <c r="F6801" i="25"/>
  <c r="F6809" i="25"/>
  <c r="F6817" i="25"/>
  <c r="F6825" i="25"/>
  <c r="F6833" i="25"/>
  <c r="F6841" i="25"/>
  <c r="F6849" i="25"/>
  <c r="F6857" i="25"/>
  <c r="F6865" i="25"/>
  <c r="F6873" i="25"/>
  <c r="F6881" i="25"/>
  <c r="F6889" i="25"/>
  <c r="F6897" i="25"/>
  <c r="F6905" i="25"/>
  <c r="F6913" i="25"/>
  <c r="F6921" i="25"/>
  <c r="F6929" i="25"/>
  <c r="F6937" i="25"/>
  <c r="F6945" i="25"/>
  <c r="F6953" i="25"/>
  <c r="F6961" i="25"/>
  <c r="F6969" i="25"/>
  <c r="F6977" i="25"/>
  <c r="F6985" i="25"/>
  <c r="F6993" i="25"/>
  <c r="F7001" i="25"/>
  <c r="F7009" i="25"/>
  <c r="F7017" i="25"/>
  <c r="F7025" i="25"/>
  <c r="F7033" i="25"/>
  <c r="F7041" i="25"/>
  <c r="F7049" i="25"/>
  <c r="F7057" i="25"/>
  <c r="F7065" i="25"/>
  <c r="F7073" i="25"/>
  <c r="F7081" i="25"/>
  <c r="F7089" i="25"/>
  <c r="F7097" i="25"/>
  <c r="F7105" i="25"/>
  <c r="F7113" i="25"/>
  <c r="F7121" i="25"/>
  <c r="F7129" i="25"/>
  <c r="F7137" i="25"/>
  <c r="F7145" i="25"/>
  <c r="F7153" i="25"/>
  <c r="F7161" i="25"/>
  <c r="F5237" i="25"/>
  <c r="F5597" i="25"/>
  <c r="F5853" i="25"/>
  <c r="F6109" i="25"/>
  <c r="F6349" i="25"/>
  <c r="F6463" i="25"/>
  <c r="F6549" i="25"/>
  <c r="F6635" i="25"/>
  <c r="F6704" i="25"/>
  <c r="F6768" i="25"/>
  <c r="F6832" i="25"/>
  <c r="F6896" i="25"/>
  <c r="F6960" i="25"/>
  <c r="F7024" i="25"/>
  <c r="F7088" i="25"/>
  <c r="F7152" i="25"/>
  <c r="F7192" i="25"/>
  <c r="F7224" i="25"/>
  <c r="F7256" i="25"/>
  <c r="F7288" i="25"/>
  <c r="F7320" i="25"/>
  <c r="F7352" i="25"/>
  <c r="F7384" i="25"/>
  <c r="F7416" i="25"/>
  <c r="F7448" i="25"/>
  <c r="F7479" i="25"/>
  <c r="F7497" i="25"/>
  <c r="F7520" i="25"/>
  <c r="F7543" i="25"/>
  <c r="F7554" i="25"/>
  <c r="F7562" i="25"/>
  <c r="F7570" i="25"/>
  <c r="F7578" i="25"/>
  <c r="F7586" i="25"/>
  <c r="F7594" i="25"/>
  <c r="F7602" i="25"/>
  <c r="F7610" i="25"/>
  <c r="F7618" i="25"/>
  <c r="F7626" i="25"/>
  <c r="F7634" i="25"/>
  <c r="F7642" i="25"/>
  <c r="F7650" i="25"/>
  <c r="F7658" i="25"/>
  <c r="F7666" i="25"/>
  <c r="F7674" i="25"/>
  <c r="F7682" i="25"/>
  <c r="F7690" i="25"/>
  <c r="F7698" i="25"/>
  <c r="F7706" i="25"/>
  <c r="F7714" i="25"/>
  <c r="F7722" i="25"/>
  <c r="F7730" i="25"/>
  <c r="F7738" i="25"/>
  <c r="F7746" i="25"/>
  <c r="F7754" i="25"/>
  <c r="F7762" i="25"/>
  <c r="F7770" i="25"/>
  <c r="F7778" i="25"/>
  <c r="F7786" i="25"/>
  <c r="F7794" i="25"/>
  <c r="F7802" i="25"/>
  <c r="F7810" i="25"/>
  <c r="F7818" i="25"/>
  <c r="F7826" i="25"/>
  <c r="F7834" i="25"/>
  <c r="F7842" i="25"/>
  <c r="F7850" i="25"/>
  <c r="F7858" i="25"/>
  <c r="F7866" i="25"/>
  <c r="F7874" i="25"/>
  <c r="F7882" i="25"/>
  <c r="F7890" i="25"/>
  <c r="F7898" i="25"/>
  <c r="F7906" i="25"/>
  <c r="F7914" i="25"/>
  <c r="F7922" i="25"/>
  <c r="F7930" i="25"/>
  <c r="F7938" i="25"/>
  <c r="F7946" i="25"/>
  <c r="F7954" i="25"/>
  <c r="F7962" i="25"/>
  <c r="F7970" i="25"/>
  <c r="F7978" i="25"/>
  <c r="F7986" i="25"/>
  <c r="F7994" i="25"/>
  <c r="F8002" i="25"/>
  <c r="F8010" i="25"/>
  <c r="F8018" i="25"/>
  <c r="F8026" i="25"/>
  <c r="F8034" i="25"/>
  <c r="F8042" i="25"/>
  <c r="F8050" i="25"/>
  <c r="F8058" i="25"/>
  <c r="F8066" i="25"/>
  <c r="F8074" i="25"/>
  <c r="F8082" i="25"/>
  <c r="F8090" i="25"/>
  <c r="F8098" i="25"/>
  <c r="F8106" i="25"/>
  <c r="F8114" i="25"/>
  <c r="F8122" i="25"/>
  <c r="F8130" i="25"/>
  <c r="F8138" i="25"/>
  <c r="F8146" i="25"/>
  <c r="F8154" i="25"/>
  <c r="F8162" i="25"/>
  <c r="F8170" i="25"/>
  <c r="F8178" i="25"/>
  <c r="F8186" i="25"/>
  <c r="F8194" i="25"/>
  <c r="F8202" i="25"/>
  <c r="F8210" i="25"/>
  <c r="F8218" i="25"/>
  <c r="F8226" i="25"/>
  <c r="F8234" i="25"/>
  <c r="F8242" i="25"/>
  <c r="F8250" i="25"/>
  <c r="F8258" i="25"/>
  <c r="F8266" i="25"/>
  <c r="F8274" i="25"/>
  <c r="F8282" i="25"/>
  <c r="F8290" i="25"/>
  <c r="F8298" i="25"/>
  <c r="F8306" i="25"/>
  <c r="F8314" i="25"/>
  <c r="F8322" i="25"/>
  <c r="F8330" i="25"/>
  <c r="F8338" i="25"/>
  <c r="F8346" i="25"/>
  <c r="F8354" i="25"/>
  <c r="F8362" i="25"/>
  <c r="F8370" i="25"/>
  <c r="F8378" i="25"/>
  <c r="F8386" i="25"/>
  <c r="F8394" i="25"/>
  <c r="F8402" i="25"/>
  <c r="F8410" i="25"/>
  <c r="F8418" i="25"/>
  <c r="F8426" i="25"/>
  <c r="F8434" i="25"/>
  <c r="F8442" i="25"/>
  <c r="F8450" i="25"/>
  <c r="F8458" i="25"/>
  <c r="F8466" i="25"/>
  <c r="F8474" i="25"/>
  <c r="F8482" i="25"/>
  <c r="F8490" i="25"/>
  <c r="F8498" i="25"/>
  <c r="F8506" i="25"/>
  <c r="F8514" i="25"/>
  <c r="F8522" i="25"/>
  <c r="F8530" i="25"/>
  <c r="F8538" i="25"/>
  <c r="F8546" i="25"/>
  <c r="F8554" i="25"/>
  <c r="F8562" i="25"/>
  <c r="F8570" i="25"/>
  <c r="F8578" i="25"/>
  <c r="F8586" i="25"/>
  <c r="F8594" i="25"/>
  <c r="F8602" i="25"/>
  <c r="F8610" i="25"/>
  <c r="F8618" i="25"/>
  <c r="F8626" i="25"/>
  <c r="F8634" i="25"/>
  <c r="F8642" i="25"/>
  <c r="F8650" i="25"/>
  <c r="F8658" i="25"/>
  <c r="F8666" i="25"/>
  <c r="F8674" i="25"/>
  <c r="F8682" i="25"/>
  <c r="F8690" i="25"/>
  <c r="F8698" i="25"/>
  <c r="F8706" i="25"/>
  <c r="F8714" i="25"/>
  <c r="F8722" i="25"/>
  <c r="F8730" i="25"/>
  <c r="F8738" i="25"/>
  <c r="F8746" i="25"/>
  <c r="F8754" i="25"/>
  <c r="F8762" i="25"/>
  <c r="F8770" i="25"/>
  <c r="F8778" i="25"/>
  <c r="F8786" i="25"/>
  <c r="F8794" i="25"/>
  <c r="F8802" i="25"/>
  <c r="F8810" i="25"/>
  <c r="F8818" i="25"/>
  <c r="F8826" i="25"/>
  <c r="F8834" i="25"/>
  <c r="F8842" i="25"/>
  <c r="F8850" i="25"/>
  <c r="F8858" i="25"/>
  <c r="F5324" i="25"/>
  <c r="F5629" i="25"/>
  <c r="F5885" i="25"/>
  <c r="F6141" i="25"/>
  <c r="F6367" i="25"/>
  <c r="F6475" i="25"/>
  <c r="F6559" i="25"/>
  <c r="F6645" i="25"/>
  <c r="F6712" i="25"/>
  <c r="F6776" i="25"/>
  <c r="F6840" i="25"/>
  <c r="F6904" i="25"/>
  <c r="F6968" i="25"/>
  <c r="F7032" i="25"/>
  <c r="F7096" i="25"/>
  <c r="F7160" i="25"/>
  <c r="F7193" i="25"/>
  <c r="F7225" i="25"/>
  <c r="F7257" i="25"/>
  <c r="F7289" i="25"/>
  <c r="F7321" i="25"/>
  <c r="F7353" i="25"/>
  <c r="F7385" i="25"/>
  <c r="F7417" i="25"/>
  <c r="F7449" i="25"/>
  <c r="F7480" i="25"/>
  <c r="F7503" i="25"/>
  <c r="F7521" i="25"/>
  <c r="F7544" i="25"/>
  <c r="F7555" i="25"/>
  <c r="F7563" i="25"/>
  <c r="F7571" i="25"/>
  <c r="F7579" i="25"/>
  <c r="F7587" i="25"/>
  <c r="F7595" i="25"/>
  <c r="F7603" i="25"/>
  <c r="F7611" i="25"/>
  <c r="F7619" i="25"/>
  <c r="F7627" i="25"/>
  <c r="F7635" i="25"/>
  <c r="F7643" i="25"/>
  <c r="F7651" i="25"/>
  <c r="F7659" i="25"/>
  <c r="F7667" i="25"/>
  <c r="F7675" i="25"/>
  <c r="F7683" i="25"/>
  <c r="F7691" i="25"/>
  <c r="F7699" i="25"/>
  <c r="F7707" i="25"/>
  <c r="F7715" i="25"/>
  <c r="F7723" i="25"/>
  <c r="F7731" i="25"/>
  <c r="F7739" i="25"/>
  <c r="F7747" i="25"/>
  <c r="F7755" i="25"/>
  <c r="F7763" i="25"/>
  <c r="F7771" i="25"/>
  <c r="F7779" i="25"/>
  <c r="F7787" i="25"/>
  <c r="F7795" i="25"/>
  <c r="F7803" i="25"/>
  <c r="F7811" i="25"/>
  <c r="F7819" i="25"/>
  <c r="F7827" i="25"/>
  <c r="F7835" i="25"/>
  <c r="F7843" i="25"/>
  <c r="F7851" i="25"/>
  <c r="F7859" i="25"/>
  <c r="F7867" i="25"/>
  <c r="F7875" i="25"/>
  <c r="F7883" i="25"/>
  <c r="F7891" i="25"/>
  <c r="F7899" i="25"/>
  <c r="F7907" i="25"/>
  <c r="F7915" i="25"/>
  <c r="F7923" i="25"/>
  <c r="F7931" i="25"/>
  <c r="F7939" i="25"/>
  <c r="F7947" i="25"/>
  <c r="F7955" i="25"/>
  <c r="F7963" i="25"/>
  <c r="F7971" i="25"/>
  <c r="F7979" i="25"/>
  <c r="F7987" i="25"/>
  <c r="F7995" i="25"/>
  <c r="F8003" i="25"/>
  <c r="F8011" i="25"/>
  <c r="F8019" i="25"/>
  <c r="F8027" i="25"/>
  <c r="F8035" i="25"/>
  <c r="F8043" i="25"/>
  <c r="F8051" i="25"/>
  <c r="F8059" i="25"/>
  <c r="F8067" i="25"/>
  <c r="F8075" i="25"/>
  <c r="F8083" i="25"/>
  <c r="F8091" i="25"/>
  <c r="F8099" i="25"/>
  <c r="F8107" i="25"/>
  <c r="F8115" i="25"/>
  <c r="F8123" i="25"/>
  <c r="F8131" i="25"/>
  <c r="F8139" i="25"/>
  <c r="F8147" i="25"/>
  <c r="F8155" i="25"/>
  <c r="F8163" i="25"/>
  <c r="F8171" i="25"/>
  <c r="F8179" i="25"/>
  <c r="F8187" i="25"/>
  <c r="F8195" i="25"/>
  <c r="F8203" i="25"/>
  <c r="F8211" i="25"/>
  <c r="F8219" i="25"/>
  <c r="F8227" i="25"/>
  <c r="F8235" i="25"/>
  <c r="F8243" i="25"/>
  <c r="F8251" i="25"/>
  <c r="F8259" i="25"/>
  <c r="F8267" i="25"/>
  <c r="F8275" i="25"/>
  <c r="F8283" i="25"/>
  <c r="F8291" i="25"/>
  <c r="F8299" i="25"/>
  <c r="F8307" i="25"/>
  <c r="F8315" i="25"/>
  <c r="F8323" i="25"/>
  <c r="F8331" i="25"/>
  <c r="F8339" i="25"/>
  <c r="F8347" i="25"/>
  <c r="F8355" i="25"/>
  <c r="F8363" i="25"/>
  <c r="F8371" i="25"/>
  <c r="F8379" i="25"/>
  <c r="F8387" i="25"/>
  <c r="F8395" i="25"/>
  <c r="F8403" i="25"/>
  <c r="F8411" i="25"/>
  <c r="F8419" i="25"/>
  <c r="F8427" i="25"/>
  <c r="F8435" i="25"/>
  <c r="F8443" i="25"/>
  <c r="F8451" i="25"/>
  <c r="F8459" i="25"/>
  <c r="F8467" i="25"/>
  <c r="F8475" i="25"/>
  <c r="F8483" i="25"/>
  <c r="F8491" i="25"/>
  <c r="F8499" i="25"/>
  <c r="F8507" i="25"/>
  <c r="F8515" i="25"/>
  <c r="F8523" i="25"/>
  <c r="F8531" i="25"/>
  <c r="F8539" i="25"/>
  <c r="F8547" i="25"/>
  <c r="F8555" i="25"/>
  <c r="F8563" i="25"/>
  <c r="F8571" i="25"/>
  <c r="F8579" i="25"/>
  <c r="F8587" i="25"/>
  <c r="F8595" i="25"/>
  <c r="F8603" i="25"/>
  <c r="F8611" i="25"/>
  <c r="F8619" i="25"/>
  <c r="F8627" i="25"/>
  <c r="F8635" i="25"/>
  <c r="F8643" i="25"/>
  <c r="F8651" i="25"/>
  <c r="F8659" i="25"/>
  <c r="F8667" i="25"/>
  <c r="F8675" i="25"/>
  <c r="F8683" i="25"/>
  <c r="F8691" i="25"/>
  <c r="F8699" i="25"/>
  <c r="F8707" i="25"/>
  <c r="F8715" i="25"/>
  <c r="F8723" i="25"/>
  <c r="F8731" i="25"/>
  <c r="F8739" i="25"/>
  <c r="F8747" i="25"/>
  <c r="F5404" i="25"/>
  <c r="F5661" i="25"/>
  <c r="F5917" i="25"/>
  <c r="F6173" i="25"/>
  <c r="F6390" i="25"/>
  <c r="F6485" i="25"/>
  <c r="F6571" i="25"/>
  <c r="F6654" i="25"/>
  <c r="F6720" i="25"/>
  <c r="F6784" i="25"/>
  <c r="F6848" i="25"/>
  <c r="F6912" i="25"/>
  <c r="F6976" i="25"/>
  <c r="F7040" i="25"/>
  <c r="F7104" i="25"/>
  <c r="F7168" i="25"/>
  <c r="F7200" i="25"/>
  <c r="F7232" i="25"/>
  <c r="F7264" i="25"/>
  <c r="F7296" i="25"/>
  <c r="F7328" i="25"/>
  <c r="F7360" i="25"/>
  <c r="F7392" i="25"/>
  <c r="F7424" i="25"/>
  <c r="F7456" i="25"/>
  <c r="F7481" i="25"/>
  <c r="F7504" i="25"/>
  <c r="F7527" i="25"/>
  <c r="F7545" i="25"/>
  <c r="F7556" i="25"/>
  <c r="F7564" i="25"/>
  <c r="F7572" i="25"/>
  <c r="F7580" i="25"/>
  <c r="F7588" i="25"/>
  <c r="F7596" i="25"/>
  <c r="F7604" i="25"/>
  <c r="F7612" i="25"/>
  <c r="F7620" i="25"/>
  <c r="F7628" i="25"/>
  <c r="F7636" i="25"/>
  <c r="F7644" i="25"/>
  <c r="F7652" i="25"/>
  <c r="F7660" i="25"/>
  <c r="F7668" i="25"/>
  <c r="F7676" i="25"/>
  <c r="F7684" i="25"/>
  <c r="F7692" i="25"/>
  <c r="F7700" i="25"/>
  <c r="F7708" i="25"/>
  <c r="F7716" i="25"/>
  <c r="F7724" i="25"/>
  <c r="F7732" i="25"/>
  <c r="F7740" i="25"/>
  <c r="F7748" i="25"/>
  <c r="F7756" i="25"/>
  <c r="F7764" i="25"/>
  <c r="F7772" i="25"/>
  <c r="F7780" i="25"/>
  <c r="F7788" i="25"/>
  <c r="F7796" i="25"/>
  <c r="F7804" i="25"/>
  <c r="F7812" i="25"/>
  <c r="F7820" i="25"/>
  <c r="F7828" i="25"/>
  <c r="F7836" i="25"/>
  <c r="F7844" i="25"/>
  <c r="F7852" i="25"/>
  <c r="F7860" i="25"/>
  <c r="F7868" i="25"/>
  <c r="F7876" i="25"/>
  <c r="F7884" i="25"/>
  <c r="F7892" i="25"/>
  <c r="F7900" i="25"/>
  <c r="F7908" i="25"/>
  <c r="F7916" i="25"/>
  <c r="F7924" i="25"/>
  <c r="F7932" i="25"/>
  <c r="F7940" i="25"/>
  <c r="F7948" i="25"/>
  <c r="F7956" i="25"/>
  <c r="F7964" i="25"/>
  <c r="F7972" i="25"/>
  <c r="F7980" i="25"/>
  <c r="F7988" i="25"/>
  <c r="F7996" i="25"/>
  <c r="F8004" i="25"/>
  <c r="F8012" i="25"/>
  <c r="F8020" i="25"/>
  <c r="F8028" i="25"/>
  <c r="F8036" i="25"/>
  <c r="F8044" i="25"/>
  <c r="F8052" i="25"/>
  <c r="F8060" i="25"/>
  <c r="F8068" i="25"/>
  <c r="F8076" i="25"/>
  <c r="F8084" i="25"/>
  <c r="F8092" i="25"/>
  <c r="F8100" i="25"/>
  <c r="F8108" i="25"/>
  <c r="F8116" i="25"/>
  <c r="F8124" i="25"/>
  <c r="F8132" i="25"/>
  <c r="F8140" i="25"/>
  <c r="F8148" i="25"/>
  <c r="F8156" i="25"/>
  <c r="F8164" i="25"/>
  <c r="F8172" i="25"/>
  <c r="F8180" i="25"/>
  <c r="F8188" i="25"/>
  <c r="F8196" i="25"/>
  <c r="F8204" i="25"/>
  <c r="F8212" i="25"/>
  <c r="F8220" i="25"/>
  <c r="F8228" i="25"/>
  <c r="F8236" i="25"/>
  <c r="F8244" i="25"/>
  <c r="F8252" i="25"/>
  <c r="F8260" i="25"/>
  <c r="F8268" i="25"/>
  <c r="F8276" i="25"/>
  <c r="F8284" i="25"/>
  <c r="F8292" i="25"/>
  <c r="F8300" i="25"/>
  <c r="F8308" i="25"/>
  <c r="F8316" i="25"/>
  <c r="F8324" i="25"/>
  <c r="F8332" i="25"/>
  <c r="F8340" i="25"/>
  <c r="F8348" i="25"/>
  <c r="F8356" i="25"/>
  <c r="F8364" i="25"/>
  <c r="F8372" i="25"/>
  <c r="F8380" i="25"/>
  <c r="F8388" i="25"/>
  <c r="F8396" i="25"/>
  <c r="F8404" i="25"/>
  <c r="F8412" i="25"/>
  <c r="F8420" i="25"/>
  <c r="F8428" i="25"/>
  <c r="F8436" i="25"/>
  <c r="F8444" i="25"/>
  <c r="F8452" i="25"/>
  <c r="F8460" i="25"/>
  <c r="F8468" i="25"/>
  <c r="F8476" i="25"/>
  <c r="F8484" i="25"/>
  <c r="F8492" i="25"/>
  <c r="F8500" i="25"/>
  <c r="F8508" i="25"/>
  <c r="F8516" i="25"/>
  <c r="F8524" i="25"/>
  <c r="F8532" i="25"/>
  <c r="F8540" i="25"/>
  <c r="F8548" i="25"/>
  <c r="F8556" i="25"/>
  <c r="F8564" i="25"/>
  <c r="F8572" i="25"/>
  <c r="F8580" i="25"/>
  <c r="F8588" i="25"/>
  <c r="F8596" i="25"/>
  <c r="F8604" i="25"/>
  <c r="F8612" i="25"/>
  <c r="F8620" i="25"/>
  <c r="F8628" i="25"/>
  <c r="F8636" i="25"/>
  <c r="F8644" i="25"/>
  <c r="F5437" i="25"/>
  <c r="F5693" i="25"/>
  <c r="F5949" i="25"/>
  <c r="F6205" i="25"/>
  <c r="F6407" i="25"/>
  <c r="F6495" i="25"/>
  <c r="F6581" i="25"/>
  <c r="F6663" i="25"/>
  <c r="F6728" i="25"/>
  <c r="F6792" i="25"/>
  <c r="F6856" i="25"/>
  <c r="F6920" i="25"/>
  <c r="F6984" i="25"/>
  <c r="F7048" i="25"/>
  <c r="F7112" i="25"/>
  <c r="F7169" i="25"/>
  <c r="F7201" i="25"/>
  <c r="F7233" i="25"/>
  <c r="F7265" i="25"/>
  <c r="F7297" i="25"/>
  <c r="F7329" i="25"/>
  <c r="F7361" i="25"/>
  <c r="F7393" i="25"/>
  <c r="F7425" i="25"/>
  <c r="F7457" i="25"/>
  <c r="F7487" i="25"/>
  <c r="F7505" i="25"/>
  <c r="F7528" i="25"/>
  <c r="F7548" i="25"/>
  <c r="F7557" i="25"/>
  <c r="F7565" i="25"/>
  <c r="F7573" i="25"/>
  <c r="F7581" i="25"/>
  <c r="F7589" i="25"/>
  <c r="F7597" i="25"/>
  <c r="F7605" i="25"/>
  <c r="F7613" i="25"/>
  <c r="F7621" i="25"/>
  <c r="F7629" i="25"/>
  <c r="F7637" i="25"/>
  <c r="F7645" i="25"/>
  <c r="F7653" i="25"/>
  <c r="F7661" i="25"/>
  <c r="F7669" i="25"/>
  <c r="F7677" i="25"/>
  <c r="F7685" i="25"/>
  <c r="F7693" i="25"/>
  <c r="F7701" i="25"/>
  <c r="F7709" i="25"/>
  <c r="F7717" i="25"/>
  <c r="F7725" i="25"/>
  <c r="F7733" i="25"/>
  <c r="F7741" i="25"/>
  <c r="F7749" i="25"/>
  <c r="F7757" i="25"/>
  <c r="F7765" i="25"/>
  <c r="F7773" i="25"/>
  <c r="F7781" i="25"/>
  <c r="F7789" i="25"/>
  <c r="F7797" i="25"/>
  <c r="F7805" i="25"/>
  <c r="F7813" i="25"/>
  <c r="F7821" i="25"/>
  <c r="F7829" i="25"/>
  <c r="F7837" i="25"/>
  <c r="F7845" i="25"/>
  <c r="F7853" i="25"/>
  <c r="F7861" i="25"/>
  <c r="F7869" i="25"/>
  <c r="F7877" i="25"/>
  <c r="F7885" i="25"/>
  <c r="F7893" i="25"/>
  <c r="F7901" i="25"/>
  <c r="F7909" i="25"/>
  <c r="F7917" i="25"/>
  <c r="F7925" i="25"/>
  <c r="F7933" i="25"/>
  <c r="F7941" i="25"/>
  <c r="F7949" i="25"/>
  <c r="F7957" i="25"/>
  <c r="F7965" i="25"/>
  <c r="F7973" i="25"/>
  <c r="F7981" i="25"/>
  <c r="F7989" i="25"/>
  <c r="F7997" i="25"/>
  <c r="F8005" i="25"/>
  <c r="F8013" i="25"/>
  <c r="F8021" i="25"/>
  <c r="F8029" i="25"/>
  <c r="F8037" i="25"/>
  <c r="F8045" i="25"/>
  <c r="F8053" i="25"/>
  <c r="F8061" i="25"/>
  <c r="F8069" i="25"/>
  <c r="F8077" i="25"/>
  <c r="F8085" i="25"/>
  <c r="F8093" i="25"/>
  <c r="F8101" i="25"/>
  <c r="F8109" i="25"/>
  <c r="F8117" i="25"/>
  <c r="F8125" i="25"/>
  <c r="F8133" i="25"/>
  <c r="F8141" i="25"/>
  <c r="F8149" i="25"/>
  <c r="F8157" i="25"/>
  <c r="F8165" i="25"/>
  <c r="F8173" i="25"/>
  <c r="F8181" i="25"/>
  <c r="F8189" i="25"/>
  <c r="F8197" i="25"/>
  <c r="F8205" i="25"/>
  <c r="F8213" i="25"/>
  <c r="F8221" i="25"/>
  <c r="F8229" i="25"/>
  <c r="F8237" i="25"/>
  <c r="F8245" i="25"/>
  <c r="F8253" i="25"/>
  <c r="F8261" i="25"/>
  <c r="F8269" i="25"/>
  <c r="F8277" i="25"/>
  <c r="F8285" i="25"/>
  <c r="F8293" i="25"/>
  <c r="F8301" i="25"/>
  <c r="F8309" i="25"/>
  <c r="F8317" i="25"/>
  <c r="F8325" i="25"/>
  <c r="F8333" i="25"/>
  <c r="F8341" i="25"/>
  <c r="F8349" i="25"/>
  <c r="F8357" i="25"/>
  <c r="F8365" i="25"/>
  <c r="F8373" i="25"/>
  <c r="F8381" i="25"/>
  <c r="F8389" i="25"/>
  <c r="F8397" i="25"/>
  <c r="F8405" i="25"/>
  <c r="F8413" i="25"/>
  <c r="F8421" i="25"/>
  <c r="F8429" i="25"/>
  <c r="F8437" i="25"/>
  <c r="F8445" i="25"/>
  <c r="F8453" i="25"/>
  <c r="F8461" i="25"/>
  <c r="F8469" i="25"/>
  <c r="F8477" i="25"/>
  <c r="F8485" i="25"/>
  <c r="F8493" i="25"/>
  <c r="F8501" i="25"/>
  <c r="F8509" i="25"/>
  <c r="F8517" i="25"/>
  <c r="F8525" i="25"/>
  <c r="F8533" i="25"/>
  <c r="F8541" i="25"/>
  <c r="F8549" i="25"/>
  <c r="F8557" i="25"/>
  <c r="F8565" i="25"/>
  <c r="F8573" i="25"/>
  <c r="F8581" i="25"/>
  <c r="F8589" i="25"/>
  <c r="F8597" i="25"/>
  <c r="F8605" i="25"/>
  <c r="F8613" i="25"/>
  <c r="F8621" i="25"/>
  <c r="F8629" i="25"/>
  <c r="F8637" i="25"/>
  <c r="F8645" i="25"/>
  <c r="F8653" i="25"/>
  <c r="F8661" i="25"/>
  <c r="F8669" i="25"/>
  <c r="F8677" i="25"/>
  <c r="F8685" i="25"/>
  <c r="F8693" i="25"/>
  <c r="F8701" i="25"/>
  <c r="F8709" i="25"/>
  <c r="F8717" i="25"/>
  <c r="F8725" i="25"/>
  <c r="F8733" i="25"/>
  <c r="F8741" i="25"/>
  <c r="F8749" i="25"/>
  <c r="F5469" i="25"/>
  <c r="F5725" i="25"/>
  <c r="F5981" i="25"/>
  <c r="F6237" i="25"/>
  <c r="F6421" i="25"/>
  <c r="F6507" i="25"/>
  <c r="F6591" i="25"/>
  <c r="F6672" i="25"/>
  <c r="F6736" i="25"/>
  <c r="F6800" i="25"/>
  <c r="F6864" i="25"/>
  <c r="F6928" i="25"/>
  <c r="F6992" i="25"/>
  <c r="F7056" i="25"/>
  <c r="F7120" i="25"/>
  <c r="F7176" i="25"/>
  <c r="F7208" i="25"/>
  <c r="F7240" i="25"/>
  <c r="F7272" i="25"/>
  <c r="F7304" i="25"/>
  <c r="F7336" i="25"/>
  <c r="F7368" i="25"/>
  <c r="F7400" i="25"/>
  <c r="F7432" i="25"/>
  <c r="F7464" i="25"/>
  <c r="F7488" i="25"/>
  <c r="F7511" i="25"/>
  <c r="F7529" i="25"/>
  <c r="F7549" i="25"/>
  <c r="F7558" i="25"/>
  <c r="F7566" i="25"/>
  <c r="F7574" i="25"/>
  <c r="F7582" i="25"/>
  <c r="F7590" i="25"/>
  <c r="F7598" i="25"/>
  <c r="F7606" i="25"/>
  <c r="F7614" i="25"/>
  <c r="F7622" i="25"/>
  <c r="F7630" i="25"/>
  <c r="F7638" i="25"/>
  <c r="F7646" i="25"/>
  <c r="F7654" i="25"/>
  <c r="F7662" i="25"/>
  <c r="F7670" i="25"/>
  <c r="F7678" i="25"/>
  <c r="F7686" i="25"/>
  <c r="F7694" i="25"/>
  <c r="F7702" i="25"/>
  <c r="F7710" i="25"/>
  <c r="F7718" i="25"/>
  <c r="F7726" i="25"/>
  <c r="F7734" i="25"/>
  <c r="F7742" i="25"/>
  <c r="F7750" i="25"/>
  <c r="F7758" i="25"/>
  <c r="F7766" i="25"/>
  <c r="F7774" i="25"/>
  <c r="F7782" i="25"/>
  <c r="F7790" i="25"/>
  <c r="F7798" i="25"/>
  <c r="F7806" i="25"/>
  <c r="F7814" i="25"/>
  <c r="F7822" i="25"/>
  <c r="F7830" i="25"/>
  <c r="F7838" i="25"/>
  <c r="F7846" i="25"/>
  <c r="F7854" i="25"/>
  <c r="F7862" i="25"/>
  <c r="F7870" i="25"/>
  <c r="F7878" i="25"/>
  <c r="F7886" i="25"/>
  <c r="F7894" i="25"/>
  <c r="F7902" i="25"/>
  <c r="F7910" i="25"/>
  <c r="F7918" i="25"/>
  <c r="F7926" i="25"/>
  <c r="F7934" i="25"/>
  <c r="F7942" i="25"/>
  <c r="F7950" i="25"/>
  <c r="F7958" i="25"/>
  <c r="F7966" i="25"/>
  <c r="F7974" i="25"/>
  <c r="F7982" i="25"/>
  <c r="F7990" i="25"/>
  <c r="F7998" i="25"/>
  <c r="F8006" i="25"/>
  <c r="F8014" i="25"/>
  <c r="F8022" i="25"/>
  <c r="F8030" i="25"/>
  <c r="F8038" i="25"/>
  <c r="F8046" i="25"/>
  <c r="F8054" i="25"/>
  <c r="F8062" i="25"/>
  <c r="F8070" i="25"/>
  <c r="F8078" i="25"/>
  <c r="F8086" i="25"/>
  <c r="F8094" i="25"/>
  <c r="F8102" i="25"/>
  <c r="F8110" i="25"/>
  <c r="F8118" i="25"/>
  <c r="F8126" i="25"/>
  <c r="F8134" i="25"/>
  <c r="F8142" i="25"/>
  <c r="F8150" i="25"/>
  <c r="F8158" i="25"/>
  <c r="F8166" i="25"/>
  <c r="F8174" i="25"/>
  <c r="F8182" i="25"/>
  <c r="F8190" i="25"/>
  <c r="F8198" i="25"/>
  <c r="F8206" i="25"/>
  <c r="F8214" i="25"/>
  <c r="F8222" i="25"/>
  <c r="F8230" i="25"/>
  <c r="F8238" i="25"/>
  <c r="F8246" i="25"/>
  <c r="F8254" i="25"/>
  <c r="F8262" i="25"/>
  <c r="F8270" i="25"/>
  <c r="F8278" i="25"/>
  <c r="F8286" i="25"/>
  <c r="F8294" i="25"/>
  <c r="F8302" i="25"/>
  <c r="F8310" i="25"/>
  <c r="F8318" i="25"/>
  <c r="F8326" i="25"/>
  <c r="F8334" i="25"/>
  <c r="F8342" i="25"/>
  <c r="F8350" i="25"/>
  <c r="F8358" i="25"/>
  <c r="F8366" i="25"/>
  <c r="F8374" i="25"/>
  <c r="F8382" i="25"/>
  <c r="F8390" i="25"/>
  <c r="F8398" i="25"/>
  <c r="F8406" i="25"/>
  <c r="F8414" i="25"/>
  <c r="F8422" i="25"/>
  <c r="F8430" i="25"/>
  <c r="F8438" i="25"/>
  <c r="F8446" i="25"/>
  <c r="F8454" i="25"/>
  <c r="F8462" i="25"/>
  <c r="F8470" i="25"/>
  <c r="F8478" i="25"/>
  <c r="F8486" i="25"/>
  <c r="F8494" i="25"/>
  <c r="F8502" i="25"/>
  <c r="F8510" i="25"/>
  <c r="F8518" i="25"/>
  <c r="F8526" i="25"/>
  <c r="F8534" i="25"/>
  <c r="F8542" i="25"/>
  <c r="F8550" i="25"/>
  <c r="F8558" i="25"/>
  <c r="F8566" i="25"/>
  <c r="F8574" i="25"/>
  <c r="F8582" i="25"/>
  <c r="F8590" i="25"/>
  <c r="F8598" i="25"/>
  <c r="F8606" i="25"/>
  <c r="F8614" i="25"/>
  <c r="F8622" i="25"/>
  <c r="F8630" i="25"/>
  <c r="F8638" i="25"/>
  <c r="F8646" i="25"/>
  <c r="F8654" i="25"/>
  <c r="F8662" i="25"/>
  <c r="F8670" i="25"/>
  <c r="F8678" i="25"/>
  <c r="F8686" i="25"/>
  <c r="F8694" i="25"/>
  <c r="F8702" i="25"/>
  <c r="F8710" i="25"/>
  <c r="F8718" i="25"/>
  <c r="F8726" i="25"/>
  <c r="F8734" i="25"/>
  <c r="F8742" i="25"/>
  <c r="F8750" i="25"/>
  <c r="F8758" i="25"/>
  <c r="F8766" i="25"/>
  <c r="F8774" i="25"/>
  <c r="F5501" i="25"/>
  <c r="F5757" i="25"/>
  <c r="F6013" i="25"/>
  <c r="F6269" i="25"/>
  <c r="F6431" i="25"/>
  <c r="F6517" i="25"/>
  <c r="F6603" i="25"/>
  <c r="F6680" i="25"/>
  <c r="F6744" i="25"/>
  <c r="F6808" i="25"/>
  <c r="F6872" i="25"/>
  <c r="F6936" i="25"/>
  <c r="F7000" i="25"/>
  <c r="F7064" i="25"/>
  <c r="F7128" i="25"/>
  <c r="F7177" i="25"/>
  <c r="F7209" i="25"/>
  <c r="F7241" i="25"/>
  <c r="F7273" i="25"/>
  <c r="F7305" i="25"/>
  <c r="F7337" i="25"/>
  <c r="F7369" i="25"/>
  <c r="F7401" i="25"/>
  <c r="F7433" i="25"/>
  <c r="F7465" i="25"/>
  <c r="F7489" i="25"/>
  <c r="F7512" i="25"/>
  <c r="F7535" i="25"/>
  <c r="F7551" i="25"/>
  <c r="F7559" i="25"/>
  <c r="F7567" i="25"/>
  <c r="F7575" i="25"/>
  <c r="F7583" i="25"/>
  <c r="F7591" i="25"/>
  <c r="F7599" i="25"/>
  <c r="F7607" i="25"/>
  <c r="F7615" i="25"/>
  <c r="F7623" i="25"/>
  <c r="F7631" i="25"/>
  <c r="F7639" i="25"/>
  <c r="F7647" i="25"/>
  <c r="F7655" i="25"/>
  <c r="F7663" i="25"/>
  <c r="F7671" i="25"/>
  <c r="F7679" i="25"/>
  <c r="F7687" i="25"/>
  <c r="F7695" i="25"/>
  <c r="F7703" i="25"/>
  <c r="F7711" i="25"/>
  <c r="F7719" i="25"/>
  <c r="F7727" i="25"/>
  <c r="F7735" i="25"/>
  <c r="F7743" i="25"/>
  <c r="F7751" i="25"/>
  <c r="F7759" i="25"/>
  <c r="F7767" i="25"/>
  <c r="F7775" i="25"/>
  <c r="F7783" i="25"/>
  <c r="F7791" i="25"/>
  <c r="F7799" i="25"/>
  <c r="F7807" i="25"/>
  <c r="F7815" i="25"/>
  <c r="F7823" i="25"/>
  <c r="F7831" i="25"/>
  <c r="F7839" i="25"/>
  <c r="F7847" i="25"/>
  <c r="F7855" i="25"/>
  <c r="F7863" i="25"/>
  <c r="F7871" i="25"/>
  <c r="F7879" i="25"/>
  <c r="F7887" i="25"/>
  <c r="F7895" i="25"/>
  <c r="F7903" i="25"/>
  <c r="F7911" i="25"/>
  <c r="F7919" i="25"/>
  <c r="F7927" i="25"/>
  <c r="F7935" i="25"/>
  <c r="F7943" i="25"/>
  <c r="F7951" i="25"/>
  <c r="F7959" i="25"/>
  <c r="F7967" i="25"/>
  <c r="F7975" i="25"/>
  <c r="F7983" i="25"/>
  <c r="F7991" i="25"/>
  <c r="F7999" i="25"/>
  <c r="F8007" i="25"/>
  <c r="F8015" i="25"/>
  <c r="F8023" i="25"/>
  <c r="F8031" i="25"/>
  <c r="F8039" i="25"/>
  <c r="F8047" i="25"/>
  <c r="F8055" i="25"/>
  <c r="F8063" i="25"/>
  <c r="F8071" i="25"/>
  <c r="F8079" i="25"/>
  <c r="F8087" i="25"/>
  <c r="F8095" i="25"/>
  <c r="F8103" i="25"/>
  <c r="F8111" i="25"/>
  <c r="F8119" i="25"/>
  <c r="F8127" i="25"/>
  <c r="F8135" i="25"/>
  <c r="F8143" i="25"/>
  <c r="F8151" i="25"/>
  <c r="F8159" i="25"/>
  <c r="F8167" i="25"/>
  <c r="F8175" i="25"/>
  <c r="F8183" i="25"/>
  <c r="F8191" i="25"/>
  <c r="F8199" i="25"/>
  <c r="F8207" i="25"/>
  <c r="F8215" i="25"/>
  <c r="F8223" i="25"/>
  <c r="F8231" i="25"/>
  <c r="F8239" i="25"/>
  <c r="F8247" i="25"/>
  <c r="F8255" i="25"/>
  <c r="F8263" i="25"/>
  <c r="F8271" i="25"/>
  <c r="F8279" i="25"/>
  <c r="F8287" i="25"/>
  <c r="F8295" i="25"/>
  <c r="F8303" i="25"/>
  <c r="F8311" i="25"/>
  <c r="F8319" i="25"/>
  <c r="F8327" i="25"/>
  <c r="F8335" i="25"/>
  <c r="F8343" i="25"/>
  <c r="F8351" i="25"/>
  <c r="F8359" i="25"/>
  <c r="F8367" i="25"/>
  <c r="F8375" i="25"/>
  <c r="F8383" i="25"/>
  <c r="F8391" i="25"/>
  <c r="F8399" i="25"/>
  <c r="F8407" i="25"/>
  <c r="F8415" i="25"/>
  <c r="F8423" i="25"/>
  <c r="F8431" i="25"/>
  <c r="F8439" i="25"/>
  <c r="F8447" i="25"/>
  <c r="F8455" i="25"/>
  <c r="F8463" i="25"/>
  <c r="F8471" i="25"/>
  <c r="F8479" i="25"/>
  <c r="F8487" i="25"/>
  <c r="F8495" i="25"/>
  <c r="F8503" i="25"/>
  <c r="F8511" i="25"/>
  <c r="F8519" i="25"/>
  <c r="F8527" i="25"/>
  <c r="F8535" i="25"/>
  <c r="F8543" i="25"/>
  <c r="F8551" i="25"/>
  <c r="F8559" i="25"/>
  <c r="F8567" i="25"/>
  <c r="F8575" i="25"/>
  <c r="F8583" i="25"/>
  <c r="F8591" i="25"/>
  <c r="F8599" i="25"/>
  <c r="F8607" i="25"/>
  <c r="F8615" i="25"/>
  <c r="F8623" i="25"/>
  <c r="F8631" i="25"/>
  <c r="F8639" i="25"/>
  <c r="F5565" i="25"/>
  <c r="F5821" i="25"/>
  <c r="F6077" i="25"/>
  <c r="F6326" i="25"/>
  <c r="F6453" i="25"/>
  <c r="F6539" i="25"/>
  <c r="F6623" i="25"/>
  <c r="F6696" i="25"/>
  <c r="F6760" i="25"/>
  <c r="F6824" i="25"/>
  <c r="F6888" i="25"/>
  <c r="F6952" i="25"/>
  <c r="F7016" i="25"/>
  <c r="F7080" i="25"/>
  <c r="F7144" i="25"/>
  <c r="F7185" i="25"/>
  <c r="F7217" i="25"/>
  <c r="F7249" i="25"/>
  <c r="F7281" i="25"/>
  <c r="F7313" i="25"/>
  <c r="F7345" i="25"/>
  <c r="F7377" i="25"/>
  <c r="F7409" i="25"/>
  <c r="F7441" i="25"/>
  <c r="F7473" i="25"/>
  <c r="F7496" i="25"/>
  <c r="F7519" i="25"/>
  <c r="F7537" i="25"/>
  <c r="F7553" i="25"/>
  <c r="F7561" i="25"/>
  <c r="F7569" i="25"/>
  <c r="F7577" i="25"/>
  <c r="F7585" i="25"/>
  <c r="F7593" i="25"/>
  <c r="F7601" i="25"/>
  <c r="F7609" i="25"/>
  <c r="F7617" i="25"/>
  <c r="F7625" i="25"/>
  <c r="F7633" i="25"/>
  <c r="F7641" i="25"/>
  <c r="F7649" i="25"/>
  <c r="F7657" i="25"/>
  <c r="F7665" i="25"/>
  <c r="F7673" i="25"/>
  <c r="F7681" i="25"/>
  <c r="F7689" i="25"/>
  <c r="F7697" i="25"/>
  <c r="F7705" i="25"/>
  <c r="F7713" i="25"/>
  <c r="F7721" i="25"/>
  <c r="F7729" i="25"/>
  <c r="F7737" i="25"/>
  <c r="F7745" i="25"/>
  <c r="F7753" i="25"/>
  <c r="F7761" i="25"/>
  <c r="F7769" i="25"/>
  <c r="F7777" i="25"/>
  <c r="F7785" i="25"/>
  <c r="F7793" i="25"/>
  <c r="F7801" i="25"/>
  <c r="F7809" i="25"/>
  <c r="F7817" i="25"/>
  <c r="F7825" i="25"/>
  <c r="F7833" i="25"/>
  <c r="F7841" i="25"/>
  <c r="F7849" i="25"/>
  <c r="F7857" i="25"/>
  <c r="F7865" i="25"/>
  <c r="F7873" i="25"/>
  <c r="F7881" i="25"/>
  <c r="F7889" i="25"/>
  <c r="F7897" i="25"/>
  <c r="F7905" i="25"/>
  <c r="F7913" i="25"/>
  <c r="F7921" i="25"/>
  <c r="F7929" i="25"/>
  <c r="F7937" i="25"/>
  <c r="F7945" i="25"/>
  <c r="F7953" i="25"/>
  <c r="F7961" i="25"/>
  <c r="F7969" i="25"/>
  <c r="F7977" i="25"/>
  <c r="F7985" i="25"/>
  <c r="F7993" i="25"/>
  <c r="F8001" i="25"/>
  <c r="F8009" i="25"/>
  <c r="F8017" i="25"/>
  <c r="F8025" i="25"/>
  <c r="F8033" i="25"/>
  <c r="F8041" i="25"/>
  <c r="F8049" i="25"/>
  <c r="F8057" i="25"/>
  <c r="F8065" i="25"/>
  <c r="F8073" i="25"/>
  <c r="F8081" i="25"/>
  <c r="F8089" i="25"/>
  <c r="F8097" i="25"/>
  <c r="F8105" i="25"/>
  <c r="F8113" i="25"/>
  <c r="F8121" i="25"/>
  <c r="F8129" i="25"/>
  <c r="F8137" i="25"/>
  <c r="F8145" i="25"/>
  <c r="F8153" i="25"/>
  <c r="F8161" i="25"/>
  <c r="F8169" i="25"/>
  <c r="F8177" i="25"/>
  <c r="F8185" i="25"/>
  <c r="F8193" i="25"/>
  <c r="F8201" i="25"/>
  <c r="F8209" i="25"/>
  <c r="F8217" i="25"/>
  <c r="F8225" i="25"/>
  <c r="F8233" i="25"/>
  <c r="F8241" i="25"/>
  <c r="F8249" i="25"/>
  <c r="F8257" i="25"/>
  <c r="F8265" i="25"/>
  <c r="F8273" i="25"/>
  <c r="F8281" i="25"/>
  <c r="F8289" i="25"/>
  <c r="F8297" i="25"/>
  <c r="F8305" i="25"/>
  <c r="F8313" i="25"/>
  <c r="F8321" i="25"/>
  <c r="F8329" i="25"/>
  <c r="F8337" i="25"/>
  <c r="F8345" i="25"/>
  <c r="F8353" i="25"/>
  <c r="F8361" i="25"/>
  <c r="F8369" i="25"/>
  <c r="F8377" i="25"/>
  <c r="F8385" i="25"/>
  <c r="F8393" i="25"/>
  <c r="F8401" i="25"/>
  <c r="F8409" i="25"/>
  <c r="F8417" i="25"/>
  <c r="F8425" i="25"/>
  <c r="F8433" i="25"/>
  <c r="F8441" i="25"/>
  <c r="F8449" i="25"/>
  <c r="F8457" i="25"/>
  <c r="F8465" i="25"/>
  <c r="F8473" i="25"/>
  <c r="F8481" i="25"/>
  <c r="F8489" i="25"/>
  <c r="F8497" i="25"/>
  <c r="F8505" i="25"/>
  <c r="F8513" i="25"/>
  <c r="F8521" i="25"/>
  <c r="F8529" i="25"/>
  <c r="F8537" i="25"/>
  <c r="F8545" i="25"/>
  <c r="F8553" i="25"/>
  <c r="F8561" i="25"/>
  <c r="F8569" i="25"/>
  <c r="F8577" i="25"/>
  <c r="F8585" i="25"/>
  <c r="F8593" i="25"/>
  <c r="F8601" i="25"/>
  <c r="F8609" i="25"/>
  <c r="F8617" i="25"/>
  <c r="F8625" i="25"/>
  <c r="F8633" i="25"/>
  <c r="F8641" i="25"/>
  <c r="F8649" i="25"/>
  <c r="F8657" i="25"/>
  <c r="F8665" i="25"/>
  <c r="F8673" i="25"/>
  <c r="F8681" i="25"/>
  <c r="F9998" i="25"/>
  <c r="F9990" i="25"/>
  <c r="F9982" i="25"/>
  <c r="F9974" i="25"/>
  <c r="F9966" i="25"/>
  <c r="F9958" i="25"/>
  <c r="F9950" i="25"/>
  <c r="F9942" i="25"/>
  <c r="F9934" i="25"/>
  <c r="F9926" i="25"/>
  <c r="F9918" i="25"/>
  <c r="F9910" i="25"/>
  <c r="F9902" i="25"/>
  <c r="F9894" i="25"/>
  <c r="F9886" i="25"/>
  <c r="F9878" i="25"/>
  <c r="F9870" i="25"/>
  <c r="F9862" i="25"/>
  <c r="F9854" i="25"/>
  <c r="F9846" i="25"/>
  <c r="F9838" i="25"/>
  <c r="F9830" i="25"/>
  <c r="F9822" i="25"/>
  <c r="F9814" i="25"/>
  <c r="F9806" i="25"/>
  <c r="F9798" i="25"/>
  <c r="F9790" i="25"/>
  <c r="F9782" i="25"/>
  <c r="F9774" i="25"/>
  <c r="F9766" i="25"/>
  <c r="F9758" i="25"/>
  <c r="F9750" i="25"/>
  <c r="F9742" i="25"/>
  <c r="F9734" i="25"/>
  <c r="F9726" i="25"/>
  <c r="F9718" i="25"/>
  <c r="F9710" i="25"/>
  <c r="F9702" i="25"/>
  <c r="F9694" i="25"/>
  <c r="F9686" i="25"/>
  <c r="F9678" i="25"/>
  <c r="F9670" i="25"/>
  <c r="F9662" i="25"/>
  <c r="F9654" i="25"/>
  <c r="F9646" i="25"/>
  <c r="F9638" i="25"/>
  <c r="F9630" i="25"/>
  <c r="F9622" i="25"/>
  <c r="F9614" i="25"/>
  <c r="F9606" i="25"/>
  <c r="F9598" i="25"/>
  <c r="F9590" i="25"/>
  <c r="F9582" i="25"/>
  <c r="F9574" i="25"/>
  <c r="F9566" i="25"/>
  <c r="F9558" i="25"/>
  <c r="F9550" i="25"/>
  <c r="F9542" i="25"/>
  <c r="F9534" i="25"/>
  <c r="F9526" i="25"/>
  <c r="F9518" i="25"/>
  <c r="F9510" i="25"/>
  <c r="F9502" i="25"/>
  <c r="F9494" i="25"/>
  <c r="F9486" i="25"/>
  <c r="F9478" i="25"/>
  <c r="F9470" i="25"/>
  <c r="F9462" i="25"/>
  <c r="F9454" i="25"/>
  <c r="F9446" i="25"/>
  <c r="F9438" i="25"/>
  <c r="F9430" i="25"/>
  <c r="F9422" i="25"/>
  <c r="F9414" i="25"/>
  <c r="F9406" i="25"/>
  <c r="F9398" i="25"/>
  <c r="F9390" i="25"/>
  <c r="F9382" i="25"/>
  <c r="F9374" i="25"/>
  <c r="F9366" i="25"/>
  <c r="F9358" i="25"/>
  <c r="F9350" i="25"/>
  <c r="F9342" i="25"/>
  <c r="F9334" i="25"/>
  <c r="F9326" i="25"/>
  <c r="F9318" i="25"/>
  <c r="F9310" i="25"/>
  <c r="F9302" i="25"/>
  <c r="F9294" i="25"/>
  <c r="F9286" i="25"/>
  <c r="F9278" i="25"/>
  <c r="F9270" i="25"/>
  <c r="F9262" i="25"/>
  <c r="F9254" i="25"/>
  <c r="F9246" i="25"/>
  <c r="F9238" i="25"/>
  <c r="F9230" i="25"/>
  <c r="F9222" i="25"/>
  <c r="F9214" i="25"/>
  <c r="F9206" i="25"/>
  <c r="F9198" i="25"/>
  <c r="F9190" i="25"/>
  <c r="F9182" i="25"/>
  <c r="F9174" i="25"/>
  <c r="F9166" i="25"/>
  <c r="F9158" i="25"/>
  <c r="F9150" i="25"/>
  <c r="F9142" i="25"/>
  <c r="F9134" i="25"/>
  <c r="F9126" i="25"/>
  <c r="F9118" i="25"/>
  <c r="F9110" i="25"/>
  <c r="F9102" i="25"/>
  <c r="F9094" i="25"/>
  <c r="F9086" i="25"/>
  <c r="F9078" i="25"/>
  <c r="F9070" i="25"/>
  <c r="F9062" i="25"/>
  <c r="F9054" i="25"/>
  <c r="F9046" i="25"/>
  <c r="F9038" i="25"/>
  <c r="F9030" i="25"/>
  <c r="F9022" i="25"/>
  <c r="F9014" i="25"/>
  <c r="F9006" i="25"/>
  <c r="F8998" i="25"/>
  <c r="F8990" i="25"/>
  <c r="F8982" i="25"/>
  <c r="F8974" i="25"/>
  <c r="F8966" i="25"/>
  <c r="F8958" i="25"/>
  <c r="F8950" i="25"/>
  <c r="F8942" i="25"/>
  <c r="F8934" i="25"/>
  <c r="F8926" i="25"/>
  <c r="F8918" i="25"/>
  <c r="F8910" i="25"/>
  <c r="F8902" i="25"/>
  <c r="F8894" i="25"/>
  <c r="F8886" i="25"/>
  <c r="F8878" i="25"/>
  <c r="F8870" i="25"/>
  <c r="F8862" i="25"/>
  <c r="F8853" i="25"/>
  <c r="F8844" i="25"/>
  <c r="F8835" i="25"/>
  <c r="F8825" i="25"/>
  <c r="F8816" i="25"/>
  <c r="F8807" i="25"/>
  <c r="F8798" i="25"/>
  <c r="F8789" i="25"/>
  <c r="F8780" i="25"/>
  <c r="F8769" i="25"/>
  <c r="F8759" i="25"/>
  <c r="F8745" i="25"/>
  <c r="F8729" i="25"/>
  <c r="F8713" i="25"/>
  <c r="F8697" i="25"/>
  <c r="F8680" i="25"/>
  <c r="F8660" i="25"/>
  <c r="F8624" i="25"/>
  <c r="F8560" i="25"/>
  <c r="F8496" i="25"/>
  <c r="F8432" i="25"/>
  <c r="F8368" i="25"/>
  <c r="F8304" i="25"/>
  <c r="F8240" i="25"/>
  <c r="F8176" i="25"/>
  <c r="F8112" i="25"/>
  <c r="F8048" i="25"/>
  <c r="F7984" i="25"/>
  <c r="F7920" i="25"/>
  <c r="F7856" i="25"/>
  <c r="F7792" i="25"/>
  <c r="F7728" i="25"/>
  <c r="F7664" i="25"/>
  <c r="F7600" i="25"/>
  <c r="F7513" i="25"/>
  <c r="F7280" i="25"/>
  <c r="F6880" i="25"/>
  <c r="F6045" i="25"/>
  <c r="F9997" i="25"/>
  <c r="F9989" i="25"/>
  <c r="F9981" i="25"/>
  <c r="F9973" i="25"/>
  <c r="F9965" i="25"/>
  <c r="F9957" i="25"/>
  <c r="F9949" i="25"/>
  <c r="F9941" i="25"/>
  <c r="F9933" i="25"/>
  <c r="F9925" i="25"/>
  <c r="F9917" i="25"/>
  <c r="F9909" i="25"/>
  <c r="F9901" i="25"/>
  <c r="F9893" i="25"/>
  <c r="F9885" i="25"/>
  <c r="F9877" i="25"/>
  <c r="F9869" i="25"/>
  <c r="F9861" i="25"/>
  <c r="F9853" i="25"/>
  <c r="F9845" i="25"/>
  <c r="F9837" i="25"/>
  <c r="F9829" i="25"/>
  <c r="F9821" i="25"/>
  <c r="F9813" i="25"/>
  <c r="F9805" i="25"/>
  <c r="F9797" i="25"/>
  <c r="F9789" i="25"/>
  <c r="F9781" i="25"/>
  <c r="F9773" i="25"/>
  <c r="F9765" i="25"/>
  <c r="F9757" i="25"/>
  <c r="F9749" i="25"/>
  <c r="F9741" i="25"/>
  <c r="F9733" i="25"/>
  <c r="F9725" i="25"/>
  <c r="F9717" i="25"/>
  <c r="F9709" i="25"/>
  <c r="F9701" i="25"/>
  <c r="F9693" i="25"/>
  <c r="F9685" i="25"/>
  <c r="F9677" i="25"/>
  <c r="F9669" i="25"/>
  <c r="F9661" i="25"/>
  <c r="F9653" i="25"/>
  <c r="F9645" i="25"/>
  <c r="F9637" i="25"/>
  <c r="F9629" i="25"/>
  <c r="F9621" i="25"/>
  <c r="F9613" i="25"/>
  <c r="F9605" i="25"/>
  <c r="F9597" i="25"/>
  <c r="F9589" i="25"/>
  <c r="F9581" i="25"/>
  <c r="F9573" i="25"/>
  <c r="F9565" i="25"/>
  <c r="F9557" i="25"/>
  <c r="F9549" i="25"/>
  <c r="F9541" i="25"/>
  <c r="F9533" i="25"/>
  <c r="F9525" i="25"/>
  <c r="F9517" i="25"/>
  <c r="F9509" i="25"/>
  <c r="F9501" i="25"/>
  <c r="F9493" i="25"/>
  <c r="F9485" i="25"/>
  <c r="F9477" i="25"/>
  <c r="F9469" i="25"/>
  <c r="F9461" i="25"/>
  <c r="F9453" i="25"/>
  <c r="F9445" i="25"/>
  <c r="F9437" i="25"/>
  <c r="F9429" i="25"/>
  <c r="F9421" i="25"/>
  <c r="F9413" i="25"/>
  <c r="F9405" i="25"/>
  <c r="F9397" i="25"/>
  <c r="F9389" i="25"/>
  <c r="F9381" i="25"/>
  <c r="F9373" i="25"/>
  <c r="F9365" i="25"/>
  <c r="F9357" i="25"/>
  <c r="F9349" i="25"/>
  <c r="F9341" i="25"/>
  <c r="F9333" i="25"/>
  <c r="F9325" i="25"/>
  <c r="F9317" i="25"/>
  <c r="F9309" i="25"/>
  <c r="F9301" i="25"/>
  <c r="F9293" i="25"/>
  <c r="F9285" i="25"/>
  <c r="F9277" i="25"/>
  <c r="F9269" i="25"/>
  <c r="F9261" i="25"/>
  <c r="F9253" i="25"/>
  <c r="F9245" i="25"/>
  <c r="F9237" i="25"/>
  <c r="F9229" i="25"/>
  <c r="F9221" i="25"/>
  <c r="F9213" i="25"/>
  <c r="F9205" i="25"/>
  <c r="F9197" i="25"/>
  <c r="F9189" i="25"/>
  <c r="F9181" i="25"/>
  <c r="F9173" i="25"/>
  <c r="F9165" i="25"/>
  <c r="F9157" i="25"/>
  <c r="F9149" i="25"/>
  <c r="F9141" i="25"/>
  <c r="F9133" i="25"/>
  <c r="F9125" i="25"/>
  <c r="F9117" i="25"/>
  <c r="F9109" i="25"/>
  <c r="F9101" i="25"/>
  <c r="F9093" i="25"/>
  <c r="F9085" i="25"/>
  <c r="F9077" i="25"/>
  <c r="F9069" i="25"/>
  <c r="F9061" i="25"/>
  <c r="F9053" i="25"/>
  <c r="F9045" i="25"/>
  <c r="F9037" i="25"/>
  <c r="F9029" i="25"/>
  <c r="F9021" i="25"/>
  <c r="F9013" i="25"/>
  <c r="F9005" i="25"/>
  <c r="F8997" i="25"/>
  <c r="F8989" i="25"/>
  <c r="F8981" i="25"/>
  <c r="F8973" i="25"/>
  <c r="F8965" i="25"/>
  <c r="F8957" i="25"/>
  <c r="F8949" i="25"/>
  <c r="F8941" i="25"/>
  <c r="F8933" i="25"/>
  <c r="F8925" i="25"/>
  <c r="F8917" i="25"/>
  <c r="F8909" i="25"/>
  <c r="F8901" i="25"/>
  <c r="F8893" i="25"/>
  <c r="F8885" i="25"/>
  <c r="F8877" i="25"/>
  <c r="F8869" i="25"/>
  <c r="F8861" i="25"/>
  <c r="F8852" i="25"/>
  <c r="F8843" i="25"/>
  <c r="F8833" i="25"/>
  <c r="F8824" i="25"/>
  <c r="F8815" i="25"/>
  <c r="F8806" i="25"/>
  <c r="F8797" i="25"/>
  <c r="F8788" i="25"/>
  <c r="F8779" i="25"/>
  <c r="F8768" i="25"/>
  <c r="F8757" i="25"/>
  <c r="F8744" i="25"/>
  <c r="F8728" i="25"/>
  <c r="F8712" i="25"/>
  <c r="F8696" i="25"/>
  <c r="F8679" i="25"/>
  <c r="F8656" i="25"/>
  <c r="F8616" i="25"/>
  <c r="F8552" i="25"/>
  <c r="F8488" i="25"/>
  <c r="F8424" i="25"/>
  <c r="F8360" i="25"/>
  <c r="F8296" i="25"/>
  <c r="F8232" i="25"/>
  <c r="F8168" i="25"/>
  <c r="F8104" i="25"/>
  <c r="F8040" i="25"/>
  <c r="F7976" i="25"/>
  <c r="F7912" i="25"/>
  <c r="F7848" i="25"/>
  <c r="F7784" i="25"/>
  <c r="F7720" i="25"/>
  <c r="F7656" i="25"/>
  <c r="F7592" i="25"/>
  <c r="F7495" i="25"/>
  <c r="F7248" i="25"/>
  <c r="F6816" i="25"/>
  <c r="F5789" i="25"/>
  <c r="F4" i="25"/>
  <c r="F9996" i="25"/>
  <c r="F9988" i="25"/>
  <c r="F9980" i="25"/>
  <c r="F9972" i="25"/>
  <c r="F9964" i="25"/>
  <c r="F9956" i="25"/>
  <c r="F9948" i="25"/>
  <c r="F9940" i="25"/>
  <c r="F9932" i="25"/>
  <c r="F9924" i="25"/>
  <c r="F9916" i="25"/>
  <c r="F9908" i="25"/>
  <c r="F9900" i="25"/>
  <c r="F9892" i="25"/>
  <c r="F9884" i="25"/>
  <c r="F9876" i="25"/>
  <c r="F9868" i="25"/>
  <c r="F9860" i="25"/>
  <c r="F9852" i="25"/>
  <c r="F9844" i="25"/>
  <c r="F9836" i="25"/>
  <c r="F9828" i="25"/>
  <c r="F9820" i="25"/>
  <c r="F9812" i="25"/>
  <c r="F9804" i="25"/>
  <c r="F9796" i="25"/>
  <c r="F9788" i="25"/>
  <c r="F9780" i="25"/>
  <c r="F9772" i="25"/>
  <c r="F9764" i="25"/>
  <c r="F9756" i="25"/>
  <c r="F9748" i="25"/>
  <c r="F9740" i="25"/>
  <c r="F9732" i="25"/>
  <c r="F9724" i="25"/>
  <c r="F9716" i="25"/>
  <c r="F9708" i="25"/>
  <c r="F9700" i="25"/>
  <c r="F9692" i="25"/>
  <c r="F9684" i="25"/>
  <c r="F9676" i="25"/>
  <c r="F9668" i="25"/>
  <c r="F9660" i="25"/>
  <c r="F9652" i="25"/>
  <c r="F9644" i="25"/>
  <c r="F9636" i="25"/>
  <c r="F9628" i="25"/>
  <c r="F9620" i="25"/>
  <c r="F9612" i="25"/>
  <c r="F9604" i="25"/>
  <c r="F9596" i="25"/>
  <c r="F9588" i="25"/>
  <c r="F9580" i="25"/>
  <c r="F9572" i="25"/>
  <c r="F9564" i="25"/>
  <c r="F9556" i="25"/>
  <c r="F9548" i="25"/>
  <c r="F9540" i="25"/>
  <c r="F9532" i="25"/>
  <c r="F9524" i="25"/>
  <c r="F9516" i="25"/>
  <c r="F9508" i="25"/>
  <c r="F9500" i="25"/>
  <c r="F9492" i="25"/>
  <c r="F9484" i="25"/>
  <c r="F9476" i="25"/>
  <c r="F9468" i="25"/>
  <c r="F9460" i="25"/>
  <c r="F9452" i="25"/>
  <c r="F9444" i="25"/>
  <c r="F9436" i="25"/>
  <c r="F9428" i="25"/>
  <c r="F9420" i="25"/>
  <c r="F9412" i="25"/>
  <c r="F9404" i="25"/>
  <c r="F9396" i="25"/>
  <c r="F9388" i="25"/>
  <c r="F9380" i="25"/>
  <c r="F9372" i="25"/>
  <c r="F9364" i="25"/>
  <c r="F9356" i="25"/>
  <c r="F9348" i="25"/>
  <c r="F9340" i="25"/>
  <c r="F9332" i="25"/>
  <c r="F9324" i="25"/>
  <c r="F9316" i="25"/>
  <c r="F9308" i="25"/>
  <c r="F9300" i="25"/>
  <c r="F9292" i="25"/>
  <c r="F9284" i="25"/>
  <c r="F9276" i="25"/>
  <c r="F9268" i="25"/>
  <c r="F9260" i="25"/>
  <c r="F9252" i="25"/>
  <c r="F9244" i="25"/>
  <c r="F9236" i="25"/>
  <c r="F9228" i="25"/>
  <c r="F9220" i="25"/>
  <c r="F9212" i="25"/>
  <c r="F9204" i="25"/>
  <c r="F9196" i="25"/>
  <c r="F9188" i="25"/>
  <c r="F9180" i="25"/>
  <c r="F9172" i="25"/>
  <c r="F9164" i="25"/>
  <c r="F9156" i="25"/>
  <c r="F9148" i="25"/>
  <c r="F9140" i="25"/>
  <c r="F9132" i="25"/>
  <c r="F9124" i="25"/>
  <c r="F9116" i="25"/>
  <c r="F9108" i="25"/>
  <c r="F9100" i="25"/>
  <c r="F9092" i="25"/>
  <c r="F9084" i="25"/>
  <c r="F9076" i="25"/>
  <c r="F9068" i="25"/>
  <c r="F9060" i="25"/>
  <c r="F9052" i="25"/>
  <c r="F9044" i="25"/>
  <c r="F9036" i="25"/>
  <c r="F9028" i="25"/>
  <c r="F9020" i="25"/>
  <c r="F9012" i="25"/>
  <c r="F9004" i="25"/>
  <c r="F8996" i="25"/>
  <c r="F8988" i="25"/>
  <c r="F8980" i="25"/>
  <c r="F8972" i="25"/>
  <c r="F8964" i="25"/>
  <c r="F8956" i="25"/>
  <c r="F8948" i="25"/>
  <c r="F8940" i="25"/>
  <c r="F8932" i="25"/>
  <c r="F8924" i="25"/>
  <c r="F8916" i="25"/>
  <c r="F8908" i="25"/>
  <c r="F8900" i="25"/>
  <c r="F8892" i="25"/>
  <c r="F8884" i="25"/>
  <c r="F8876" i="25"/>
  <c r="F8868" i="25"/>
  <c r="F8860" i="25"/>
  <c r="F8851" i="25"/>
  <c r="F8841" i="25"/>
  <c r="F8832" i="25"/>
  <c r="F8823" i="25"/>
  <c r="F8814" i="25"/>
  <c r="F8805" i="25"/>
  <c r="F8796" i="25"/>
  <c r="F8787" i="25"/>
  <c r="F8777" i="25"/>
  <c r="F8767" i="25"/>
  <c r="F8756" i="25"/>
  <c r="F8743" i="25"/>
  <c r="F8727" i="25"/>
  <c r="F8711" i="25"/>
  <c r="F8695" i="25"/>
  <c r="F8676" i="25"/>
  <c r="F8655" i="25"/>
  <c r="F8608" i="25"/>
  <c r="F8544" i="25"/>
  <c r="F8480" i="25"/>
  <c r="F8416" i="25"/>
  <c r="F8352" i="25"/>
  <c r="F8288" i="25"/>
  <c r="F8224" i="25"/>
  <c r="F8160" i="25"/>
  <c r="F8096" i="25"/>
  <c r="F8032" i="25"/>
  <c r="F7968" i="25"/>
  <c r="F7904" i="25"/>
  <c r="F7840" i="25"/>
  <c r="F7776" i="25"/>
  <c r="F7712" i="25"/>
  <c r="F7648" i="25"/>
  <c r="F7584" i="25"/>
  <c r="F7472" i="25"/>
  <c r="F7216" i="25"/>
  <c r="F6752" i="25"/>
  <c r="F5533" i="25"/>
  <c r="H26" i="15"/>
  <c r="C10" i="20"/>
  <c r="C11" i="20"/>
  <c r="C12" i="20"/>
  <c r="C13" i="20"/>
  <c r="C14" i="20"/>
  <c r="C15" i="20"/>
  <c r="C16" i="20"/>
  <c r="C17" i="20"/>
  <c r="C18" i="20"/>
  <c r="C9" i="20"/>
  <c r="I10" i="20"/>
  <c r="J10" i="20"/>
  <c r="K10" i="20"/>
  <c r="I11" i="20"/>
  <c r="J11" i="20"/>
  <c r="K11" i="20"/>
  <c r="I12" i="20"/>
  <c r="J12" i="20"/>
  <c r="K12" i="20"/>
  <c r="I13" i="20"/>
  <c r="J13" i="20"/>
  <c r="K13" i="20"/>
  <c r="I14" i="20"/>
  <c r="J14" i="20"/>
  <c r="K14" i="20"/>
  <c r="I15" i="20"/>
  <c r="J15" i="20"/>
  <c r="K15" i="20"/>
  <c r="I16" i="20"/>
  <c r="J16" i="20"/>
  <c r="K16" i="20"/>
  <c r="I17" i="20"/>
  <c r="J17" i="20"/>
  <c r="K17" i="20"/>
  <c r="I18" i="20"/>
  <c r="J18" i="20"/>
  <c r="K18" i="20"/>
  <c r="J9" i="20"/>
  <c r="K9" i="20"/>
  <c r="I9" i="20"/>
  <c r="I6" i="21"/>
  <c r="F10" i="20" s="1"/>
  <c r="I7" i="21"/>
  <c r="F11" i="20" s="1"/>
  <c r="I8" i="21"/>
  <c r="F12" i="20" s="1"/>
  <c r="I9" i="21"/>
  <c r="F13" i="20" s="1"/>
  <c r="I10" i="21"/>
  <c r="F14" i="20" s="1"/>
  <c r="I11" i="21"/>
  <c r="F15" i="20" s="1"/>
  <c r="I12" i="21"/>
  <c r="F16" i="20" s="1"/>
  <c r="I13" i="21"/>
  <c r="F17" i="20" s="1"/>
  <c r="I14" i="21"/>
  <c r="F18" i="20" s="1"/>
  <c r="I5" i="21"/>
  <c r="F9" i="20" s="1"/>
  <c r="M30" i="20" s="1"/>
  <c r="N30" i="20" s="1"/>
  <c r="O30" i="20" s="1"/>
  <c r="D10" i="20"/>
  <c r="D11" i="20"/>
  <c r="D12" i="20"/>
  <c r="D13" i="20"/>
  <c r="D14" i="20"/>
  <c r="D15" i="20"/>
  <c r="D16" i="20"/>
  <c r="D17" i="20"/>
  <c r="D18" i="20"/>
  <c r="D9" i="20"/>
  <c r="M32" i="20" s="1"/>
  <c r="B18" i="20"/>
  <c r="B10" i="20"/>
  <c r="B11" i="20"/>
  <c r="B12" i="20"/>
  <c r="B13" i="20"/>
  <c r="B14" i="20"/>
  <c r="B15" i="20"/>
  <c r="B16" i="20"/>
  <c r="B17" i="20"/>
  <c r="B9" i="20"/>
  <c r="F39" i="21"/>
  <c r="J39" i="21" s="1"/>
  <c r="F38" i="21"/>
  <c r="J38" i="21" s="1"/>
  <c r="F37" i="21"/>
  <c r="J37" i="21" s="1"/>
  <c r="F36" i="21"/>
  <c r="J36" i="21" s="1"/>
  <c r="F35" i="21"/>
  <c r="J35" i="21" s="1"/>
  <c r="F34" i="21"/>
  <c r="J34" i="21" s="1"/>
  <c r="F33" i="21"/>
  <c r="J33" i="21" s="1"/>
  <c r="F32" i="21"/>
  <c r="J32" i="21" s="1"/>
  <c r="F31" i="21"/>
  <c r="J31" i="21" s="1"/>
  <c r="F30" i="21"/>
  <c r="J30" i="21" s="1"/>
  <c r="F29" i="21"/>
  <c r="J29" i="21" s="1"/>
  <c r="F28" i="21"/>
  <c r="J28" i="21" s="1"/>
  <c r="F27" i="21"/>
  <c r="J27" i="21" s="1"/>
  <c r="F26" i="21"/>
  <c r="J26" i="21" s="1"/>
  <c r="F25" i="21"/>
  <c r="J25" i="21" s="1"/>
  <c r="F14" i="21"/>
  <c r="J14" i="21" s="1"/>
  <c r="G18" i="20" s="1"/>
  <c r="N18" i="20" s="1"/>
  <c r="F13" i="21"/>
  <c r="J13" i="21" s="1"/>
  <c r="G17" i="20" s="1"/>
  <c r="F12" i="21"/>
  <c r="J12" i="21" s="1"/>
  <c r="G16" i="20" s="1"/>
  <c r="F11" i="21"/>
  <c r="J11" i="21" s="1"/>
  <c r="G15" i="20" s="1"/>
  <c r="F10" i="21"/>
  <c r="J10" i="21" s="1"/>
  <c r="G14" i="20" s="1"/>
  <c r="F9" i="21"/>
  <c r="J9" i="21" s="1"/>
  <c r="G13" i="20" s="1"/>
  <c r="F8" i="21"/>
  <c r="J8" i="21" s="1"/>
  <c r="G12" i="20" s="1"/>
  <c r="F7" i="21"/>
  <c r="J7" i="21" s="1"/>
  <c r="G11" i="20" s="1"/>
  <c r="F6" i="21"/>
  <c r="J6" i="21" s="1"/>
  <c r="G10" i="20" s="1"/>
  <c r="N10" i="20" s="1"/>
  <c r="F5" i="21"/>
  <c r="J5" i="21" s="1"/>
  <c r="G9" i="20" s="1"/>
  <c r="C68" i="29" l="1"/>
  <c r="D57" i="29"/>
  <c r="H76" i="27"/>
  <c r="I76" i="27"/>
  <c r="C76" i="27"/>
  <c r="C58" i="27"/>
  <c r="D76" i="27"/>
  <c r="K22" i="25"/>
  <c r="L22" i="25" s="1"/>
  <c r="M22" i="25" s="1"/>
  <c r="K20" i="25"/>
  <c r="L20" i="25" s="1"/>
  <c r="M20" i="25" s="1"/>
  <c r="K21" i="25"/>
  <c r="L21" i="25" s="1"/>
  <c r="M21" i="25" s="1"/>
  <c r="M16" i="25"/>
  <c r="M14" i="25"/>
  <c r="M15" i="25"/>
  <c r="M13" i="25"/>
  <c r="N11" i="20"/>
  <c r="M13" i="20"/>
  <c r="M9" i="20"/>
  <c r="M17" i="20"/>
  <c r="E14" i="20"/>
  <c r="O14" i="20" s="1"/>
  <c r="N12" i="20"/>
  <c r="O32" i="20"/>
  <c r="N32" i="20"/>
  <c r="M14" i="20"/>
  <c r="N16" i="20"/>
  <c r="M12" i="20"/>
  <c r="N15" i="20"/>
  <c r="M15" i="20"/>
  <c r="N9" i="20"/>
  <c r="N17" i="20"/>
  <c r="M11" i="20"/>
  <c r="N13" i="20"/>
  <c r="M18" i="20"/>
  <c r="M10" i="20"/>
  <c r="N14" i="20"/>
  <c r="M16" i="20"/>
  <c r="E15" i="20"/>
  <c r="O15" i="20" s="1"/>
  <c r="E17" i="20"/>
  <c r="O17" i="20" s="1"/>
  <c r="E16" i="20"/>
  <c r="O16" i="20" s="1"/>
  <c r="E9" i="20"/>
  <c r="O9" i="20" s="1"/>
  <c r="E12" i="20"/>
  <c r="O12" i="20" s="1"/>
  <c r="E11" i="20"/>
  <c r="O11" i="20" s="1"/>
  <c r="E10" i="20"/>
  <c r="O10" i="20" s="1"/>
  <c r="E13" i="20"/>
  <c r="O13" i="20" s="1"/>
  <c r="E18" i="20"/>
  <c r="O18" i="20" s="1"/>
  <c r="C4" i="17"/>
  <c r="C5" i="17"/>
  <c r="C6" i="17"/>
  <c r="C7" i="17"/>
  <c r="C8" i="17"/>
  <c r="C9" i="17"/>
  <c r="C12" i="17"/>
  <c r="C13" i="17"/>
  <c r="C17" i="17"/>
  <c r="C24" i="17"/>
  <c r="C23" i="17"/>
  <c r="C22" i="17"/>
  <c r="C21" i="17"/>
  <c r="E42" i="15"/>
  <c r="F8" i="15"/>
  <c r="G8" i="15" s="1"/>
  <c r="H8" i="15" s="1"/>
  <c r="I8" i="15" s="1"/>
  <c r="J8" i="15" s="1"/>
  <c r="K8" i="15" s="1"/>
  <c r="H14" i="15"/>
  <c r="I14" i="15" s="1"/>
  <c r="J14" i="15" s="1"/>
  <c r="K14" i="15" s="1"/>
  <c r="G44" i="14"/>
  <c r="H44" i="14"/>
  <c r="I44" i="14"/>
  <c r="J44" i="14"/>
  <c r="F44" i="14"/>
  <c r="G50" i="14"/>
  <c r="H50" i="14"/>
  <c r="I50" i="14"/>
  <c r="J50" i="14"/>
  <c r="F50" i="14"/>
  <c r="F2" i="15"/>
  <c r="D63" i="29" l="1"/>
  <c r="D68" i="29" s="1"/>
  <c r="O22" i="20"/>
  <c r="N22" i="20"/>
  <c r="M24" i="20"/>
  <c r="M20" i="20"/>
  <c r="M22" i="20"/>
  <c r="M23" i="20"/>
  <c r="M29" i="20" s="1"/>
  <c r="M31" i="20" s="1"/>
  <c r="M34" i="20" s="1"/>
  <c r="M36" i="20" s="1"/>
  <c r="M21" i="20"/>
  <c r="O25" i="20"/>
  <c r="O21" i="20"/>
  <c r="O24" i="20"/>
  <c r="O23" i="20"/>
  <c r="O31" i="20" s="1"/>
  <c r="O20" i="20"/>
  <c r="N24" i="20"/>
  <c r="N23" i="20"/>
  <c r="N29" i="20" s="1"/>
  <c r="N31" i="20" s="1"/>
  <c r="N34" i="20" s="1"/>
  <c r="N36" i="20" s="1"/>
  <c r="N20" i="20"/>
  <c r="N25" i="20"/>
  <c r="N21" i="20"/>
  <c r="M25" i="20"/>
  <c r="E38" i="15"/>
  <c r="E36" i="15"/>
  <c r="E35" i="15"/>
  <c r="G2" i="15"/>
  <c r="H2" i="15" s="1"/>
  <c r="I2" i="15" s="1"/>
  <c r="J2" i="15" s="1"/>
  <c r="K2" i="15" s="1"/>
  <c r="G57" i="14"/>
  <c r="H57" i="14"/>
  <c r="I57" i="14"/>
  <c r="J57" i="14"/>
  <c r="F57" i="14"/>
  <c r="G42" i="14"/>
  <c r="H42" i="14"/>
  <c r="I42" i="14"/>
  <c r="J42" i="14"/>
  <c r="F42" i="14"/>
  <c r="G31" i="14"/>
  <c r="H31" i="14"/>
  <c r="I31" i="14"/>
  <c r="J31" i="14"/>
  <c r="F31" i="14"/>
  <c r="J29" i="14"/>
  <c r="I29" i="14"/>
  <c r="H29" i="14"/>
  <c r="G29" i="14"/>
  <c r="F29" i="14"/>
  <c r="J28" i="14"/>
  <c r="I28" i="14"/>
  <c r="H28" i="14"/>
  <c r="G28" i="14"/>
  <c r="F28" i="14"/>
  <c r="J27" i="14"/>
  <c r="I27" i="14"/>
  <c r="H27" i="14"/>
  <c r="G27" i="14"/>
  <c r="F27" i="14"/>
  <c r="J26" i="14"/>
  <c r="I26" i="14"/>
  <c r="H26" i="14"/>
  <c r="G26" i="14"/>
  <c r="F26" i="14"/>
  <c r="J25" i="14"/>
  <c r="I25" i="14"/>
  <c r="H25" i="14"/>
  <c r="G25" i="14"/>
  <c r="F25" i="14"/>
  <c r="J24" i="14"/>
  <c r="I24" i="14"/>
  <c r="H24" i="14"/>
  <c r="G24" i="14"/>
  <c r="F24" i="14"/>
  <c r="J23" i="14"/>
  <c r="I23" i="14"/>
  <c r="H23" i="14"/>
  <c r="G23" i="14"/>
  <c r="F23" i="14"/>
  <c r="J22" i="14"/>
  <c r="I22" i="14"/>
  <c r="H22" i="14"/>
  <c r="G22" i="14"/>
  <c r="F22" i="14"/>
  <c r="J21" i="14"/>
  <c r="I21" i="14"/>
  <c r="H21" i="14"/>
  <c r="G21" i="14"/>
  <c r="F21" i="14"/>
  <c r="J15" i="14"/>
  <c r="I15" i="14"/>
  <c r="H15" i="14"/>
  <c r="G15" i="14"/>
  <c r="J14" i="14"/>
  <c r="I14" i="14"/>
  <c r="H14" i="14"/>
  <c r="G14" i="14"/>
  <c r="F14" i="14"/>
  <c r="F15" i="14"/>
  <c r="G13" i="14"/>
  <c r="H13" i="14"/>
  <c r="I13" i="14"/>
  <c r="J13" i="14"/>
  <c r="F13" i="14"/>
  <c r="G9" i="14"/>
  <c r="H9" i="14"/>
  <c r="I9" i="14"/>
  <c r="J9" i="14"/>
  <c r="F9" i="14"/>
  <c r="G8" i="14"/>
  <c r="H8" i="14"/>
  <c r="I8" i="14"/>
  <c r="J8" i="14"/>
  <c r="F8" i="14"/>
  <c r="G7" i="14"/>
  <c r="H7" i="14"/>
  <c r="I7" i="14"/>
  <c r="J7" i="14"/>
  <c r="F7" i="14"/>
  <c r="G6" i="14"/>
  <c r="H6" i="14"/>
  <c r="I6" i="14"/>
  <c r="J6" i="14"/>
  <c r="F6" i="14"/>
  <c r="N31" i="10"/>
  <c r="M31" i="10"/>
  <c r="L31" i="10"/>
  <c r="K31" i="10"/>
  <c r="J31" i="10"/>
  <c r="I31" i="10"/>
  <c r="H31" i="10"/>
  <c r="G31" i="10"/>
  <c r="F31" i="10"/>
  <c r="E31" i="10"/>
  <c r="D31" i="10"/>
  <c r="C31" i="10"/>
  <c r="O29" i="20" l="1"/>
  <c r="O34" i="20"/>
  <c r="O36" i="20" s="1"/>
  <c r="G10" i="14"/>
  <c r="G16" i="14"/>
  <c r="F30" i="14"/>
  <c r="F32" i="14" s="1"/>
  <c r="F16" i="14"/>
  <c r="J16" i="14"/>
  <c r="H30" i="14"/>
  <c r="H32" i="14" s="1"/>
  <c r="H10" i="14"/>
  <c r="J10" i="14"/>
  <c r="G30" i="14"/>
  <c r="G32" i="14" s="1"/>
  <c r="I10" i="14"/>
  <c r="I16" i="14"/>
  <c r="I30" i="14"/>
  <c r="I32" i="14" s="1"/>
  <c r="F10" i="14"/>
  <c r="H16" i="14"/>
  <c r="J30" i="14"/>
  <c r="J32" i="14" s="1"/>
  <c r="M6" i="6"/>
  <c r="H6" i="6"/>
  <c r="E24" i="7"/>
  <c r="K24" i="7"/>
  <c r="F5" i="13"/>
  <c r="F7" i="13" s="1"/>
  <c r="K33" i="7"/>
  <c r="C33" i="7"/>
  <c r="C32" i="7"/>
  <c r="J17" i="7"/>
  <c r="I16" i="7"/>
  <c r="H16" i="7"/>
  <c r="K16" i="7" s="1"/>
  <c r="J10" i="7"/>
  <c r="K10" i="7" s="1"/>
  <c r="I10" i="7"/>
  <c r="H10" i="7"/>
  <c r="K12" i="8"/>
  <c r="N8"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N7" i="8" s="1"/>
  <c r="G11" i="8"/>
  <c r="G10" i="8"/>
  <c r="G9" i="8"/>
  <c r="G8" i="8"/>
  <c r="G7"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G18" i="14" l="1"/>
  <c r="J18" i="14"/>
  <c r="F18" i="14"/>
  <c r="F34" i="14" s="1"/>
  <c r="H18" i="14"/>
  <c r="I18" i="14"/>
  <c r="D32" i="7"/>
  <c r="D33" i="7" s="1"/>
  <c r="N6" i="8"/>
  <c r="H34" i="14" l="1"/>
  <c r="H45" i="14"/>
  <c r="H51" i="14" s="1"/>
  <c r="I34" i="14"/>
  <c r="I45" i="14"/>
  <c r="I51" i="14" s="1"/>
  <c r="J45" i="14"/>
  <c r="J51" i="14" s="1"/>
  <c r="G34" i="14"/>
  <c r="G45" i="14"/>
  <c r="G51" i="14" s="1"/>
  <c r="J34" i="14"/>
  <c r="C34" i="7"/>
  <c r="J18" i="7"/>
  <c r="G18" i="7"/>
  <c r="G17" i="7"/>
  <c r="I15" i="7"/>
  <c r="H15" i="7"/>
  <c r="K15" i="7" s="1"/>
  <c r="I14" i="7"/>
  <c r="H14" i="7"/>
  <c r="K14" i="7" s="1"/>
  <c r="I13" i="7"/>
  <c r="H13" i="7"/>
  <c r="K13" i="7" s="1"/>
  <c r="I12" i="7"/>
  <c r="H12" i="7"/>
  <c r="K12" i="7" s="1"/>
  <c r="I11" i="7"/>
  <c r="H11" i="7"/>
  <c r="K11" i="7" s="1"/>
  <c r="K17" i="7" s="1"/>
  <c r="H18" i="7" l="1"/>
  <c r="I17" i="7"/>
  <c r="D36" i="7"/>
  <c r="I18" i="7"/>
  <c r="E32" i="7" s="1"/>
  <c r="K18" i="7"/>
  <c r="K31" i="7" s="1"/>
  <c r="H17" i="7"/>
  <c r="E33" i="7" l="1"/>
  <c r="K39" i="7" s="1"/>
  <c r="K42" i="7"/>
  <c r="E36" i="7" l="1"/>
  <c r="K32" i="7" s="1"/>
  <c r="K34" i="7" s="1"/>
  <c r="K25" i="7" s="1"/>
  <c r="K26" i="7" s="1"/>
  <c r="K38" i="7" s="1"/>
  <c r="B2" i="6" l="1"/>
  <c r="M7" i="6"/>
  <c r="M8" i="6" s="1"/>
  <c r="M9" i="6" s="1"/>
  <c r="M10" i="6" s="1"/>
  <c r="M11" i="6" s="1"/>
  <c r="M12" i="6" s="1"/>
  <c r="M13" i="6" s="1"/>
  <c r="M14" i="6" s="1"/>
  <c r="M15" i="6" s="1"/>
  <c r="M16" i="6" s="1"/>
  <c r="M17" i="6" s="1"/>
  <c r="M18" i="6" s="1"/>
  <c r="M19" i="6" s="1"/>
  <c r="M20" i="6" s="1"/>
  <c r="H7" i="6"/>
  <c r="H8" i="6" s="1"/>
  <c r="H9" i="6" s="1"/>
  <c r="H10" i="6" s="1"/>
  <c r="H11" i="6" s="1"/>
  <c r="H12" i="6" s="1"/>
  <c r="H13" i="6" s="1"/>
  <c r="H14" i="6" s="1"/>
  <c r="H15" i="6" s="1"/>
  <c r="H16" i="6" s="1"/>
  <c r="H17" i="6" s="1"/>
  <c r="H18" i="6" s="1"/>
  <c r="H19" i="6" s="1"/>
  <c r="H20" i="6" s="1"/>
  <c r="D6" i="6" a="1"/>
  <c r="D7" i="6" s="1"/>
  <c r="C6" i="6"/>
  <c r="C7" i="6" s="1"/>
  <c r="C8" i="6" s="1"/>
  <c r="C9" i="6" s="1"/>
  <c r="C10" i="6" s="1"/>
  <c r="C11" i="6" s="1"/>
  <c r="C12" i="6" s="1"/>
  <c r="C13" i="6" s="1"/>
  <c r="C14" i="6" s="1"/>
  <c r="C15" i="6" s="1"/>
  <c r="C16" i="6" s="1"/>
  <c r="C17" i="6" s="1"/>
  <c r="C18" i="6" s="1"/>
  <c r="C19" i="6" s="1"/>
  <c r="C20" i="6" s="1"/>
  <c r="D14" i="6" l="1"/>
  <c r="D6" i="6"/>
  <c r="D13" i="6"/>
  <c r="D12" i="6"/>
  <c r="D11" i="6"/>
  <c r="D10" i="6"/>
  <c r="D9" i="6"/>
  <c r="D8" i="6"/>
  <c r="D15" i="6"/>
  <c r="D19" i="6" l="1"/>
  <c r="D16" i="6"/>
  <c r="F4" i="15" s="1" a="1"/>
  <c r="D20" i="6"/>
  <c r="D17" i="6"/>
  <c r="D18" i="6"/>
  <c r="F4" i="15" l="1"/>
  <c r="K4" i="15"/>
  <c r="J4" i="15"/>
  <c r="I4" i="15"/>
  <c r="H4" i="15"/>
  <c r="G4" i="15"/>
  <c r="E18" i="6"/>
  <c r="E20" i="6"/>
  <c r="E19" i="6"/>
  <c r="E15" i="6" l="1"/>
  <c r="E14" i="6"/>
  <c r="E13" i="6"/>
  <c r="E12" i="6"/>
  <c r="E11" i="6"/>
  <c r="E10" i="6"/>
  <c r="E9" i="6"/>
  <c r="E8" i="6"/>
  <c r="E7" i="6"/>
  <c r="C5" i="12"/>
  <c r="B1" i="12"/>
  <c r="L103" i="11" l="1"/>
  <c r="K103" i="11"/>
  <c r="J103" i="11"/>
  <c r="I103" i="11"/>
  <c r="H103" i="11"/>
  <c r="G103" i="11"/>
  <c r="F103" i="11"/>
  <c r="E103" i="11"/>
  <c r="D103" i="11"/>
  <c r="C103" i="11"/>
  <c r="L102" i="11"/>
  <c r="K102" i="11"/>
  <c r="J102" i="11"/>
  <c r="I102" i="11"/>
  <c r="H102" i="11"/>
  <c r="G102" i="11"/>
  <c r="F102" i="11"/>
  <c r="E102" i="11"/>
  <c r="D102" i="11"/>
  <c r="C102" i="11"/>
  <c r="L101" i="11"/>
  <c r="K101" i="11"/>
  <c r="J101" i="11"/>
  <c r="I101" i="11"/>
  <c r="H101" i="11"/>
  <c r="G101" i="11"/>
  <c r="F101" i="11"/>
  <c r="E101" i="11"/>
  <c r="D101" i="11"/>
  <c r="C101" i="11"/>
  <c r="L100" i="11"/>
  <c r="K100" i="11"/>
  <c r="J100" i="11"/>
  <c r="I100" i="11"/>
  <c r="H100" i="11"/>
  <c r="G100" i="11"/>
  <c r="F100" i="11"/>
  <c r="E100" i="11"/>
  <c r="D100" i="11"/>
  <c r="C100" i="11"/>
  <c r="L99" i="11"/>
  <c r="K99" i="11"/>
  <c r="J99" i="11"/>
  <c r="I99" i="11"/>
  <c r="H99" i="11"/>
  <c r="G99" i="11"/>
  <c r="F99" i="11"/>
  <c r="E99" i="11"/>
  <c r="D99" i="11"/>
  <c r="C99" i="11"/>
  <c r="L98" i="11"/>
  <c r="K98" i="11"/>
  <c r="J98" i="11"/>
  <c r="I98" i="11"/>
  <c r="H98" i="11"/>
  <c r="G98" i="11"/>
  <c r="F98" i="11"/>
  <c r="E98" i="11"/>
  <c r="D98" i="11"/>
  <c r="C98" i="11"/>
  <c r="L94" i="11"/>
  <c r="K94" i="11"/>
  <c r="J94" i="11"/>
  <c r="I94" i="11"/>
  <c r="H94" i="11"/>
  <c r="G94" i="11"/>
  <c r="F94" i="11"/>
  <c r="E94" i="11"/>
  <c r="D94" i="11"/>
  <c r="C94" i="11"/>
  <c r="L93" i="11"/>
  <c r="K93" i="11"/>
  <c r="J93" i="11"/>
  <c r="I93" i="11"/>
  <c r="H93" i="11"/>
  <c r="G93" i="11"/>
  <c r="F93" i="11"/>
  <c r="E93" i="11"/>
  <c r="D93" i="11"/>
  <c r="C93" i="11"/>
  <c r="L92" i="11"/>
  <c r="K92" i="11"/>
  <c r="J92" i="11"/>
  <c r="I92" i="11"/>
  <c r="H92" i="11"/>
  <c r="G92" i="11"/>
  <c r="F92" i="11"/>
  <c r="E92" i="11"/>
  <c r="D92" i="11"/>
  <c r="C92" i="11"/>
  <c r="L91" i="11"/>
  <c r="K91" i="11"/>
  <c r="J91" i="11"/>
  <c r="I91" i="11"/>
  <c r="H91" i="11"/>
  <c r="G91" i="11"/>
  <c r="F91" i="11"/>
  <c r="E91" i="11"/>
  <c r="D91" i="11"/>
  <c r="C91" i="11"/>
  <c r="L90" i="11"/>
  <c r="K90" i="11"/>
  <c r="J90" i="11"/>
  <c r="I90" i="11"/>
  <c r="H90" i="11"/>
  <c r="G90" i="11"/>
  <c r="F90" i="11"/>
  <c r="E90" i="11"/>
  <c r="D90" i="11"/>
  <c r="C90" i="11"/>
  <c r="L89" i="11"/>
  <c r="K89" i="11"/>
  <c r="J89" i="11"/>
  <c r="I89" i="11"/>
  <c r="H89" i="11"/>
  <c r="G89" i="11"/>
  <c r="F89" i="11"/>
  <c r="E89" i="11"/>
  <c r="D89" i="11"/>
  <c r="C89" i="11"/>
  <c r="L88" i="11"/>
  <c r="K88" i="11"/>
  <c r="J88" i="11"/>
  <c r="I88" i="11"/>
  <c r="H88" i="11"/>
  <c r="G88" i="11"/>
  <c r="F88" i="11"/>
  <c r="E88" i="11"/>
  <c r="D88" i="11"/>
  <c r="C88" i="11"/>
  <c r="L87" i="11"/>
  <c r="K87" i="11"/>
  <c r="J87" i="11"/>
  <c r="I87" i="11"/>
  <c r="H87" i="11"/>
  <c r="G87" i="11"/>
  <c r="F87" i="11"/>
  <c r="E87" i="11"/>
  <c r="D87" i="11"/>
  <c r="C87" i="11"/>
  <c r="L86" i="11"/>
  <c r="K86" i="11"/>
  <c r="J86" i="11"/>
  <c r="I86" i="11"/>
  <c r="H86" i="11"/>
  <c r="G86" i="11"/>
  <c r="F86" i="11"/>
  <c r="E86" i="11"/>
  <c r="D86" i="11"/>
  <c r="C86" i="11"/>
  <c r="L85" i="11"/>
  <c r="K85" i="11"/>
  <c r="J85" i="11"/>
  <c r="I85" i="11"/>
  <c r="H85" i="11"/>
  <c r="G85" i="11"/>
  <c r="F85" i="11"/>
  <c r="E85" i="11"/>
  <c r="D85" i="11"/>
  <c r="C85" i="11"/>
  <c r="L81" i="11"/>
  <c r="K81" i="11"/>
  <c r="J81" i="11"/>
  <c r="I81" i="11"/>
  <c r="L80" i="11"/>
  <c r="K80" i="11"/>
  <c r="J80" i="11"/>
  <c r="I80" i="11"/>
  <c r="L79" i="11"/>
  <c r="K79" i="11"/>
  <c r="J79" i="11"/>
  <c r="I79" i="11"/>
  <c r="L78" i="11"/>
  <c r="K78" i="11"/>
  <c r="J78" i="11"/>
  <c r="I78" i="11"/>
  <c r="L77" i="11"/>
  <c r="K77" i="11"/>
  <c r="J77" i="11"/>
  <c r="I77" i="11"/>
  <c r="L76" i="11"/>
  <c r="K76" i="11"/>
  <c r="J76" i="11"/>
  <c r="I76" i="11"/>
  <c r="L75" i="11"/>
  <c r="K75" i="11"/>
  <c r="J75" i="11"/>
  <c r="I75" i="11"/>
  <c r="L74" i="11"/>
  <c r="K74" i="11"/>
  <c r="J74" i="11"/>
  <c r="I74" i="11"/>
  <c r="H74" i="11"/>
  <c r="H75" i="11"/>
  <c r="H76" i="11"/>
  <c r="H77" i="11"/>
  <c r="H78" i="11"/>
  <c r="H79" i="11"/>
  <c r="H80" i="11"/>
  <c r="H81" i="11"/>
  <c r="G74" i="11"/>
  <c r="G75" i="11"/>
  <c r="G76" i="11"/>
  <c r="G77" i="11"/>
  <c r="G78" i="11"/>
  <c r="G79" i="11"/>
  <c r="G80" i="11"/>
  <c r="G81" i="11"/>
  <c r="F74" i="11"/>
  <c r="F75" i="11"/>
  <c r="F76" i="11"/>
  <c r="F77" i="11"/>
  <c r="F78" i="11"/>
  <c r="F79" i="11"/>
  <c r="F80" i="11"/>
  <c r="F81" i="11"/>
  <c r="E74" i="11"/>
  <c r="E75" i="11"/>
  <c r="E76" i="11"/>
  <c r="E77" i="11"/>
  <c r="E78" i="11"/>
  <c r="E79" i="11"/>
  <c r="E80" i="11"/>
  <c r="E81" i="11"/>
  <c r="D74" i="11"/>
  <c r="D75" i="11"/>
  <c r="D76" i="11"/>
  <c r="D77" i="11"/>
  <c r="D78" i="11"/>
  <c r="D79" i="11"/>
  <c r="D80" i="11"/>
  <c r="D81" i="11"/>
  <c r="D73" i="11"/>
  <c r="E73" i="11"/>
  <c r="F73" i="11"/>
  <c r="G73" i="11"/>
  <c r="H73" i="11"/>
  <c r="I73" i="11"/>
  <c r="J73" i="11"/>
  <c r="K73" i="11"/>
  <c r="L73" i="11"/>
  <c r="C74" i="11"/>
  <c r="C75" i="11"/>
  <c r="C76" i="11"/>
  <c r="C77" i="11"/>
  <c r="C78" i="11"/>
  <c r="C79" i="11"/>
  <c r="C80" i="11"/>
  <c r="C81" i="11"/>
  <c r="C73" i="11"/>
  <c r="D58" i="11"/>
  <c r="E58" i="11"/>
  <c r="F58" i="11"/>
  <c r="G58" i="11"/>
  <c r="H58" i="11"/>
  <c r="I58" i="11"/>
  <c r="J58" i="11"/>
  <c r="K58" i="11"/>
  <c r="L58" i="11"/>
  <c r="C58" i="11"/>
  <c r="L63" i="11"/>
  <c r="K63" i="11"/>
  <c r="J63" i="11"/>
  <c r="I63" i="11"/>
  <c r="H63" i="11"/>
  <c r="G63" i="11"/>
  <c r="F63" i="11"/>
  <c r="E63" i="11"/>
  <c r="D63" i="11"/>
  <c r="C63" i="11"/>
  <c r="L62" i="11"/>
  <c r="K62" i="11"/>
  <c r="J62" i="11"/>
  <c r="I62" i="11"/>
  <c r="H62" i="11"/>
  <c r="G62" i="11"/>
  <c r="F62" i="11"/>
  <c r="E62" i="11"/>
  <c r="D62" i="11"/>
  <c r="C62" i="11"/>
  <c r="L61" i="11"/>
  <c r="K61" i="11"/>
  <c r="J61" i="11"/>
  <c r="I61" i="11"/>
  <c r="H61" i="11"/>
  <c r="G61" i="11"/>
  <c r="F61" i="11"/>
  <c r="E61" i="11"/>
  <c r="D61" i="11"/>
  <c r="C61" i="11"/>
  <c r="L57" i="11"/>
  <c r="K57" i="11"/>
  <c r="J57" i="11"/>
  <c r="I57" i="11"/>
  <c r="H57" i="11"/>
  <c r="G57" i="11"/>
  <c r="F57" i="11"/>
  <c r="E57" i="11"/>
  <c r="D57" i="11"/>
  <c r="C57" i="11"/>
  <c r="L56" i="11"/>
  <c r="K56" i="11"/>
  <c r="J56" i="11"/>
  <c r="I56" i="11"/>
  <c r="H56" i="11"/>
  <c r="G56" i="11"/>
  <c r="F56" i="11"/>
  <c r="E56" i="11"/>
  <c r="D56" i="11"/>
  <c r="C56" i="11"/>
  <c r="L55" i="11"/>
  <c r="K55" i="11"/>
  <c r="J55" i="11"/>
  <c r="I55" i="11"/>
  <c r="H55" i="11"/>
  <c r="G55" i="11"/>
  <c r="F55" i="11"/>
  <c r="E55" i="11"/>
  <c r="D55" i="11"/>
  <c r="C55" i="11"/>
  <c r="L53" i="11"/>
  <c r="K53" i="11"/>
  <c r="J53" i="11"/>
  <c r="I53" i="11"/>
  <c r="H53" i="11"/>
  <c r="G53" i="11"/>
  <c r="F53" i="11"/>
  <c r="E53" i="11"/>
  <c r="D53" i="11"/>
  <c r="C53" i="11"/>
  <c r="L52" i="11"/>
  <c r="K52" i="11"/>
  <c r="J52" i="11"/>
  <c r="I52" i="11"/>
  <c r="H52" i="11"/>
  <c r="G52" i="11"/>
  <c r="F52" i="11"/>
  <c r="E52" i="11"/>
  <c r="D52" i="11"/>
  <c r="C52" i="11"/>
  <c r="L51" i="11"/>
  <c r="K51" i="11"/>
  <c r="J51" i="11"/>
  <c r="I51" i="11"/>
  <c r="H51" i="11"/>
  <c r="G51" i="11"/>
  <c r="F51" i="11"/>
  <c r="E51" i="11"/>
  <c r="D51" i="11"/>
  <c r="C51" i="11"/>
  <c r="L50" i="11"/>
  <c r="K50" i="11"/>
  <c r="J50" i="11"/>
  <c r="I50" i="11"/>
  <c r="H50" i="11"/>
  <c r="G50" i="11"/>
  <c r="F50" i="11"/>
  <c r="E50" i="11"/>
  <c r="D50" i="11"/>
  <c r="C50" i="11"/>
  <c r="L49" i="11"/>
  <c r="K49" i="11"/>
  <c r="J49" i="11"/>
  <c r="I49" i="11"/>
  <c r="H49" i="11"/>
  <c r="G49" i="11"/>
  <c r="F49" i="11"/>
  <c r="E49" i="11"/>
  <c r="D49" i="11"/>
  <c r="C49" i="11"/>
  <c r="D37" i="11"/>
  <c r="D42" i="11" s="1"/>
  <c r="E37" i="11"/>
  <c r="E42" i="11" s="1"/>
  <c r="F37" i="11"/>
  <c r="F42" i="11" s="1"/>
  <c r="G37" i="11"/>
  <c r="G42" i="11" s="1"/>
  <c r="H37" i="11"/>
  <c r="H42" i="11" s="1"/>
  <c r="H9" i="12" s="1"/>
  <c r="I37" i="11"/>
  <c r="I42" i="11" s="1"/>
  <c r="J37" i="11"/>
  <c r="J42" i="11" s="1"/>
  <c r="K37" i="11"/>
  <c r="K42" i="11" s="1"/>
  <c r="K9" i="12" s="1"/>
  <c r="L37" i="11"/>
  <c r="L42" i="11" s="1"/>
  <c r="L9" i="12" s="1"/>
  <c r="C37" i="11"/>
  <c r="C42" i="11" s="1"/>
  <c r="D31" i="11"/>
  <c r="E31" i="11"/>
  <c r="F31" i="11"/>
  <c r="G31" i="11"/>
  <c r="H31" i="11"/>
  <c r="I31" i="11"/>
  <c r="J31" i="11"/>
  <c r="K31" i="11"/>
  <c r="L31" i="11"/>
  <c r="C31" i="11"/>
  <c r="D25" i="11"/>
  <c r="E25" i="11"/>
  <c r="F25" i="11"/>
  <c r="G25" i="11"/>
  <c r="H25" i="11"/>
  <c r="I25" i="11"/>
  <c r="J25" i="11"/>
  <c r="K25" i="11"/>
  <c r="L25" i="11"/>
  <c r="C25" i="11"/>
  <c r="D22" i="11"/>
  <c r="E22" i="11"/>
  <c r="F22" i="11"/>
  <c r="G22" i="11"/>
  <c r="H22" i="11"/>
  <c r="I22" i="11"/>
  <c r="J22" i="11"/>
  <c r="K22" i="11"/>
  <c r="L22" i="11"/>
  <c r="E23" i="7" s="1"/>
  <c r="C22" i="11"/>
  <c r="D7" i="11"/>
  <c r="E7" i="11"/>
  <c r="F7" i="11"/>
  <c r="G7" i="11"/>
  <c r="C7" i="11"/>
  <c r="L7" i="11"/>
  <c r="K7" i="11"/>
  <c r="J7" i="11"/>
  <c r="I7" i="11"/>
  <c r="H7" i="11"/>
  <c r="B1" i="11"/>
  <c r="E1" i="1"/>
  <c r="B6" i="1"/>
  <c r="B1" i="2"/>
  <c r="L18" i="12" l="1"/>
  <c r="D18" i="12"/>
  <c r="H18" i="12"/>
  <c r="D9" i="12"/>
  <c r="N9" i="12" s="1"/>
  <c r="F9" i="12"/>
  <c r="J9" i="12"/>
  <c r="J29" i="12"/>
  <c r="J36" i="12" s="1"/>
  <c r="J28" i="12"/>
  <c r="J35" i="12" s="1"/>
  <c r="J31" i="12"/>
  <c r="J27" i="12"/>
  <c r="J34" i="12" s="1"/>
  <c r="J30" i="12"/>
  <c r="E29" i="12"/>
  <c r="E36" i="12" s="1"/>
  <c r="E30" i="12"/>
  <c r="E28" i="12"/>
  <c r="E35" i="12" s="1"/>
  <c r="E31" i="12"/>
  <c r="E27" i="12"/>
  <c r="E34" i="12" s="1"/>
  <c r="K18" i="12"/>
  <c r="G9" i="12"/>
  <c r="I31" i="12"/>
  <c r="I28" i="12"/>
  <c r="I35" i="12" s="1"/>
  <c r="I27" i="12"/>
  <c r="I34" i="12" s="1"/>
  <c r="I30" i="12"/>
  <c r="I29" i="12"/>
  <c r="I36" i="12" s="1"/>
  <c r="F31" i="12"/>
  <c r="F27" i="12"/>
  <c r="F34" i="12" s="1"/>
  <c r="F30" i="12"/>
  <c r="F29" i="12"/>
  <c r="F36" i="12" s="1"/>
  <c r="F28" i="12"/>
  <c r="F35" i="12" s="1"/>
  <c r="F37" i="12" s="1"/>
  <c r="K28" i="12"/>
  <c r="K35" i="12" s="1"/>
  <c r="K29" i="12"/>
  <c r="K36" i="12" s="1"/>
  <c r="K31" i="12"/>
  <c r="K27" i="12"/>
  <c r="K34" i="12" s="1"/>
  <c r="K30" i="12"/>
  <c r="D30" i="12"/>
  <c r="D29" i="12"/>
  <c r="D36" i="12" s="1"/>
  <c r="D28" i="12"/>
  <c r="D35" i="12" s="1"/>
  <c r="D31" i="12"/>
  <c r="D27" i="12"/>
  <c r="D34" i="12" s="1"/>
  <c r="J18" i="12"/>
  <c r="L30" i="12"/>
  <c r="L29" i="12"/>
  <c r="L36" i="12" s="1"/>
  <c r="L28" i="12"/>
  <c r="L35" i="12" s="1"/>
  <c r="L31" i="12"/>
  <c r="L27" i="12"/>
  <c r="L34" i="12" s="1"/>
  <c r="I18" i="12"/>
  <c r="E9" i="12"/>
  <c r="G18" i="12"/>
  <c r="C29" i="12"/>
  <c r="C30" i="12"/>
  <c r="C28" i="12"/>
  <c r="C31" i="12"/>
  <c r="C27" i="12"/>
  <c r="C10" i="17"/>
  <c r="E25" i="7"/>
  <c r="F18" i="12"/>
  <c r="H28" i="12"/>
  <c r="H35" i="12" s="1"/>
  <c r="H31" i="12"/>
  <c r="H27" i="12"/>
  <c r="H34" i="12" s="1"/>
  <c r="H37" i="12" s="1"/>
  <c r="H30" i="12"/>
  <c r="H29" i="12"/>
  <c r="H36" i="12" s="1"/>
  <c r="G31" i="12"/>
  <c r="G27" i="12"/>
  <c r="G34" i="12" s="1"/>
  <c r="G30" i="12"/>
  <c r="G29" i="12"/>
  <c r="G36" i="12" s="1"/>
  <c r="G28" i="12"/>
  <c r="G35" i="12" s="1"/>
  <c r="C18" i="12"/>
  <c r="E18" i="12"/>
  <c r="I9" i="12"/>
  <c r="F95" i="11"/>
  <c r="I95" i="11"/>
  <c r="C104" i="11"/>
  <c r="D95" i="11"/>
  <c r="L95" i="11"/>
  <c r="H95" i="11"/>
  <c r="H104" i="11"/>
  <c r="G104" i="11"/>
  <c r="E95" i="11"/>
  <c r="I104" i="11"/>
  <c r="E104" i="11"/>
  <c r="G95" i="11"/>
  <c r="C95" i="11"/>
  <c r="K95" i="11"/>
  <c r="K104" i="11"/>
  <c r="D104" i="11"/>
  <c r="L104" i="11"/>
  <c r="J95" i="11"/>
  <c r="F104" i="11"/>
  <c r="J104" i="11"/>
  <c r="K82" i="11"/>
  <c r="C82" i="11"/>
  <c r="H82" i="11"/>
  <c r="E82" i="11"/>
  <c r="J82" i="11"/>
  <c r="G82" i="11"/>
  <c r="D82" i="11"/>
  <c r="I82" i="11"/>
  <c r="L82" i="11"/>
  <c r="F82" i="11"/>
  <c r="C59" i="11"/>
  <c r="K59" i="11"/>
  <c r="E64" i="11"/>
  <c r="C64" i="11"/>
  <c r="K64" i="11"/>
  <c r="F59" i="11"/>
  <c r="J59" i="11"/>
  <c r="H64" i="11"/>
  <c r="F64" i="11"/>
  <c r="G59" i="11"/>
  <c r="E59" i="11"/>
  <c r="E66" i="11" s="1"/>
  <c r="E68" i="11" s="1"/>
  <c r="I64" i="11"/>
  <c r="G64" i="11"/>
  <c r="J64" i="11"/>
  <c r="H59" i="11"/>
  <c r="I59" i="11"/>
  <c r="D64" i="11"/>
  <c r="L64" i="11"/>
  <c r="D59" i="11"/>
  <c r="L59" i="11"/>
  <c r="K26" i="11"/>
  <c r="D23" i="11"/>
  <c r="F26" i="11"/>
  <c r="G23" i="11"/>
  <c r="J26" i="11"/>
  <c r="I23" i="11"/>
  <c r="I26" i="11"/>
  <c r="H26" i="11"/>
  <c r="C23" i="11"/>
  <c r="E23" i="11"/>
  <c r="L23" i="11"/>
  <c r="G26" i="11"/>
  <c r="K23" i="11"/>
  <c r="F23" i="11"/>
  <c r="J23" i="11"/>
  <c r="C26" i="11"/>
  <c r="E26" i="11"/>
  <c r="L26" i="11"/>
  <c r="D26" i="11"/>
  <c r="H23" i="11"/>
  <c r="E8" i="11"/>
  <c r="E5" i="12" s="1"/>
  <c r="F13" i="11"/>
  <c r="L13" i="11"/>
  <c r="I17" i="11"/>
  <c r="I17" i="12" s="1"/>
  <c r="D11" i="11"/>
  <c r="C17" i="11"/>
  <c r="C17" i="12" s="1"/>
  <c r="H8" i="11"/>
  <c r="D8" i="11"/>
  <c r="D5" i="12" s="1"/>
  <c r="C13" i="11"/>
  <c r="G13" i="11"/>
  <c r="H17" i="11"/>
  <c r="H17" i="12" s="1"/>
  <c r="L17" i="11"/>
  <c r="L17" i="12" s="1"/>
  <c r="G17" i="11"/>
  <c r="G17" i="12" s="1"/>
  <c r="K17" i="11"/>
  <c r="K17" i="12" s="1"/>
  <c r="F17" i="11"/>
  <c r="F17" i="12" s="1"/>
  <c r="J17" i="11"/>
  <c r="J17" i="12" s="1"/>
  <c r="E17" i="11"/>
  <c r="E17" i="12" s="1"/>
  <c r="F11" i="11"/>
  <c r="D17" i="11"/>
  <c r="D17" i="12" s="1"/>
  <c r="E11" i="11"/>
  <c r="G8" i="11"/>
  <c r="G5" i="12" s="1"/>
  <c r="G11" i="11"/>
  <c r="E13" i="11"/>
  <c r="F8" i="11"/>
  <c r="F5" i="12" s="1"/>
  <c r="D13" i="11"/>
  <c r="C11" i="11"/>
  <c r="I11" i="11"/>
  <c r="K13" i="11"/>
  <c r="H13" i="11"/>
  <c r="I13" i="11"/>
  <c r="K11" i="11"/>
  <c r="J13" i="11"/>
  <c r="H11" i="11"/>
  <c r="L11" i="11"/>
  <c r="J11" i="11"/>
  <c r="K8" i="11"/>
  <c r="I8" i="11"/>
  <c r="L8" i="11"/>
  <c r="J8" i="11"/>
  <c r="O9" i="12" l="1"/>
  <c r="D37" i="12"/>
  <c r="G37" i="12"/>
  <c r="G7" i="15"/>
  <c r="K37" i="12"/>
  <c r="N18" i="12"/>
  <c r="O18" i="12"/>
  <c r="I7" i="15" s="1"/>
  <c r="O28" i="12"/>
  <c r="C35" i="12"/>
  <c r="N28" i="12"/>
  <c r="I37" i="12"/>
  <c r="I35" i="14"/>
  <c r="K5" i="12"/>
  <c r="N30" i="12"/>
  <c r="O30" i="12"/>
  <c r="L19" i="11"/>
  <c r="L20" i="11" s="1"/>
  <c r="L12" i="12" s="1"/>
  <c r="L14" i="11"/>
  <c r="L11" i="12" s="1"/>
  <c r="C36" i="12"/>
  <c r="O29" i="12"/>
  <c r="N29" i="12"/>
  <c r="H19" i="11"/>
  <c r="H20" i="11" s="1"/>
  <c r="H12" i="12" s="1"/>
  <c r="H14" i="11"/>
  <c r="H11" i="12" s="1"/>
  <c r="K19" i="11"/>
  <c r="K20" i="11" s="1"/>
  <c r="K12" i="12" s="1"/>
  <c r="K14" i="11"/>
  <c r="K11" i="12" s="1"/>
  <c r="F19" i="11"/>
  <c r="F14" i="11"/>
  <c r="F11" i="12" s="1"/>
  <c r="F7" i="15"/>
  <c r="L37" i="12"/>
  <c r="D19" i="11"/>
  <c r="D14" i="11"/>
  <c r="D11" i="12" s="1"/>
  <c r="C19" i="11"/>
  <c r="C20" i="11" s="1"/>
  <c r="C12" i="12" s="1"/>
  <c r="C14" i="11"/>
  <c r="C11" i="12" s="1"/>
  <c r="K41" i="7"/>
  <c r="K43" i="7" s="1"/>
  <c r="C11" i="17"/>
  <c r="J37" i="12"/>
  <c r="G19" i="11"/>
  <c r="G14" i="11"/>
  <c r="G11" i="12" s="1"/>
  <c r="J19" i="11"/>
  <c r="J20" i="11" s="1"/>
  <c r="J12" i="12" s="1"/>
  <c r="J14" i="11"/>
  <c r="J11" i="12" s="1"/>
  <c r="H35" i="14"/>
  <c r="J5" i="12"/>
  <c r="F35" i="14"/>
  <c r="H5" i="12"/>
  <c r="O5" i="12" s="1"/>
  <c r="C34" i="12"/>
  <c r="N27" i="12"/>
  <c r="O27" i="12"/>
  <c r="H7" i="15"/>
  <c r="G35" i="14"/>
  <c r="I5" i="12"/>
  <c r="E19" i="11"/>
  <c r="E14" i="11"/>
  <c r="E11" i="12" s="1"/>
  <c r="J35" i="14"/>
  <c r="L5" i="12"/>
  <c r="I19" i="11"/>
  <c r="I20" i="11" s="1"/>
  <c r="I12" i="12" s="1"/>
  <c r="I14" i="11"/>
  <c r="I11" i="12" s="1"/>
  <c r="N17" i="12"/>
  <c r="O17" i="12"/>
  <c r="N31" i="12"/>
  <c r="O31" i="12"/>
  <c r="E37" i="12"/>
  <c r="K41" i="12"/>
  <c r="K39" i="12"/>
  <c r="D41" i="12"/>
  <c r="D39" i="12"/>
  <c r="G39" i="12"/>
  <c r="G41" i="12"/>
  <c r="J41" i="12"/>
  <c r="J39" i="12"/>
  <c r="L41" i="12"/>
  <c r="L39" i="12"/>
  <c r="E41" i="12"/>
  <c r="E40" i="12"/>
  <c r="E39" i="12"/>
  <c r="H106" i="11"/>
  <c r="H39" i="12"/>
  <c r="H41" i="12"/>
  <c r="I39" i="12"/>
  <c r="I41" i="12"/>
  <c r="F39" i="12"/>
  <c r="F41" i="12"/>
  <c r="C106" i="11"/>
  <c r="C41" i="12"/>
  <c r="C39" i="12"/>
  <c r="J106" i="11"/>
  <c r="E106" i="11"/>
  <c r="F106" i="11"/>
  <c r="L106" i="11"/>
  <c r="I106" i="11"/>
  <c r="K106" i="11"/>
  <c r="D106" i="11"/>
  <c r="G106" i="11"/>
  <c r="F66" i="11"/>
  <c r="F68" i="11" s="1"/>
  <c r="G66" i="11"/>
  <c r="G68" i="11" s="1"/>
  <c r="I66" i="11"/>
  <c r="I68" i="11" s="1"/>
  <c r="H66" i="11"/>
  <c r="H68" i="11" s="1"/>
  <c r="J66" i="11"/>
  <c r="J68" i="11" s="1"/>
  <c r="L66" i="11"/>
  <c r="L68" i="11" s="1"/>
  <c r="K66" i="11"/>
  <c r="K68" i="11" s="1"/>
  <c r="C66" i="11"/>
  <c r="C68" i="11" s="1"/>
  <c r="D66" i="11"/>
  <c r="D68" i="11" s="1"/>
  <c r="G20" i="11"/>
  <c r="G12" i="12" s="1"/>
  <c r="E20" i="11"/>
  <c r="E12" i="12" s="1"/>
  <c r="D20" i="11"/>
  <c r="D12" i="12" s="1"/>
  <c r="F20" i="11"/>
  <c r="F12" i="12" s="1"/>
  <c r="J7" i="12" l="1"/>
  <c r="D40" i="12"/>
  <c r="N5" i="12"/>
  <c r="F40" i="12"/>
  <c r="K40" i="12"/>
  <c r="D7" i="12"/>
  <c r="I36" i="14"/>
  <c r="L34" i="11"/>
  <c r="N12" i="12"/>
  <c r="O12" i="12"/>
  <c r="L40" i="12"/>
  <c r="E25" i="12"/>
  <c r="E13" i="12"/>
  <c r="E19" i="12" s="1"/>
  <c r="E6" i="12"/>
  <c r="E21" i="12"/>
  <c r="O34" i="12"/>
  <c r="N34" i="12"/>
  <c r="G25" i="12"/>
  <c r="G13" i="12"/>
  <c r="G19" i="12" s="1"/>
  <c r="G21" i="12"/>
  <c r="G6" i="12"/>
  <c r="D13" i="12"/>
  <c r="D19" i="12" s="1"/>
  <c r="D6" i="12"/>
  <c r="D21" i="12"/>
  <c r="D25" i="12"/>
  <c r="H6" i="12"/>
  <c r="H21" i="12"/>
  <c r="H13" i="12"/>
  <c r="H19" i="12" s="1"/>
  <c r="H25" i="12"/>
  <c r="K7" i="12"/>
  <c r="H40" i="12"/>
  <c r="H36" i="14"/>
  <c r="J40" i="12"/>
  <c r="O36" i="12"/>
  <c r="N36" i="12"/>
  <c r="I21" i="12"/>
  <c r="I6" i="12"/>
  <c r="I25" i="12"/>
  <c r="I13" i="12"/>
  <c r="I19" i="12" s="1"/>
  <c r="C14" i="17"/>
  <c r="F20" i="15"/>
  <c r="F21" i="12"/>
  <c r="F25" i="12"/>
  <c r="F13" i="12"/>
  <c r="F19" i="12" s="1"/>
  <c r="F6" i="12"/>
  <c r="N35" i="12"/>
  <c r="O35" i="12"/>
  <c r="C37" i="12"/>
  <c r="F36" i="14"/>
  <c r="H7" i="12"/>
  <c r="E7" i="12"/>
  <c r="F7" i="12"/>
  <c r="G7" i="12"/>
  <c r="G40" i="12"/>
  <c r="O11" i="12"/>
  <c r="N11" i="12"/>
  <c r="L13" i="12"/>
  <c r="L19" i="12" s="1"/>
  <c r="L6" i="12"/>
  <c r="L21" i="12"/>
  <c r="L25" i="12"/>
  <c r="I40" i="12"/>
  <c r="J6" i="12"/>
  <c r="J21" i="12"/>
  <c r="J25" i="12"/>
  <c r="J13" i="12"/>
  <c r="J19" i="12" s="1"/>
  <c r="I6" i="6" a="1"/>
  <c r="C13" i="12"/>
  <c r="C21" i="12"/>
  <c r="C25" i="12"/>
  <c r="K6" i="12"/>
  <c r="K21" i="12"/>
  <c r="K25" i="12"/>
  <c r="K13" i="12"/>
  <c r="K19" i="12" s="1"/>
  <c r="C40" i="12"/>
  <c r="G36" i="14"/>
  <c r="I7" i="12"/>
  <c r="K7" i="15"/>
  <c r="J7" i="15"/>
  <c r="N39" i="12"/>
  <c r="O39" i="12"/>
  <c r="N41" i="12"/>
  <c r="O41" i="12"/>
  <c r="C29" i="11"/>
  <c r="C14" i="12" s="1"/>
  <c r="C34" i="11"/>
  <c r="C23" i="12" s="1"/>
  <c r="C32" i="11"/>
  <c r="H29" i="11"/>
  <c r="H14" i="12" s="1"/>
  <c r="H34" i="11"/>
  <c r="H32" i="11"/>
  <c r="I29" i="11"/>
  <c r="I14" i="12" s="1"/>
  <c r="I34" i="11"/>
  <c r="I32" i="11"/>
  <c r="G29" i="11"/>
  <c r="G14" i="12" s="1"/>
  <c r="G34" i="11"/>
  <c r="G32" i="11"/>
  <c r="D29" i="11"/>
  <c r="D14" i="12" s="1"/>
  <c r="D34" i="11"/>
  <c r="D32" i="11"/>
  <c r="J29" i="11"/>
  <c r="J14" i="12" s="1"/>
  <c r="J34" i="11"/>
  <c r="J32" i="11"/>
  <c r="L29" i="11"/>
  <c r="L14" i="12" s="1"/>
  <c r="L32" i="11"/>
  <c r="F29" i="11"/>
  <c r="F14" i="12" s="1"/>
  <c r="F32" i="11"/>
  <c r="F34" i="11"/>
  <c r="K29" i="11"/>
  <c r="K14" i="12" s="1"/>
  <c r="K34" i="11"/>
  <c r="K32" i="11"/>
  <c r="E29" i="11"/>
  <c r="E14" i="12" s="1"/>
  <c r="E34" i="11"/>
  <c r="E32" i="11"/>
  <c r="L7" i="12" l="1"/>
  <c r="N7" i="12" s="1"/>
  <c r="N40" i="12"/>
  <c r="J36" i="14"/>
  <c r="J47" i="14" s="1"/>
  <c r="J49" i="14" s="1"/>
  <c r="J52" i="14" s="1"/>
  <c r="J59" i="14" s="1"/>
  <c r="F6" i="15"/>
  <c r="F10" i="15" s="1"/>
  <c r="O40" i="12"/>
  <c r="O13" i="12"/>
  <c r="N13" i="12"/>
  <c r="C19" i="12"/>
  <c r="N6" i="12"/>
  <c r="O6" i="12"/>
  <c r="G23" i="12"/>
  <c r="G8" i="12"/>
  <c r="F38" i="14"/>
  <c r="F40" i="14" s="1"/>
  <c r="F47" i="14"/>
  <c r="F49" i="14" s="1"/>
  <c r="J15" i="15"/>
  <c r="K15" i="15"/>
  <c r="G15" i="15"/>
  <c r="H15" i="15"/>
  <c r="I15" i="15"/>
  <c r="I38" i="14"/>
  <c r="I40" i="14" s="1"/>
  <c r="I60" i="14" s="1"/>
  <c r="I47" i="14"/>
  <c r="I49" i="14" s="1"/>
  <c r="I52" i="14" s="1"/>
  <c r="I59" i="14" s="1"/>
  <c r="I6" i="6"/>
  <c r="I10" i="6"/>
  <c r="I9" i="6"/>
  <c r="I8" i="6"/>
  <c r="I15" i="6"/>
  <c r="I13" i="6"/>
  <c r="I14" i="6"/>
  <c r="I12" i="6"/>
  <c r="I7" i="6"/>
  <c r="J7" i="6" s="1"/>
  <c r="I11" i="6"/>
  <c r="K23" i="12"/>
  <c r="K8" i="12"/>
  <c r="O37" i="12"/>
  <c r="N37" i="12"/>
  <c r="J23" i="12"/>
  <c r="J8" i="12"/>
  <c r="O14" i="12"/>
  <c r="N14" i="12"/>
  <c r="E23" i="12"/>
  <c r="E8" i="12"/>
  <c r="H23" i="12"/>
  <c r="H8" i="12"/>
  <c r="L23" i="12"/>
  <c r="L8" i="12"/>
  <c r="F23" i="12"/>
  <c r="F8" i="12"/>
  <c r="I23" i="12"/>
  <c r="I8" i="12"/>
  <c r="G47" i="14"/>
  <c r="G49" i="14" s="1"/>
  <c r="G52" i="14" s="1"/>
  <c r="G38" i="14"/>
  <c r="G40" i="14" s="1"/>
  <c r="G60" i="14" s="1"/>
  <c r="O25" i="12"/>
  <c r="N25" i="12"/>
  <c r="D23" i="12"/>
  <c r="D8" i="12"/>
  <c r="O21" i="12"/>
  <c r="N21" i="12"/>
  <c r="H38" i="14"/>
  <c r="H40" i="14" s="1"/>
  <c r="H60" i="14" s="1"/>
  <c r="H47" i="14"/>
  <c r="H49" i="14" s="1"/>
  <c r="H52" i="14" s="1"/>
  <c r="H59" i="14" s="1"/>
  <c r="F35" i="11"/>
  <c r="F15" i="12" s="1"/>
  <c r="F39" i="11"/>
  <c r="I35" i="11"/>
  <c r="I15" i="12" s="1"/>
  <c r="I39" i="11"/>
  <c r="L35" i="11"/>
  <c r="L15" i="12" s="1"/>
  <c r="L39" i="11"/>
  <c r="D35" i="11"/>
  <c r="D15" i="12" s="1"/>
  <c r="D39" i="11"/>
  <c r="E35" i="11"/>
  <c r="E15" i="12" s="1"/>
  <c r="E39" i="11"/>
  <c r="H35" i="11"/>
  <c r="H15" i="12" s="1"/>
  <c r="H39" i="11"/>
  <c r="G35" i="11"/>
  <c r="G15" i="12" s="1"/>
  <c r="G39" i="11"/>
  <c r="K35" i="11"/>
  <c r="K15" i="12" s="1"/>
  <c r="K39" i="11"/>
  <c r="C35" i="11"/>
  <c r="C15" i="12" s="1"/>
  <c r="C39" i="11"/>
  <c r="J35" i="11"/>
  <c r="J15" i="12" s="1"/>
  <c r="J39" i="11"/>
  <c r="J12" i="6" l="1"/>
  <c r="O7" i="12"/>
  <c r="H62" i="14"/>
  <c r="J15" i="6"/>
  <c r="J13" i="6"/>
  <c r="N23" i="12"/>
  <c r="J38" i="14"/>
  <c r="J40" i="14" s="1"/>
  <c r="J60" i="14" s="1"/>
  <c r="J62" i="14" s="1"/>
  <c r="J8" i="6"/>
  <c r="O15" i="12"/>
  <c r="N15" i="12"/>
  <c r="J55" i="14"/>
  <c r="J54" i="14"/>
  <c r="G59" i="14"/>
  <c r="G62" i="14" s="1"/>
  <c r="N6" i="6" a="1"/>
  <c r="J14" i="6"/>
  <c r="N19" i="12"/>
  <c r="O19" i="12"/>
  <c r="O23" i="12"/>
  <c r="J9" i="6"/>
  <c r="F11" i="15"/>
  <c r="F13" i="15" s="1"/>
  <c r="J11" i="6"/>
  <c r="J10" i="6"/>
  <c r="N8" i="12"/>
  <c r="O8" i="12"/>
  <c r="I17" i="6"/>
  <c r="I19" i="6"/>
  <c r="I18" i="6"/>
  <c r="I16" i="6"/>
  <c r="J16" i="6" s="1"/>
  <c r="I20" i="6"/>
  <c r="K23" i="15"/>
  <c r="C18" i="17"/>
  <c r="C19" i="17" s="1"/>
  <c r="I62" i="14"/>
  <c r="K43" i="11"/>
  <c r="K45" i="11" s="1"/>
  <c r="K22" i="12" s="1"/>
  <c r="K24" i="12" s="1"/>
  <c r="K40" i="11"/>
  <c r="D40" i="11"/>
  <c r="D43" i="11"/>
  <c r="D45" i="11" s="1"/>
  <c r="D22" i="12" s="1"/>
  <c r="D24" i="12" s="1"/>
  <c r="H40" i="11"/>
  <c r="H43" i="11"/>
  <c r="H45" i="11" s="1"/>
  <c r="H22" i="12" s="1"/>
  <c r="H24" i="12" s="1"/>
  <c r="G43" i="11"/>
  <c r="G45" i="11" s="1"/>
  <c r="G22" i="12" s="1"/>
  <c r="G24" i="12" s="1"/>
  <c r="G40" i="11"/>
  <c r="L40" i="11"/>
  <c r="L43" i="11"/>
  <c r="L45" i="11" s="1"/>
  <c r="L22" i="12" s="1"/>
  <c r="L24" i="12" s="1"/>
  <c r="J40" i="11"/>
  <c r="J43" i="11"/>
  <c r="J45" i="11" s="1"/>
  <c r="J22" i="12" s="1"/>
  <c r="J24" i="12" s="1"/>
  <c r="I40" i="11"/>
  <c r="I43" i="11"/>
  <c r="I45" i="11" s="1"/>
  <c r="I22" i="12" s="1"/>
  <c r="I24" i="12" s="1"/>
  <c r="C43" i="11"/>
  <c r="C45" i="11" s="1"/>
  <c r="C22" i="12" s="1"/>
  <c r="E40" i="11"/>
  <c r="E43" i="11"/>
  <c r="E45" i="11" s="1"/>
  <c r="E22" i="12" s="1"/>
  <c r="E24" i="12" s="1"/>
  <c r="F40" i="11"/>
  <c r="F43" i="11"/>
  <c r="F45" i="11" s="1"/>
  <c r="F22" i="12" s="1"/>
  <c r="F24" i="12" s="1"/>
  <c r="J17" i="6" l="1"/>
  <c r="J19" i="6"/>
  <c r="J18" i="6"/>
  <c r="N6" i="6"/>
  <c r="N8" i="6"/>
  <c r="N15" i="6"/>
  <c r="N7" i="6"/>
  <c r="N13" i="6"/>
  <c r="N14" i="6"/>
  <c r="N12" i="6"/>
  <c r="N11" i="6"/>
  <c r="N10" i="6"/>
  <c r="N9" i="6"/>
  <c r="O9" i="6" s="1"/>
  <c r="J64" i="14"/>
  <c r="J65" i="14"/>
  <c r="F18" i="15" s="1"/>
  <c r="O22" i="12"/>
  <c r="N22" i="12"/>
  <c r="C24" i="12"/>
  <c r="J20" i="6"/>
  <c r="B1" i="4"/>
  <c r="O14" i="6" l="1"/>
  <c r="O7" i="6"/>
  <c r="O11" i="6"/>
  <c r="O24" i="12"/>
  <c r="N24" i="12"/>
  <c r="O12" i="6"/>
  <c r="C15" i="17"/>
  <c r="G6" i="15"/>
  <c r="O8" i="6"/>
  <c r="O13" i="6"/>
  <c r="O15" i="6"/>
  <c r="O10" i="6"/>
  <c r="N17" i="6"/>
  <c r="N20" i="6"/>
  <c r="N19" i="6"/>
  <c r="N18" i="6"/>
  <c r="N16" i="6"/>
  <c r="O16" i="6" s="1"/>
  <c r="E17" i="6"/>
  <c r="E16" i="6"/>
  <c r="F5" i="15" s="1" a="1"/>
  <c r="O18" i="6" l="1"/>
  <c r="O19" i="6"/>
  <c r="O20" i="6"/>
  <c r="H6" i="15"/>
  <c r="G10" i="15"/>
  <c r="G11" i="15" s="1"/>
  <c r="G13" i="15" s="1"/>
  <c r="G16" i="15" s="1"/>
  <c r="O17" i="6"/>
  <c r="F5" i="15"/>
  <c r="I5" i="15"/>
  <c r="H5" i="15"/>
  <c r="J5" i="15"/>
  <c r="G5" i="15"/>
  <c r="K5" i="15"/>
  <c r="I6" i="15" l="1"/>
  <c r="H10" i="15"/>
  <c r="J6" i="15" l="1"/>
  <c r="I10" i="15"/>
  <c r="I11" i="15" s="1"/>
  <c r="I13" i="15" s="1"/>
  <c r="I16" i="15" s="1"/>
  <c r="H11" i="15"/>
  <c r="H13" i="15" s="1"/>
  <c r="H16" i="15" s="1"/>
  <c r="K6" i="15" l="1"/>
  <c r="K10" i="15" s="1"/>
  <c r="J10" i="15"/>
  <c r="D24" i="15" l="1"/>
  <c r="D28" i="15" s="1"/>
  <c r="E32" i="15" s="1"/>
  <c r="K11" i="15"/>
  <c r="K13" i="15" s="1"/>
  <c r="K16" i="15" s="1"/>
  <c r="J11" i="15"/>
  <c r="J13" i="15" s="1"/>
  <c r="J16" i="15" s="1"/>
  <c r="E31" i="15" l="1"/>
  <c r="E33" i="15" s="1"/>
  <c r="E37" i="15" s="1"/>
  <c r="E40" i="15" s="1"/>
  <c r="E43" i="15" l="1"/>
  <c r="H23" i="15"/>
  <c r="C25" i="17"/>
</calcChain>
</file>

<file path=xl/sharedStrings.xml><?xml version="1.0" encoding="utf-8"?>
<sst xmlns="http://schemas.openxmlformats.org/spreadsheetml/2006/main" count="741" uniqueCount="531">
  <si>
    <t>COMPANY NAME</t>
  </si>
  <si>
    <t>TITAN COMPANY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</si>
  <si>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</si>
  <si>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</si>
  <si>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</si>
  <si>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</si>
  <si>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</si>
  <si>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</si>
  <si>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</si>
  <si>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</si>
  <si>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</si>
  <si>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</si>
  <si>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</si>
  <si>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</si>
  <si>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</si>
  <si>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</si>
  <si>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</si>
  <si>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</si>
  <si>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</si>
  <si>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</si>
  <si>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</si>
  <si>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</si>
  <si>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</si>
  <si>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</si>
  <si>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</si>
  <si>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</si>
  <si>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</si>
  <si>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</si>
  <si>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</si>
  <si>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</si>
  <si>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</si>
  <si>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</si>
  <si>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</si>
  <si>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</si>
  <si>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</si>
  <si>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</si>
  <si>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</si>
  <si>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</si>
  <si>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</si>
  <si>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</si>
  <si>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</si>
  <si>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</si>
  <si>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</si>
  <si>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</si>
  <si>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</si>
  <si>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</si>
  <si>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</si>
  <si>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</si>
  <si>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</si>
  <si>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</si>
  <si>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</si>
  <si>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</si>
  <si>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</si>
  <si>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</si>
  <si>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Company Snapshot</t>
  </si>
  <si>
    <t>Parameter</t>
  </si>
  <si>
    <t>Details</t>
  </si>
  <si>
    <t>Company Name</t>
  </si>
  <si>
    <t>Titan Company Limited</t>
  </si>
  <si>
    <t>Ticker Symbol</t>
  </si>
  <si>
    <t>TITAN</t>
  </si>
  <si>
    <t>Sector / Industry</t>
  </si>
  <si>
    <t>Consumer Durables / Retail &amp; Lifestyle</t>
  </si>
  <si>
    <t>Headquarters</t>
  </si>
  <si>
    <t>Bengaluru, Karnataka, India</t>
  </si>
  <si>
    <t>Founded Year</t>
  </si>
  <si>
    <t>Managing Director &amp; CEO</t>
  </si>
  <si>
    <t>Ajoy Chawla</t>
  </si>
  <si>
    <t>Listed Exchanges</t>
  </si>
  <si>
    <t>NSE &amp; BSE</t>
  </si>
  <si>
    <t>Index Membership</t>
  </si>
  <si>
    <t>NIFTY 50, SENSEX, NIFTY Consumer Durables</t>
  </si>
  <si>
    <t>CORE PRODUCTS &amp; KEY BRANDS</t>
  </si>
  <si>
    <t>Category</t>
  </si>
  <si>
    <t>Key Brands</t>
  </si>
  <si>
    <t>Jewelry</t>
  </si>
  <si>
    <t>Tanishq, CaratLane, Mia, Zoya</t>
  </si>
  <si>
    <t>Watches &amp; Wearables</t>
  </si>
  <si>
    <t>Titan, Fastrack, Sonata, Helios, Xylys</t>
  </si>
  <si>
    <t>Eyewear</t>
  </si>
  <si>
    <t>Titan Eye+, Fastrack Eyewear</t>
  </si>
  <si>
    <t>Emerging Categories</t>
  </si>
  <si>
    <t>Skinn (Fragrances), Taneira (Sarees)</t>
  </si>
  <si>
    <t>Export / International Markets</t>
  </si>
  <si>
    <t>Middle East (UAE, Qatar), USA, Canada, Singapore</t>
  </si>
  <si>
    <t>Current Market Price (CMP)</t>
  </si>
  <si>
    <t>Market Capitalization (Cr)</t>
  </si>
  <si>
    <t>Current Shares Outstanding (Cr)</t>
  </si>
  <si>
    <t>Base Historical Year</t>
  </si>
  <si>
    <t>FY26</t>
  </si>
  <si>
    <t>Projection Period</t>
  </si>
  <si>
    <t>FY27 - FY31</t>
  </si>
  <si>
    <t xml:space="preserve">VALUATION &amp; MARKET DATA </t>
  </si>
  <si>
    <t>Historical Financial Statements</t>
  </si>
  <si>
    <t>Year</t>
  </si>
  <si>
    <t>#Income Statement</t>
  </si>
  <si>
    <t>Sales Growth %</t>
  </si>
  <si>
    <t>-</t>
  </si>
  <si>
    <t>COGS</t>
  </si>
  <si>
    <t>Gross Profit</t>
  </si>
  <si>
    <t>COGS  % Sales</t>
  </si>
  <si>
    <t>Selling &amp; General Expenses</t>
  </si>
  <si>
    <t>S&amp;G Exp % Sales</t>
  </si>
  <si>
    <t>EBITDA</t>
  </si>
  <si>
    <t>Interest % of Sales</t>
  </si>
  <si>
    <t>Depreciation % of Sales</t>
  </si>
  <si>
    <t>EBITDA Margin</t>
  </si>
  <si>
    <t>Earnings Before Tax</t>
  </si>
  <si>
    <t>EBT % Sales</t>
  </si>
  <si>
    <t>Effective Tax Rate</t>
  </si>
  <si>
    <t>Net Profit</t>
  </si>
  <si>
    <t>Net Profit Margin</t>
  </si>
  <si>
    <t>No of Equity Shares</t>
  </si>
  <si>
    <t>EPS</t>
  </si>
  <si>
    <t>Dividend per Share</t>
  </si>
  <si>
    <t>EPS growth %</t>
  </si>
  <si>
    <t>Dividend payout ratio</t>
  </si>
  <si>
    <t>Retained Earnings</t>
  </si>
  <si>
    <t>#Balance Sheet</t>
  </si>
  <si>
    <t>Total Liabilities</t>
  </si>
  <si>
    <t>Fixed Asset Net Block</t>
  </si>
  <si>
    <t>Total Assets</t>
  </si>
  <si>
    <t>Total Non Current Assets</t>
  </si>
  <si>
    <t>Total Current Assets</t>
  </si>
  <si>
    <t>Check</t>
  </si>
  <si>
    <t>Cash Flow Data</t>
  </si>
  <si>
    <t>Profit from operations</t>
  </si>
  <si>
    <t>Payables</t>
  </si>
  <si>
    <t>Loans Advances</t>
  </si>
  <si>
    <t>Operating borrowings</t>
  </si>
  <si>
    <t>Other WC items</t>
  </si>
  <si>
    <t>Working capital changes</t>
  </si>
  <si>
    <t>Direct taxes</t>
  </si>
  <si>
    <t>Fixed assets purchased</t>
  </si>
  <si>
    <t>Fixed assets sold</t>
  </si>
  <si>
    <t>Investments purchased</t>
  </si>
  <si>
    <t>Investments sold</t>
  </si>
  <si>
    <t>Interest received</t>
  </si>
  <si>
    <t>Invest in subsidiaries</t>
  </si>
  <si>
    <t>Investment in group cos</t>
  </si>
  <si>
    <t>Acquisition of companies</t>
  </si>
  <si>
    <t>Inter corporate deposits</t>
  </si>
  <si>
    <t>Other investing items</t>
  </si>
  <si>
    <t>Proceeds from borrowings</t>
  </si>
  <si>
    <t>Repayment of borrowings</t>
  </si>
  <si>
    <t>Interest paid fin</t>
  </si>
  <si>
    <t>Dividends paid</t>
  </si>
  <si>
    <t>Financial liabilities</t>
  </si>
  <si>
    <t>Other financing items</t>
  </si>
  <si>
    <t>Free Cash Flow</t>
  </si>
  <si>
    <t>CFO/OP</t>
  </si>
  <si>
    <t>#Cash Flow Statements</t>
  </si>
  <si>
    <t>Operating Activities</t>
  </si>
  <si>
    <t>Cash from Operating Activities</t>
  </si>
  <si>
    <t>Investing Activities</t>
  </si>
  <si>
    <t>Cash from Investing Activities</t>
  </si>
  <si>
    <t>Financing Activities</t>
  </si>
  <si>
    <t>Cash from Financing Activities</t>
  </si>
  <si>
    <t>Gross Profit Margin</t>
  </si>
  <si>
    <t>Sales Growth</t>
  </si>
  <si>
    <t>EBITDA Growth</t>
  </si>
  <si>
    <t>Net Profit Growth</t>
  </si>
  <si>
    <t>Dividend Growth</t>
  </si>
  <si>
    <t>Gross Margin</t>
  </si>
  <si>
    <t>EBIT Margin</t>
  </si>
  <si>
    <t>EBT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</si>
  <si>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</si>
  <si>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</si>
  <si>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</si>
  <si>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</si>
  <si>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</si>
  <si>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</si>
  <si>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</si>
  <si>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</si>
  <si>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</si>
  <si>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</si>
  <si>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</si>
  <si>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</si>
  <si>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</si>
  <si>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</si>
  <si>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</si>
  <si>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</si>
  <si>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t>
  </si>
  <si>
    <t>CFO/Sales</t>
  </si>
  <si>
    <t>CFO/Total Assets</t>
  </si>
  <si>
    <t>CFO/Total Debt</t>
  </si>
  <si>
    <t>EBT Growth</t>
  </si>
  <si>
    <t>Mean</t>
  </si>
  <si>
    <t>Median</t>
  </si>
  <si>
    <t>(In Days)</t>
  </si>
  <si>
    <t>Trend</t>
  </si>
  <si>
    <t>Year Weight</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</si>
  <si>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</si>
  <si>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</si>
  <si>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</si>
  <si>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</si>
  <si>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</si>
  <si>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</si>
  <si>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</si>
  <si>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</si>
  <si>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</si>
  <si>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</si>
  <si>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</si>
  <si>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</si>
  <si>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</si>
  <si>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</si>
  <si>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</si>
  <si>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</si>
  <si>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</si>
  <si>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</si>
  <si>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</si>
  <si>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</si>
  <si>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</si>
  <si>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</si>
  <si>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</si>
  <si>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</si>
  <si>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Forecasting: Sales</t>
  </si>
  <si>
    <t>Forecasting: EBITDA</t>
  </si>
  <si>
    <t>Forecasting: EPS</t>
  </si>
  <si>
    <t>EBIDTA Growth</t>
  </si>
  <si>
    <t>EPS Growth</t>
  </si>
  <si>
    <t>Weighted Average Cost of Capital</t>
  </si>
  <si>
    <t>All figures are in INR unless stated otherwise</t>
  </si>
  <si>
    <t>Debt/</t>
  </si>
  <si>
    <t>Levered</t>
  </si>
  <si>
    <t>Unlevered</t>
  </si>
  <si>
    <t>Country</t>
  </si>
  <si>
    <t>Total Debt</t>
  </si>
  <si>
    <t>Total Equity</t>
  </si>
  <si>
    <t>Equity</t>
  </si>
  <si>
    <t>Capital</t>
  </si>
  <si>
    <t>India</t>
  </si>
  <si>
    <t>Average</t>
  </si>
  <si>
    <t>Cost of Debt</t>
  </si>
  <si>
    <t>Cost of Equity</t>
  </si>
  <si>
    <t>Pre-Tax cost of Debt</t>
  </si>
  <si>
    <t>Risk Free Rate</t>
  </si>
  <si>
    <t>Tax Rate</t>
  </si>
  <si>
    <t>Equity Risk Premium</t>
  </si>
  <si>
    <t>Post Tax Cost of Debt</t>
  </si>
  <si>
    <r>
      <t xml:space="preserve">Levered Beta </t>
    </r>
    <r>
      <rPr>
        <vertAlign val="superscript"/>
        <sz val="11"/>
        <color theme="1"/>
        <rFont val="Calibri"/>
        <family val="2"/>
        <scheme val="minor"/>
      </rPr>
      <t>4</t>
    </r>
  </si>
  <si>
    <t>Capital Structure</t>
  </si>
  <si>
    <t>Levered Beta</t>
  </si>
  <si>
    <t>Current</t>
  </si>
  <si>
    <t>Target</t>
  </si>
  <si>
    <t>Comps Median Unlevered Beta</t>
  </si>
  <si>
    <t>Target Debt/Equity</t>
  </si>
  <si>
    <t>Total Capital</t>
  </si>
  <si>
    <t>Levered Data</t>
  </si>
  <si>
    <t>Debt/Equity</t>
  </si>
  <si>
    <t>Notes:-</t>
  </si>
  <si>
    <t>1. Tax Rate considered as Marginal Tax Rate for the country</t>
  </si>
  <si>
    <t>Equity Weight</t>
  </si>
  <si>
    <t>3. Unlevered Beta = levered Beta/ 1+(1- Tax Rate)* Debt/Equity)</t>
  </si>
  <si>
    <t>Cost of debt</t>
  </si>
  <si>
    <t>4. Levered Beta= Unlevered Beta*(1+(1- Tax Rate)*Debt/Equity)</t>
  </si>
  <si>
    <t>Debt Weight</t>
  </si>
  <si>
    <t>WACC</t>
  </si>
  <si>
    <t>Regresion Beta</t>
  </si>
  <si>
    <t>Date</t>
  </si>
  <si>
    <t>Price</t>
  </si>
  <si>
    <t>Return</t>
  </si>
  <si>
    <r>
      <t xml:space="preserve">Beta </t>
    </r>
    <r>
      <rPr>
        <vertAlign val="superscript"/>
        <sz val="11"/>
        <color theme="1"/>
        <rFont val="Calibri"/>
        <family val="2"/>
        <scheme val="minor"/>
      </rPr>
      <t>1</t>
    </r>
  </si>
  <si>
    <r>
      <t xml:space="preserve">Beta </t>
    </r>
    <r>
      <rPr>
        <vertAlign val="superscript"/>
        <sz val="11"/>
        <color theme="1"/>
        <rFont val="Calibri"/>
        <family val="2"/>
        <scheme val="minor"/>
      </rPr>
      <t>2</t>
    </r>
    <r>
      <rPr>
        <sz val="11"/>
        <color theme="1"/>
        <rFont val="Calibri"/>
        <family val="2"/>
        <scheme val="minor"/>
      </rPr>
      <t/>
    </r>
  </si>
  <si>
    <r>
      <t xml:space="preserve">Beta </t>
    </r>
    <r>
      <rPr>
        <vertAlign val="superscript"/>
        <sz val="11"/>
        <color theme="1"/>
        <rFont val="Calibri"/>
        <family val="2"/>
        <scheme val="minor"/>
      </rPr>
      <t>3</t>
    </r>
    <r>
      <rPr>
        <sz val="11"/>
        <color theme="1"/>
        <rFont val="Calibri"/>
        <family val="2"/>
        <scheme val="minor"/>
      </rPr>
      <t/>
    </r>
  </si>
  <si>
    <t>Beta Drifting</t>
  </si>
  <si>
    <t>Raw Beta Weight</t>
  </si>
  <si>
    <t>Market Beta</t>
  </si>
  <si>
    <t>Market Beta Weight</t>
  </si>
  <si>
    <t>Adjusted Beta</t>
  </si>
  <si>
    <t>Titan Company 2 years Weekly Return</t>
  </si>
  <si>
    <t>Name of the Company</t>
  </si>
  <si>
    <t>Titan Company</t>
  </si>
  <si>
    <t>Kalyan Jewellers</t>
  </si>
  <si>
    <t>Lalithaa Jewel</t>
  </si>
  <si>
    <t>Thangamayil Jew.</t>
  </si>
  <si>
    <t>PC Jeweller</t>
  </si>
  <si>
    <t>Sky Gold &amp; Diam.</t>
  </si>
  <si>
    <t>Bluestone Jewel</t>
  </si>
  <si>
    <r>
      <t>Tax Rate</t>
    </r>
    <r>
      <rPr>
        <b/>
        <vertAlign val="superscript"/>
        <sz val="11"/>
        <color theme="1"/>
        <rFont val="Calibri"/>
        <family val="2"/>
        <scheme val="minor"/>
      </rPr>
      <t xml:space="preserve"> 1</t>
    </r>
  </si>
  <si>
    <r>
      <t xml:space="preserve">Beta </t>
    </r>
    <r>
      <rPr>
        <b/>
        <vertAlign val="superscript"/>
        <sz val="11"/>
        <color theme="1"/>
        <rFont val="Calibri"/>
        <family val="2"/>
        <scheme val="minor"/>
      </rPr>
      <t>2</t>
    </r>
  </si>
  <si>
    <r>
      <t xml:space="preserve">Beta </t>
    </r>
    <r>
      <rPr>
        <b/>
        <vertAlign val="superscript"/>
        <sz val="11"/>
        <color theme="1"/>
        <rFont val="Calibri"/>
        <family val="2"/>
        <scheme val="minor"/>
      </rPr>
      <t>3</t>
    </r>
  </si>
  <si>
    <t>Peer Companies</t>
  </si>
  <si>
    <t>Annual</t>
  </si>
  <si>
    <t>Average return</t>
  </si>
  <si>
    <t>Dividend Yield</t>
  </si>
  <si>
    <t>Total Market Return</t>
  </si>
  <si>
    <t>NSE Weekly 2 years Return</t>
  </si>
  <si>
    <t>Return of Market (NSE)</t>
  </si>
  <si>
    <t>2. Levered beta is based  on 2 year weekly data</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</si>
  <si>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</si>
  <si>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</si>
  <si>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</si>
  <si>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</si>
  <si>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</si>
  <si>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</si>
  <si>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</si>
  <si>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</si>
  <si>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</si>
  <si>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</si>
  <si>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</si>
  <si>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</si>
  <si>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</si>
  <si>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Computers</t>
  </si>
  <si>
    <t>Furniture n fittings</t>
  </si>
  <si>
    <t>Vehicles</t>
  </si>
  <si>
    <t>Intangible Assets</t>
  </si>
  <si>
    <t>Other fixed assets</t>
  </si>
  <si>
    <t>Gross Block</t>
  </si>
  <si>
    <t>Accumulated Depreciation</t>
  </si>
  <si>
    <t>CWIP</t>
  </si>
  <si>
    <t>Inventories</t>
  </si>
  <si>
    <t>Cash Equivalents</t>
  </si>
  <si>
    <t>Loans n Advances</t>
  </si>
  <si>
    <t>Other asset items</t>
  </si>
  <si>
    <t>Borrowings -</t>
  </si>
  <si>
    <t>Other Liabilities -</t>
  </si>
  <si>
    <t>Fixed Assets -</t>
  </si>
  <si>
    <t>Other Assets -</t>
  </si>
  <si>
    <t>Particulars</t>
  </si>
  <si>
    <t xml:space="preserve">Trade receivables </t>
  </si>
  <si>
    <t>Calculation of ROIC</t>
  </si>
  <si>
    <t>Current Assets</t>
  </si>
  <si>
    <t>Trade Receivables</t>
  </si>
  <si>
    <t>Other assets items</t>
  </si>
  <si>
    <t>Current Liabilities</t>
  </si>
  <si>
    <t>Advance from customers</t>
  </si>
  <si>
    <t>Other Liability items</t>
  </si>
  <si>
    <t>Total Current Liabilities</t>
  </si>
  <si>
    <t>Net Working Capital</t>
  </si>
  <si>
    <t>Non Current Assets</t>
  </si>
  <si>
    <t>Net Non Current Asset</t>
  </si>
  <si>
    <t>Invested Capital</t>
  </si>
  <si>
    <t>#</t>
  </si>
  <si>
    <t>EBIT</t>
  </si>
  <si>
    <t>ROIC</t>
  </si>
  <si>
    <t>Calculation of Reinvestment Rate</t>
  </si>
  <si>
    <r>
      <t>Cash from Operating Activity </t>
    </r>
    <r>
      <rPr>
        <sz val="11"/>
        <color theme="1"/>
        <rFont val="Calibri"/>
        <family val="2"/>
        <scheme val="minor"/>
      </rPr>
      <t>-</t>
    </r>
  </si>
  <si>
    <r>
      <t>Cash from Investing Activity </t>
    </r>
    <r>
      <rPr>
        <sz val="11"/>
        <color theme="1"/>
        <rFont val="Calibri"/>
        <family val="2"/>
        <scheme val="minor"/>
      </rPr>
      <t>-</t>
    </r>
  </si>
  <si>
    <r>
      <t>Cash from Financing Activity </t>
    </r>
    <r>
      <rPr>
        <sz val="11"/>
        <color theme="1"/>
        <rFont val="Calibri"/>
        <family val="2"/>
        <scheme val="minor"/>
      </rPr>
      <t>-</t>
    </r>
  </si>
  <si>
    <t>Net Capex</t>
  </si>
  <si>
    <t>Change in Working Capital</t>
  </si>
  <si>
    <t>Marginal Tax Rate</t>
  </si>
  <si>
    <t>EBIT(1-T)</t>
  </si>
  <si>
    <t>Reinvestment</t>
  </si>
  <si>
    <t>Reinvestment Rate</t>
  </si>
  <si>
    <t>4 year Average</t>
  </si>
  <si>
    <t>4 year Median</t>
  </si>
  <si>
    <t>Calculation of Growth Rate</t>
  </si>
  <si>
    <t>Intrinsic Growth Rate</t>
  </si>
  <si>
    <t>Calculation of PV of FCFF</t>
  </si>
  <si>
    <t>Free Cash Flow to Firm (FCFF)</t>
  </si>
  <si>
    <t>Mid Year Convention</t>
  </si>
  <si>
    <t>Discounting Factor</t>
  </si>
  <si>
    <t>PV of FCFF</t>
  </si>
  <si>
    <t>Expected Growth</t>
  </si>
  <si>
    <t>Terminal growth</t>
  </si>
  <si>
    <t>Calculation of Terminal Value</t>
  </si>
  <si>
    <t>FCFF(1+n)</t>
  </si>
  <si>
    <t>Terminal Growth Rate</t>
  </si>
  <si>
    <t>Terminal Value</t>
  </si>
  <si>
    <t>PV of Terminal Value</t>
  </si>
  <si>
    <t>Value of Operating Asset</t>
  </si>
  <si>
    <t>Add: Cash</t>
  </si>
  <si>
    <t>Less: Debt</t>
  </si>
  <si>
    <t>Calculation of Equity Value Per Share</t>
  </si>
  <si>
    <t>Value of Equity</t>
  </si>
  <si>
    <t>No of shares</t>
  </si>
  <si>
    <t>Equity Value Per Share</t>
  </si>
  <si>
    <t>Less: Reinvestment</t>
  </si>
  <si>
    <t>EBIT(1-Tax Rate)/ NOPAT</t>
  </si>
  <si>
    <t>CMP</t>
  </si>
  <si>
    <t>Discount/ Premium</t>
  </si>
  <si>
    <t>Assumption</t>
  </si>
  <si>
    <t>Value</t>
  </si>
  <si>
    <t>Source or reason</t>
  </si>
  <si>
    <t>Valuation date</t>
  </si>
  <si>
    <t>Date of the latest balance sheet</t>
  </si>
  <si>
    <t>Tax rate</t>
  </si>
  <si>
    <t>22% base, 10% surcharge and 4% cess</t>
  </si>
  <si>
    <t>Risk-free rate</t>
  </si>
  <si>
    <t>India 10-year government bond yield</t>
  </si>
  <si>
    <t>Market return</t>
  </si>
  <si>
    <t>Average Nifty annual return 2000-2025 plus dividend yield (Rm sheet)</t>
  </si>
  <si>
    <t>Equity risk premium</t>
  </si>
  <si>
    <t>Market return minus risk-free rate</t>
  </si>
  <si>
    <t>Beta</t>
  </si>
  <si>
    <t>Median unlevered beta of peers, relevered at target debt/equity</t>
  </si>
  <si>
    <t>Cost of equity</t>
  </si>
  <si>
    <t>Risk-free rate + beta x equity risk premium</t>
  </si>
  <si>
    <t>Pre-tax cost of debt</t>
  </si>
  <si>
    <t>Interest expense divided by total debt</t>
  </si>
  <si>
    <t>Post-tax cost of debt</t>
  </si>
  <si>
    <t>Pre-tax cost of debt x (1 - tax rate)</t>
  </si>
  <si>
    <t>Weight of equity</t>
  </si>
  <si>
    <t>Target capital structure based on peer median</t>
  </si>
  <si>
    <t>Weight of debt</t>
  </si>
  <si>
    <t>Weighted average of cost of equity and post-tax cost of debt</t>
  </si>
  <si>
    <t>Expected growth, Mar-27 to Mar-31</t>
  </si>
  <si>
    <t>Median intrinsic growth rate over 4 years (reinvestment rate x ROIC)</t>
  </si>
  <si>
    <t>Reinvestment rate, forecast years</t>
  </si>
  <si>
    <t>Share of NOPAT reinvested each year; expected growth divided by ROIC</t>
  </si>
  <si>
    <t>Long-run nominal growth of the Indian economy</t>
  </si>
  <si>
    <t>Terminal ROIC</t>
  </si>
  <si>
    <t>Set equal to WACC</t>
  </si>
  <si>
    <t>Terminal reinvestment rate</t>
  </si>
  <si>
    <t>Terminal growth divided by terminal ROIC</t>
  </si>
  <si>
    <t>Discounting</t>
  </si>
  <si>
    <t>Mid-year convention</t>
  </si>
  <si>
    <t>Cash flows assumed to arrive evenly through each year</t>
  </si>
  <si>
    <t>Current market price (Rs)</t>
  </si>
  <si>
    <t>Shares outstanding (crore)</t>
  </si>
  <si>
    <t>Screener</t>
  </si>
  <si>
    <t>Cash (Rs crore)</t>
  </si>
  <si>
    <t>Balance sheet, Mar-26</t>
  </si>
  <si>
    <t>Debt (Rs crore)</t>
  </si>
  <si>
    <t>Long-term and short-term borrowings, Mar-26</t>
  </si>
  <si>
    <t>Equity value per share (Rs)</t>
  </si>
  <si>
    <t>Model output</t>
  </si>
  <si>
    <t>Screener; 4/10/2026</t>
  </si>
  <si>
    <t>Share Price</t>
  </si>
  <si>
    <t>Shares Outstanding</t>
  </si>
  <si>
    <t>Equity Value</t>
  </si>
  <si>
    <t>Net Debt</t>
  </si>
  <si>
    <t>Enterprise Value</t>
  </si>
  <si>
    <t>Market Value</t>
  </si>
  <si>
    <t>Revenue</t>
  </si>
  <si>
    <t>Net Income</t>
  </si>
  <si>
    <t>Financials</t>
  </si>
  <si>
    <t>Valuation</t>
  </si>
  <si>
    <t>Company</t>
  </si>
  <si>
    <t>S.No.</t>
  </si>
  <si>
    <t>P N Gadgil Jewe.</t>
  </si>
  <si>
    <t>Timex Group</t>
  </si>
  <si>
    <t>Ethos</t>
  </si>
  <si>
    <t>Senco Gold</t>
  </si>
  <si>
    <t>D.P. Abhushan</t>
  </si>
  <si>
    <t>KDDL Ltd</t>
  </si>
  <si>
    <t>Goldiam Intl.</t>
  </si>
  <si>
    <t>T B Z</t>
  </si>
  <si>
    <t>Vaibhav Global</t>
  </si>
  <si>
    <t>Shanti Gold</t>
  </si>
  <si>
    <t>Deepa Jewellers</t>
  </si>
  <si>
    <t>PNGS Reva Diamo.</t>
  </si>
  <si>
    <t>Shringar House</t>
  </si>
  <si>
    <t>Motisons Jewel</t>
  </si>
  <si>
    <t>Utssav CZ Gold</t>
  </si>
  <si>
    <t>Khazanchi Jewell</t>
  </si>
  <si>
    <t>Rajesh Exports</t>
  </si>
  <si>
    <t>Renaiss. Global</t>
  </si>
  <si>
    <t>Market Cap</t>
  </si>
  <si>
    <t>EV</t>
  </si>
  <si>
    <t>Netprofit</t>
  </si>
  <si>
    <t>EV/Revenue</t>
  </si>
  <si>
    <t>EV/EBITDA</t>
  </si>
  <si>
    <t>P/E</t>
  </si>
  <si>
    <t>High</t>
  </si>
  <si>
    <t>75th Percentile</t>
  </si>
  <si>
    <t>25th Percentile</t>
  </si>
  <si>
    <t>Low</t>
  </si>
  <si>
    <t>Titan Comparable Valuation</t>
  </si>
  <si>
    <t>Implied Enterprise Value</t>
  </si>
  <si>
    <t>Implied Market Value</t>
  </si>
  <si>
    <t>Implied Value Per Share</t>
  </si>
  <si>
    <t>Source: screener.in</t>
  </si>
  <si>
    <t xml:space="preserve">Comparable Company Valuation  </t>
  </si>
  <si>
    <t>Figures in crores</t>
  </si>
  <si>
    <t>Relative Valuation</t>
  </si>
  <si>
    <t xml:space="preserve">No. Eq. Shares </t>
  </si>
  <si>
    <t xml:space="preserve">Sales </t>
  </si>
  <si>
    <t xml:space="preserve">CMP </t>
  </si>
  <si>
    <t xml:space="preserve">Cash End </t>
  </si>
  <si>
    <t>Debt</t>
  </si>
  <si>
    <t>Author_ Farheen Ahmed Only for educational purpose</t>
  </si>
  <si>
    <t>Senstivity Analysis</t>
  </si>
  <si>
    <t>Football Field Analysis- Data</t>
  </si>
  <si>
    <t>Comps</t>
  </si>
  <si>
    <t>DCF Bear</t>
  </si>
  <si>
    <t>DCF Base</t>
  </si>
  <si>
    <t>DCF bull</t>
  </si>
  <si>
    <t>52W H/L</t>
  </si>
  <si>
    <t>Open/Low</t>
  </si>
  <si>
    <t>Open/High</t>
  </si>
  <si>
    <t>Sorted Return</t>
  </si>
  <si>
    <t>Calculation of VaR for Titan Company Ltd (Historical Data)</t>
  </si>
  <si>
    <t>Standard Deviation</t>
  </si>
  <si>
    <t>Min</t>
  </si>
  <si>
    <t>Max</t>
  </si>
  <si>
    <t>Percentile</t>
  </si>
  <si>
    <t>Var %</t>
  </si>
  <si>
    <t>Stock Price</t>
  </si>
  <si>
    <t>VaR</t>
  </si>
  <si>
    <t>Confidence</t>
  </si>
  <si>
    <t>Replication</t>
  </si>
  <si>
    <t>Stimulated Returns</t>
  </si>
  <si>
    <t>Historical Approach</t>
  </si>
  <si>
    <t>Monte-Carlo Stimulations</t>
  </si>
  <si>
    <t>52 week (High- 5187 &amp; Low- 3500)</t>
  </si>
  <si>
    <t>About The Company</t>
  </si>
  <si>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t>
  </si>
  <si>
    <t xml:space="preserve"> TITAN I BSE:500114</t>
  </si>
  <si>
    <t>Average Shareholder Equity</t>
  </si>
  <si>
    <t>ROE- DuPont Equation</t>
  </si>
  <si>
    <t>Average Total Assets</t>
  </si>
  <si>
    <t>Net Profit Margin (A)</t>
  </si>
  <si>
    <t>Asset Turnover Ratio (B)</t>
  </si>
  <si>
    <t>Average Total Asset</t>
  </si>
  <si>
    <t>Return on Equity (A*B*C)</t>
  </si>
  <si>
    <t>ROA- DuPont Equation</t>
  </si>
  <si>
    <t>Return on Asset (A*B)</t>
  </si>
  <si>
    <t xml:space="preserve"> Financial Summary</t>
  </si>
  <si>
    <t>Financial Leverage (C)</t>
  </si>
  <si>
    <t>Dupont Analysis- Return on Equity &amp; Return on Asset</t>
  </si>
  <si>
    <t>Return on Asset</t>
  </si>
  <si>
    <t>Disclamer: this project is only for educational purpose</t>
  </si>
  <si>
    <t>Altman Z score Analysis Calculation</t>
  </si>
  <si>
    <t>Working Capital</t>
  </si>
  <si>
    <t>1. Working Capital/ Total Assets</t>
  </si>
  <si>
    <t>2. Retained Earnings/ Total Assets</t>
  </si>
  <si>
    <t>3. EBIT/ Total Assets</t>
  </si>
  <si>
    <t>4. Market Cap/ Long Term Liability</t>
  </si>
  <si>
    <t>Long Term Liability</t>
  </si>
  <si>
    <t>5. Sales/ Total Assets</t>
  </si>
  <si>
    <t>Working Capital/ Total Assets (A)</t>
  </si>
  <si>
    <t>Retained Earnings/ Total Assets (B)</t>
  </si>
  <si>
    <t>EBIT/ Total Assets (C)</t>
  </si>
  <si>
    <t>Market Cap/ Long Term Liability (D)</t>
  </si>
  <si>
    <t>Sales/ Total Assets (E)</t>
  </si>
  <si>
    <t>Atlman Z Score</t>
  </si>
  <si>
    <t>Final Score</t>
  </si>
  <si>
    <t>Financial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</si>
</sst>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_(* \(#,##0.00\);_(* &quot;-&quot;??_);_(@_)"/>
    <numFmt numFmtId="164" formatCode="_ * #,##0.00_ ;_ * \-#,##0.00_ ;_ * &quot;-&quot;??_ ;_ @_ "/>
    <numFmt numFmtId="165" formatCode="[$-409]mmm\-yy;@"/>
    <numFmt numFmtId="166" formatCode="\₹\ #,##0.00"/>
    <numFmt numFmtId="167" formatCode="&quot;₹ &quot;#,##0.00;\(&quot;₹ &quot;#,##0.00\);&quot;-&quot;"/>
    <numFmt numFmtId="168" formatCode="0.00&quot;x&quot;"/>
    <numFmt numFmtId="169" formatCode="0\ "/>
    <numFmt numFmtId="170" formatCode="[$₹-4009]\ ###,##0.00;\([$₹-4009]\ ###,##0.00\);&quot;-&quot;"/>
    <numFmt numFmtId="171" formatCode="yyyy&quot;A&quot;"/>
    <numFmt numFmtId="172" formatCode="yyyy&quot;E&quot;"/>
    <numFmt numFmtId="173" formatCode="##,##0.00;\(##,#00\);\-"/>
    <numFmt numFmtId="174" formatCode="#,##0.0;\(#,##0\);\-"/>
    <numFmt numFmtId="175" formatCode="#,##0.0;\(#,##0.0\)\,\-"/>
    <numFmt numFmtId="176" formatCode="mmm\-yy&quot;A&quot;"/>
    <numFmt numFmtId="177" formatCode="mmm\-yy&quot;F&quot;"/>
    <numFmt numFmtId="178" formatCode="0.000"/>
    <numFmt numFmtId="179" formatCode="#,##0.00&quot;x&quot;"/>
    <numFmt numFmtId="180" formatCode="#,##0.0"/>
    <numFmt numFmtId="181" formatCode="###0.0&quot;x&quot;"/>
    <numFmt numFmtId="182" formatCode="#,##0.0&quot;x&quot;"/>
    <numFmt numFmtId="183" formatCode="0.0%"/>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name val="Calibri"/>
      <family val="2"/>
      <scheme val="minor"/>
    </font>
    <font>
      <b/>
      <sz val="11"/>
      <color theme="8" tint="-0.249977111117893"/>
      <name val="Calibri"/>
      <family val="2"/>
      <scheme val="minor"/>
    </font>
    <font>
      <sz val="11"/>
      <color theme="8" tint="-0.249977111117893"/>
      <name val="Calibri"/>
      <family val="2"/>
      <scheme val="minor"/>
    </font>
    <font>
      <i/>
      <sz val="11"/>
      <color theme="2" tint="-0.499984740745262"/>
      <name val="Calibri"/>
      <family val="2"/>
      <scheme val="minor"/>
    </font>
    <font>
      <sz val="11"/>
      <color rgb="FF22222F"/>
      <name val="Calibri"/>
      <family val="2"/>
      <scheme val="minor"/>
    </font>
    <font>
      <b/>
      <sz val="11"/>
      <color rgb="FF22222F"/>
      <name val="Calibri"/>
      <family val="2"/>
      <scheme val="minor"/>
    </font>
    <font>
      <b/>
      <i/>
      <sz val="11"/>
      <color theme="1"/>
      <name val="Calibri"/>
      <family val="2"/>
      <scheme val="minor"/>
    </font>
    <font>
      <i/>
      <sz val="11"/>
      <color theme="1"/>
      <name val="Calibri"/>
      <family val="2"/>
      <scheme val="minor"/>
    </font>
    <font>
      <i/>
      <sz val="10"/>
      <color theme="1"/>
      <name val="Calibri"/>
      <family val="2"/>
      <scheme val="minor"/>
    </font>
    <font>
      <vertAlign val="superscript"/>
      <sz val="11"/>
      <color theme="1"/>
      <name val="Calibri"/>
      <family val="2"/>
      <scheme val="minor"/>
    </font>
    <font>
      <sz val="11"/>
      <color rgb="FF3333FF"/>
      <name val="Calibri"/>
      <family val="2"/>
      <scheme val="minor"/>
    </font>
    <font>
      <b/>
      <vertAlign val="superscript"/>
      <sz val="11"/>
      <color theme="1"/>
      <name val="Calibri"/>
      <family val="2"/>
      <scheme val="minor"/>
    </font>
    <font>
      <sz val="11"/>
      <color indexed="8"/>
      <name val="Calibri"/>
      <family val="2"/>
    </font>
    <font>
      <b/>
      <sz val="11"/>
      <color theme="0"/>
      <name val="Calibri"/>
      <family val="2"/>
    </font>
    <font>
      <b/>
      <sz val="11"/>
      <color theme="0"/>
      <name val="Arial"/>
      <family val="2"/>
    </font>
    <font>
      <sz val="11"/>
      <color theme="4" tint="-0.249977111117893"/>
      <name val="Calibri"/>
      <family val="2"/>
      <scheme val="minor"/>
    </font>
    <font>
      <i/>
      <sz val="11"/>
      <color theme="0" tint="-0.499984740745262"/>
      <name val="Calibri"/>
      <family val="2"/>
      <scheme val="minor"/>
    </font>
    <font>
      <sz val="11"/>
      <color rgb="FF30BEBA"/>
      <name val="Calibri"/>
      <family val="2"/>
      <scheme val="minor"/>
    </font>
    <font>
      <b/>
      <sz val="22"/>
      <color rgb="FF30BEBA"/>
      <name val="Calibri"/>
      <family val="2"/>
      <scheme val="minor"/>
    </font>
    <font>
      <sz val="11"/>
      <color rgb="FF115E6E"/>
      <name val="Calibri"/>
      <family val="2"/>
      <scheme val="minor"/>
    </font>
    <font>
      <b/>
      <sz val="11"/>
      <color rgb="FF115E6E"/>
      <name val="Calibri"/>
      <family val="2"/>
      <scheme val="minor"/>
    </font>
    <font>
      <b/>
      <sz val="12"/>
      <color rgb="FF115E6E"/>
      <name val="Calibri"/>
      <family val="2"/>
      <scheme val="minor"/>
    </font>
    <font>
      <b/>
      <sz val="16"/>
      <color rgb="FF115E6E"/>
      <name val="Calibri"/>
      <family val="2"/>
      <scheme val="minor"/>
    </font>
    <font>
      <sz val="16"/>
      <color rgb="FF115E6E"/>
      <name val="Calibri"/>
      <family val="2"/>
      <scheme val="minor"/>
    </font>
    <font>
      <i/>
      <sz val="11"/>
      <color theme="0" tint="-0.34998626667073579"/>
      <name val="Calibri"/>
      <family val="2"/>
      <scheme val="minor"/>
    </font>
    <font>
      <b/>
      <sz val="18"/>
      <color rgb="FF115E6E"/>
      <name val="Calibri"/>
      <family val="2"/>
      <scheme val="minor"/>
    </font>
  </fonts>
  <fills count="11">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theme="0" tint="-0.14999847407452621"/>
        <bgColor indexed="64"/>
      </patternFill>
    </fill>
    <fill>
      <patternFill patternType="solid">
        <fgColor rgb="FF30BEBA"/>
        <bgColor indexed="64"/>
      </patternFill>
    </fill>
    <fill>
      <patternFill patternType="solid">
        <fgColor rgb="FF115E6E"/>
        <bgColor indexed="64"/>
      </patternFill>
    </fill>
    <fill>
      <patternFill patternType="solid">
        <fgColor rgb="FFCEF2F1"/>
        <bgColor indexed="64"/>
      </patternFill>
    </fill>
  </fills>
  <borders count="33">
    <border>
      <left/>
      <right/>
      <top/>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top style="dotted">
        <color rgb="FF002060"/>
      </top>
      <bottom style="dotted">
        <color rgb="FF002060"/>
      </bottom>
      <diagonal/>
    </border>
    <border>
      <left/>
      <right/>
      <top style="dotted">
        <color auto="1"/>
      </top>
      <bottom/>
      <diagonal/>
    </border>
    <border>
      <left/>
      <right/>
      <top/>
      <bottom style="dotted">
        <color auto="1"/>
      </bottom>
      <diagonal/>
    </border>
    <border>
      <left/>
      <right/>
      <top/>
      <bottom style="medium">
        <color indexed="64"/>
      </bottom>
      <diagonal/>
    </border>
    <border>
      <left/>
      <right/>
      <top style="medium">
        <color indexed="64"/>
      </top>
      <bottom style="thin">
        <color auto="1"/>
      </bottom>
      <diagonal/>
    </border>
    <border>
      <left/>
      <right/>
      <top style="thin">
        <color auto="1"/>
      </top>
      <bottom/>
      <diagonal/>
    </border>
    <border>
      <left/>
      <right/>
      <top/>
      <bottom style="thin">
        <color auto="1"/>
      </bottom>
      <diagonal/>
    </border>
    <border>
      <left/>
      <right/>
      <top style="dashed">
        <color auto="1"/>
      </top>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style="thick">
        <color auto="1"/>
      </bottom>
      <diagonal/>
    </border>
    <border>
      <left/>
      <right/>
      <top/>
      <bottom style="thick">
        <color auto="1"/>
      </bottom>
      <diagonal/>
    </border>
    <border>
      <left/>
      <right/>
      <top style="thick">
        <color auto="1"/>
      </top>
      <bottom/>
      <diagonal/>
    </border>
    <border>
      <left style="thin">
        <color indexed="64"/>
      </left>
      <right style="thin">
        <color indexed="64"/>
      </right>
      <top/>
      <bottom/>
      <diagonal/>
    </border>
    <border>
      <left/>
      <right/>
      <top/>
      <bottom style="thin">
        <color theme="0"/>
      </bottom>
      <diagonal/>
    </border>
    <border>
      <left/>
      <right/>
      <top/>
      <bottom style="thin">
        <color theme="8" tint="-0.24994659260841701"/>
      </bottom>
      <diagonal/>
    </border>
    <border>
      <left/>
      <right/>
      <top style="hair">
        <color theme="8" tint="-0.499984740745262"/>
      </top>
      <bottom style="hair">
        <color theme="8" tint="-0.499984740745262"/>
      </bottom>
      <diagonal/>
    </border>
    <border>
      <left/>
      <right/>
      <top style="thin">
        <color theme="8" tint="-0.499984740745262"/>
      </top>
      <bottom style="thin">
        <color theme="8" tint="-0.499984740745262"/>
      </bottom>
      <diagonal/>
    </border>
    <border>
      <left/>
      <right/>
      <top style="hair">
        <color theme="8" tint="-0.24994659260841701"/>
      </top>
      <bottom style="hair">
        <color theme="8" tint="-0.24994659260841701"/>
      </bottom>
      <diagonal/>
    </border>
    <border>
      <left/>
      <right/>
      <top style="dotted">
        <color auto="1"/>
      </top>
      <bottom style="dotted">
        <color auto="1"/>
      </bottom>
      <diagonal/>
    </border>
    <border>
      <left/>
      <right/>
      <top style="medium">
        <color rgb="FF115E6E"/>
      </top>
      <bottom/>
      <diagonal/>
    </border>
    <border>
      <left/>
      <right/>
      <top/>
      <bottom style="mediumDashDot">
        <color rgb="FF115E6E"/>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2" borderId="0" applyNumberFormat="0" applyBorder="0" applyAlignment="0" applyProtection="0"/>
    <xf numFmtId="0" fontId="5" fillId="0" borderId="0" applyNumberFormat="0" applyFill="0" applyBorder="0" applyAlignment="0" applyProtection="0">
      <alignment vertical="top"/>
      <protection locked="0"/>
    </xf>
  </cellStyleXfs>
  <cellXfs count="364">
    <xf numFmtId="0" fontId="0" fillId="0" borderId="0" xfId="0"/>
    <xf numFmtId="43" fontId="3" fillId="0" borderId="0" xfId="1" applyFont="1" applyBorder="1"/>
    <xf numFmtId="43" fontId="0" fillId="0" borderId="0" xfId="1" applyFont="1" applyBorder="1"/>
    <xf numFmtId="165" fontId="2" fillId="3" borderId="0" xfId="1" applyNumberFormat="1" applyFont="1" applyFill="1" applyBorder="1"/>
    <xf numFmtId="165" fontId="2" fillId="3" borderId="0" xfId="0" applyNumberFormat="1" applyFont="1" applyFill="1" applyBorder="1" applyAlignment="1">
      <alignment horizontal="center"/>
    </xf>
    <xf numFmtId="165" fontId="6" fillId="0" borderId="0" xfId="1" applyNumberFormat="1" applyFont="1" applyFill="1" applyBorder="1"/>
    <xf numFmtId="43" fontId="1" fillId="0" borderId="0" xfId="1" applyFont="1" applyBorder="1"/>
    <xf numFmtId="43" fontId="0" fillId="0" borderId="0" xfId="1" applyNumberFormat="1" applyFont="1" applyBorder="1"/>
    <xf numFmtId="0" fontId="0" fillId="0" borderId="0" xfId="0" applyBorder="1"/>
    <xf numFmtId="0" fontId="0" fillId="0" borderId="0" xfId="0" applyAlignment="1">
      <alignment horizontal="left"/>
    </xf>
    <xf numFmtId="0" fontId="3" fillId="0" borderId="0" xfId="0" applyFont="1"/>
    <xf numFmtId="0" fontId="0" fillId="0" borderId="1" xfId="0" applyBorder="1"/>
    <xf numFmtId="0" fontId="2" fillId="4" borderId="0" xfId="0" applyFont="1" applyFill="1" applyAlignment="1"/>
    <xf numFmtId="0" fontId="7" fillId="4" borderId="0" xfId="0" applyFont="1" applyFill="1" applyAlignment="1"/>
    <xf numFmtId="0" fontId="0" fillId="4" borderId="0" xfId="0" applyFill="1"/>
    <xf numFmtId="0" fontId="0" fillId="0" borderId="4" xfId="0" applyBorder="1"/>
    <xf numFmtId="0" fontId="0" fillId="0" borderId="5" xfId="0" applyBorder="1"/>
    <xf numFmtId="0" fontId="3" fillId="0" borderId="4" xfId="0" applyFont="1" applyBorder="1" applyAlignment="1">
      <alignment horizontal="left"/>
    </xf>
    <xf numFmtId="0" fontId="3" fillId="0" borderId="5" xfId="0" applyFont="1" applyBorder="1" applyAlignment="1">
      <alignment horizontal="left"/>
    </xf>
    <xf numFmtId="0" fontId="0" fillId="0" borderId="5" xfId="0" applyBorder="1" applyAlignment="1">
      <alignment horizontal="left"/>
    </xf>
    <xf numFmtId="0" fontId="3" fillId="0" borderId="4" xfId="0" applyFont="1" applyBorder="1"/>
    <xf numFmtId="166" fontId="8" fillId="0" borderId="5" xfId="0" applyNumberFormat="1" applyFont="1" applyBorder="1" applyAlignment="1">
      <alignment horizontal="left"/>
    </xf>
    <xf numFmtId="0" fontId="0" fillId="0" borderId="8" xfId="0" applyBorder="1"/>
    <xf numFmtId="0" fontId="0" fillId="0" borderId="9" xfId="0" applyBorder="1" applyAlignment="1">
      <alignment horizontal="left"/>
    </xf>
    <xf numFmtId="167" fontId="0" fillId="0" borderId="0" xfId="0" applyNumberFormat="1"/>
    <xf numFmtId="10" fontId="0" fillId="0" borderId="0" xfId="2" applyNumberFormat="1" applyFont="1"/>
    <xf numFmtId="0" fontId="9" fillId="0" borderId="0" xfId="0" applyFont="1"/>
    <xf numFmtId="10" fontId="9" fillId="0" borderId="0" xfId="2" applyNumberFormat="1" applyFont="1"/>
    <xf numFmtId="167" fontId="0" fillId="0" borderId="0" xfId="0" applyNumberFormat="1" applyBorder="1"/>
    <xf numFmtId="10" fontId="1" fillId="0" borderId="0" xfId="2" applyNumberFormat="1" applyFont="1"/>
    <xf numFmtId="167" fontId="0" fillId="0" borderId="0" xfId="0" applyNumberFormat="1" applyFont="1" applyBorder="1"/>
    <xf numFmtId="167" fontId="3" fillId="0" borderId="0" xfId="0" applyNumberFormat="1" applyFont="1" applyBorder="1"/>
    <xf numFmtId="0" fontId="0" fillId="0" borderId="0" xfId="0" applyFont="1"/>
    <xf numFmtId="0" fontId="10" fillId="6" borderId="0" xfId="0" applyFont="1" applyFill="1" applyAlignment="1">
      <alignment horizontal="left" vertical="center"/>
    </xf>
    <xf numFmtId="0" fontId="10" fillId="5" borderId="0" xfId="0" applyFont="1" applyFill="1" applyAlignment="1">
      <alignment horizontal="left" vertical="center"/>
    </xf>
    <xf numFmtId="0" fontId="3" fillId="7" borderId="0" xfId="0" applyFont="1" applyFill="1"/>
    <xf numFmtId="167" fontId="3" fillId="7" borderId="0" xfId="0" applyNumberFormat="1" applyFont="1" applyFill="1" applyBorder="1"/>
    <xf numFmtId="167" fontId="3" fillId="7" borderId="0" xfId="0" applyNumberFormat="1" applyFont="1" applyFill="1"/>
    <xf numFmtId="0" fontId="11" fillId="7" borderId="0" xfId="0" applyFont="1" applyFill="1" applyAlignment="1">
      <alignment horizontal="left" vertical="center"/>
    </xf>
    <xf numFmtId="43" fontId="3" fillId="7" borderId="0" xfId="1" applyFont="1" applyFill="1" applyBorder="1"/>
    <xf numFmtId="0" fontId="0" fillId="0" borderId="10" xfId="0" applyBorder="1"/>
    <xf numFmtId="167" fontId="0" fillId="0" borderId="10" xfId="0" applyNumberFormat="1" applyBorder="1"/>
    <xf numFmtId="0" fontId="0" fillId="0" borderId="0" xfId="0" applyAlignment="1">
      <alignment horizontal="right"/>
    </xf>
    <xf numFmtId="0" fontId="0" fillId="0" borderId="0" xfId="0" applyBorder="1" applyAlignment="1">
      <alignment horizontal="right"/>
    </xf>
    <xf numFmtId="10" fontId="0" fillId="0" borderId="0" xfId="2" applyNumberFormat="1" applyFont="1" applyBorder="1"/>
    <xf numFmtId="10" fontId="0" fillId="0" borderId="0" xfId="2" applyNumberFormat="1" applyFont="1" applyBorder="1" applyAlignment="1">
      <alignment horizontal="right"/>
    </xf>
    <xf numFmtId="0" fontId="0" fillId="0" borderId="11" xfId="0" applyBorder="1"/>
    <xf numFmtId="0" fontId="0" fillId="0" borderId="11" xfId="0" applyBorder="1" applyAlignment="1">
      <alignment horizontal="right"/>
    </xf>
    <xf numFmtId="10" fontId="0" fillId="0" borderId="11" xfId="2" applyNumberFormat="1" applyFont="1" applyBorder="1"/>
    <xf numFmtId="0" fontId="0" fillId="0" borderId="12" xfId="0" applyBorder="1"/>
    <xf numFmtId="0" fontId="0" fillId="0" borderId="12" xfId="0" applyBorder="1" applyAlignment="1">
      <alignment horizontal="right"/>
    </xf>
    <xf numFmtId="10" fontId="0" fillId="0" borderId="12" xfId="2" applyNumberFormat="1" applyFont="1" applyBorder="1"/>
    <xf numFmtId="10" fontId="0" fillId="0" borderId="12" xfId="2" applyNumberFormat="1" applyFont="1" applyBorder="1" applyAlignment="1">
      <alignment horizontal="right"/>
    </xf>
    <xf numFmtId="10" fontId="0" fillId="0" borderId="11" xfId="2" applyNumberFormat="1" applyFont="1" applyBorder="1" applyAlignment="1">
      <alignment horizontal="right"/>
    </xf>
    <xf numFmtId="10" fontId="0" fillId="0" borderId="12" xfId="0" applyNumberFormat="1" applyBorder="1" applyAlignment="1">
      <alignment horizontal="right"/>
    </xf>
    <xf numFmtId="10" fontId="0" fillId="0" borderId="0" xfId="0" applyNumberFormat="1" applyBorder="1" applyAlignment="1">
      <alignment horizontal="right"/>
    </xf>
    <xf numFmtId="168" fontId="0" fillId="0" borderId="12" xfId="0" applyNumberFormat="1" applyBorder="1" applyAlignment="1">
      <alignment horizontal="right"/>
    </xf>
    <xf numFmtId="168" fontId="0" fillId="0" borderId="11" xfId="0" applyNumberFormat="1" applyBorder="1" applyAlignment="1">
      <alignment horizontal="right"/>
    </xf>
    <xf numFmtId="168" fontId="0" fillId="0" borderId="0" xfId="0" applyNumberFormat="1" applyBorder="1" applyAlignment="1">
      <alignment horizontal="right"/>
    </xf>
    <xf numFmtId="0" fontId="12" fillId="0" borderId="0" xfId="0" applyFont="1"/>
    <xf numFmtId="169" fontId="0" fillId="0" borderId="11" xfId="0" applyNumberFormat="1" applyBorder="1"/>
    <xf numFmtId="169" fontId="0" fillId="0" borderId="0" xfId="0" applyNumberFormat="1" applyBorder="1"/>
    <xf numFmtId="169" fontId="0" fillId="0" borderId="12" xfId="0" applyNumberFormat="1" applyBorder="1"/>
    <xf numFmtId="10" fontId="0" fillId="0" borderId="0" xfId="0" applyNumberFormat="1"/>
    <xf numFmtId="10" fontId="0" fillId="0" borderId="11" xfId="0" applyNumberFormat="1" applyBorder="1"/>
    <xf numFmtId="10" fontId="0" fillId="0" borderId="0" xfId="0" applyNumberFormat="1" applyBorder="1"/>
    <xf numFmtId="10" fontId="0" fillId="0" borderId="12" xfId="0" applyNumberFormat="1" applyBorder="1"/>
    <xf numFmtId="168" fontId="0" fillId="0" borderId="12" xfId="2" applyNumberFormat="1" applyFont="1" applyBorder="1"/>
    <xf numFmtId="168" fontId="0" fillId="0" borderId="12" xfId="0" applyNumberFormat="1" applyBorder="1"/>
    <xf numFmtId="168" fontId="0" fillId="0" borderId="11" xfId="0" applyNumberFormat="1" applyBorder="1"/>
    <xf numFmtId="168" fontId="0" fillId="0" borderId="0" xfId="0" applyNumberFormat="1" applyBorder="1"/>
    <xf numFmtId="43" fontId="3" fillId="0" borderId="1" xfId="1" applyFont="1" applyBorder="1"/>
    <xf numFmtId="167" fontId="0" fillId="0" borderId="1" xfId="0" applyNumberFormat="1" applyFont="1" applyBorder="1"/>
    <xf numFmtId="43" fontId="3" fillId="0" borderId="1" xfId="1" applyFont="1" applyFill="1" applyBorder="1"/>
    <xf numFmtId="167" fontId="3" fillId="0" borderId="1" xfId="0" applyNumberFormat="1" applyFont="1" applyBorder="1"/>
    <xf numFmtId="0" fontId="11" fillId="5" borderId="1" xfId="0" applyFont="1" applyFill="1" applyBorder="1" applyAlignment="1">
      <alignment horizontal="left" vertical="center"/>
    </xf>
    <xf numFmtId="2" fontId="0" fillId="0" borderId="0" xfId="0" applyNumberFormat="1"/>
    <xf numFmtId="0" fontId="0" fillId="0" borderId="0" xfId="0" applyFill="1" applyBorder="1" applyAlignment="1"/>
    <xf numFmtId="0" fontId="0" fillId="0" borderId="13" xfId="0" applyFill="1" applyBorder="1" applyAlignment="1"/>
    <xf numFmtId="0" fontId="13" fillId="0" borderId="14" xfId="0" applyFont="1" applyFill="1" applyBorder="1" applyAlignment="1">
      <alignment horizontal="center"/>
    </xf>
    <xf numFmtId="0" fontId="13" fillId="0" borderId="14" xfId="0" applyFont="1" applyFill="1" applyBorder="1" applyAlignment="1">
      <alignment horizontal="centerContinuous"/>
    </xf>
    <xf numFmtId="170" fontId="8" fillId="0" borderId="0" xfId="0" applyNumberFormat="1" applyFont="1"/>
    <xf numFmtId="171" fontId="0" fillId="0" borderId="0" xfId="0" applyNumberFormat="1"/>
    <xf numFmtId="0" fontId="0" fillId="7" borderId="0" xfId="0" applyFill="1" applyAlignment="1">
      <alignment horizontal="left"/>
    </xf>
    <xf numFmtId="172" fontId="0" fillId="7" borderId="0" xfId="0" applyNumberFormat="1" applyFill="1"/>
    <xf numFmtId="170" fontId="0" fillId="7" borderId="0" xfId="0" applyNumberFormat="1" applyFill="1"/>
    <xf numFmtId="10" fontId="0" fillId="7" borderId="0" xfId="2" applyNumberFormat="1" applyFont="1" applyFill="1"/>
    <xf numFmtId="0" fontId="2" fillId="4" borderId="0" xfId="0" applyFont="1" applyFill="1" applyAlignment="1">
      <alignment horizontal="center"/>
    </xf>
    <xf numFmtId="0" fontId="14" fillId="0" borderId="0" xfId="0" applyFont="1"/>
    <xf numFmtId="0" fontId="13" fillId="0" borderId="0" xfId="0" applyFont="1"/>
    <xf numFmtId="0" fontId="0" fillId="0" borderId="15" xfId="0" applyBorder="1"/>
    <xf numFmtId="0" fontId="0" fillId="0" borderId="16" xfId="0" applyBorder="1"/>
    <xf numFmtId="0" fontId="16" fillId="0" borderId="0" xfId="0" applyFont="1" applyAlignment="1">
      <alignment wrapText="1"/>
    </xf>
    <xf numFmtId="2" fontId="16" fillId="0" borderId="0" xfId="0" applyNumberFormat="1" applyFont="1"/>
    <xf numFmtId="0" fontId="3" fillId="0" borderId="15" xfId="0" applyFont="1" applyBorder="1"/>
    <xf numFmtId="10" fontId="0" fillId="0" borderId="15" xfId="0" applyNumberFormat="1" applyBorder="1"/>
    <xf numFmtId="10" fontId="0" fillId="0" borderId="15" xfId="2" applyNumberFormat="1" applyFont="1" applyBorder="1"/>
    <xf numFmtId="2" fontId="0" fillId="0" borderId="15" xfId="0" applyNumberFormat="1" applyBorder="1"/>
    <xf numFmtId="0" fontId="3" fillId="0" borderId="16" xfId="0" applyFont="1" applyBorder="1"/>
    <xf numFmtId="10" fontId="0" fillId="0" borderId="16" xfId="0" applyNumberFormat="1" applyBorder="1"/>
    <xf numFmtId="10" fontId="0" fillId="0" borderId="16" xfId="2" applyNumberFormat="1" applyFont="1" applyBorder="1"/>
    <xf numFmtId="2" fontId="0" fillId="0" borderId="16" xfId="0" applyNumberFormat="1" applyBorder="1"/>
    <xf numFmtId="0" fontId="3" fillId="4" borderId="16" xfId="0" applyFont="1" applyFill="1" applyBorder="1"/>
    <xf numFmtId="0" fontId="0" fillId="4" borderId="16" xfId="0" applyFill="1" applyBorder="1"/>
    <xf numFmtId="10" fontId="16" fillId="4" borderId="0" xfId="0" applyNumberFormat="1" applyFont="1" applyFill="1"/>
    <xf numFmtId="2" fontId="0" fillId="4" borderId="0" xfId="0" applyNumberFormat="1" applyFill="1"/>
    <xf numFmtId="0" fontId="0" fillId="4" borderId="11" xfId="0" applyFill="1" applyBorder="1"/>
    <xf numFmtId="10" fontId="0" fillId="4" borderId="11" xfId="0" applyNumberFormat="1" applyFill="1" applyBorder="1"/>
    <xf numFmtId="0" fontId="3" fillId="0" borderId="16" xfId="0" applyFont="1" applyBorder="1" applyAlignment="1">
      <alignment horizontal="right" indent="1"/>
    </xf>
    <xf numFmtId="10" fontId="0" fillId="4" borderId="0" xfId="0" applyNumberFormat="1" applyFill="1"/>
    <xf numFmtId="0" fontId="0" fillId="4" borderId="17" xfId="0" applyFill="1" applyBorder="1"/>
    <xf numFmtId="2" fontId="0" fillId="4" borderId="17" xfId="0" applyNumberFormat="1" applyFill="1" applyBorder="1"/>
    <xf numFmtId="0" fontId="0" fillId="4" borderId="1" xfId="0" applyFill="1" applyBorder="1"/>
    <xf numFmtId="0" fontId="0" fillId="4" borderId="0" xfId="0" applyFill="1" applyBorder="1"/>
    <xf numFmtId="10" fontId="0" fillId="4" borderId="0" xfId="2" applyNumberFormat="1" applyFont="1" applyFill="1" applyBorder="1"/>
    <xf numFmtId="4" fontId="0" fillId="0" borderId="0" xfId="0" applyNumberFormat="1"/>
    <xf numFmtId="14" fontId="0" fillId="0" borderId="0" xfId="0" applyNumberFormat="1" applyAlignment="1">
      <alignment horizontal="left"/>
    </xf>
    <xf numFmtId="4" fontId="0" fillId="0" borderId="0" xfId="0" applyNumberFormat="1" applyAlignment="1">
      <alignment horizontal="right"/>
    </xf>
    <xf numFmtId="0" fontId="3" fillId="0" borderId="16" xfId="0" applyFont="1" applyBorder="1" applyAlignment="1">
      <alignment horizontal="center"/>
    </xf>
    <xf numFmtId="167" fontId="16" fillId="0" borderId="0" xfId="0" applyNumberFormat="1" applyFont="1"/>
    <xf numFmtId="2" fontId="0" fillId="0" borderId="0" xfId="0" applyNumberFormat="1" applyBorder="1"/>
    <xf numFmtId="0" fontId="3" fillId="0" borderId="15" xfId="0" applyFont="1" applyBorder="1" applyAlignment="1">
      <alignment vertical="center"/>
    </xf>
    <xf numFmtId="9" fontId="0" fillId="0" borderId="0" xfId="0" applyNumberFormat="1"/>
    <xf numFmtId="0" fontId="3" fillId="0" borderId="0" xfId="0" applyFont="1" applyBorder="1"/>
    <xf numFmtId="10" fontId="0" fillId="0" borderId="0" xfId="0" applyNumberFormat="1" applyFont="1" applyBorder="1"/>
    <xf numFmtId="0" fontId="18" fillId="0" borderId="0" xfId="0" applyNumberFormat="1" applyFont="1" applyFill="1" applyBorder="1" applyAlignment="1" applyProtection="1">
      <alignment horizontal="left" vertical="center"/>
    </xf>
    <xf numFmtId="10" fontId="18" fillId="0" borderId="0" xfId="2" applyNumberFormat="1" applyFont="1" applyFill="1" applyBorder="1" applyAlignment="1" applyProtection="1">
      <alignment vertical="center"/>
    </xf>
    <xf numFmtId="10" fontId="3" fillId="7" borderId="0" xfId="0" applyNumberFormat="1" applyFont="1" applyFill="1"/>
    <xf numFmtId="10" fontId="0" fillId="4" borderId="0" xfId="0" applyNumberFormat="1" applyFont="1" applyFill="1"/>
    <xf numFmtId="10" fontId="0" fillId="7" borderId="1" xfId="0" applyNumberFormat="1" applyFill="1" applyBorder="1"/>
    <xf numFmtId="10" fontId="0" fillId="7" borderId="1" xfId="2" applyNumberFormat="1" applyFont="1" applyFill="1" applyBorder="1"/>
    <xf numFmtId="0" fontId="0" fillId="0" borderId="0" xfId="0" applyBorder="1" applyAlignment="1">
      <alignment vertical="top" wrapText="1"/>
    </xf>
    <xf numFmtId="167" fontId="0" fillId="0" borderId="12" xfId="0" applyNumberFormat="1" applyFont="1" applyBorder="1" applyAlignment="1">
      <alignment horizontal="right" wrapText="1"/>
    </xf>
    <xf numFmtId="3" fontId="0" fillId="0" borderId="0" xfId="0" applyNumberFormat="1"/>
    <xf numFmtId="3" fontId="3" fillId="0" borderId="0" xfId="0" applyNumberFormat="1" applyFont="1"/>
    <xf numFmtId="0" fontId="3" fillId="0" borderId="1" xfId="0" applyFont="1" applyBorder="1"/>
    <xf numFmtId="0" fontId="3" fillId="0" borderId="18" xfId="0" applyFont="1" applyBorder="1"/>
    <xf numFmtId="0" fontId="0" fillId="0" borderId="18" xfId="0" applyBorder="1"/>
    <xf numFmtId="173" fontId="0" fillId="0" borderId="18" xfId="0" applyNumberFormat="1" applyBorder="1"/>
    <xf numFmtId="173" fontId="3" fillId="0" borderId="18" xfId="0" applyNumberFormat="1" applyFont="1" applyBorder="1"/>
    <xf numFmtId="173" fontId="0" fillId="0" borderId="0" xfId="0" applyNumberFormat="1"/>
    <xf numFmtId="173" fontId="0" fillId="0" borderId="19" xfId="0" applyNumberFormat="1" applyBorder="1"/>
    <xf numFmtId="173" fontId="3" fillId="0" borderId="20" xfId="0" applyNumberFormat="1" applyFont="1" applyBorder="1"/>
    <xf numFmtId="173" fontId="3" fillId="0" borderId="0" xfId="0" applyNumberFormat="1" applyFont="1" applyBorder="1"/>
    <xf numFmtId="173" fontId="0" fillId="0" borderId="0" xfId="0" applyNumberFormat="1" applyBorder="1"/>
    <xf numFmtId="173" fontId="3" fillId="0" borderId="15" xfId="0" applyNumberFormat="1" applyFont="1" applyBorder="1"/>
    <xf numFmtId="173" fontId="3" fillId="0" borderId="1" xfId="0" applyNumberFormat="1" applyFont="1" applyBorder="1"/>
    <xf numFmtId="173" fontId="0" fillId="0" borderId="1" xfId="0" applyNumberFormat="1" applyBorder="1"/>
    <xf numFmtId="0" fontId="3" fillId="0" borderId="0" xfId="0" applyFont="1" applyFill="1" applyBorder="1"/>
    <xf numFmtId="0" fontId="3" fillId="0" borderId="1" xfId="0" applyFont="1" applyFill="1" applyBorder="1"/>
    <xf numFmtId="0" fontId="0" fillId="0" borderId="1" xfId="0" applyFill="1" applyBorder="1"/>
    <xf numFmtId="0" fontId="3" fillId="0" borderId="21" xfId="0" applyFont="1" applyFill="1" applyBorder="1"/>
    <xf numFmtId="0" fontId="0" fillId="0" borderId="21" xfId="0" applyBorder="1"/>
    <xf numFmtId="0" fontId="3" fillId="0" borderId="21" xfId="0" applyFont="1" applyBorder="1"/>
    <xf numFmtId="0" fontId="0" fillId="0" borderId="0" xfId="0" applyFont="1" applyAlignment="1">
      <alignment horizontal="right"/>
    </xf>
    <xf numFmtId="10" fontId="3" fillId="0" borderId="21" xfId="2" applyNumberFormat="1" applyFont="1" applyBorder="1"/>
    <xf numFmtId="0" fontId="0" fillId="6" borderId="0" xfId="0" applyFont="1" applyFill="1" applyAlignment="1">
      <alignment horizontal="left" vertical="center"/>
    </xf>
    <xf numFmtId="0" fontId="0" fillId="5" borderId="0" xfId="0" applyFont="1" applyFill="1" applyAlignment="1">
      <alignment horizontal="left" vertical="center"/>
    </xf>
    <xf numFmtId="0" fontId="0" fillId="6" borderId="0" xfId="0" applyFont="1" applyFill="1" applyAlignment="1">
      <alignment horizontal="left" vertical="center" indent="1"/>
    </xf>
    <xf numFmtId="0" fontId="0" fillId="6" borderId="0" xfId="0" applyFont="1" applyFill="1" applyBorder="1" applyAlignment="1">
      <alignment horizontal="left" vertical="center"/>
    </xf>
    <xf numFmtId="0" fontId="0" fillId="6" borderId="18" xfId="0" applyFont="1" applyFill="1" applyBorder="1" applyAlignment="1">
      <alignment horizontal="left" vertical="center" indent="1"/>
    </xf>
    <xf numFmtId="0" fontId="0" fillId="5" borderId="0" xfId="0" applyFont="1" applyFill="1" applyBorder="1" applyAlignment="1">
      <alignment horizontal="left" vertical="center" indent="1"/>
    </xf>
    <xf numFmtId="0" fontId="0" fillId="6" borderId="19" xfId="0" applyFont="1" applyFill="1" applyBorder="1" applyAlignment="1">
      <alignment horizontal="left" vertical="center"/>
    </xf>
    <xf numFmtId="0" fontId="0" fillId="6" borderId="20" xfId="0" applyFont="1" applyFill="1" applyBorder="1" applyAlignment="1">
      <alignment horizontal="left" vertical="center"/>
    </xf>
    <xf numFmtId="0" fontId="0" fillId="6" borderId="19" xfId="0" applyFont="1" applyFill="1" applyBorder="1" applyAlignment="1">
      <alignment horizontal="left" vertical="center" indent="1"/>
    </xf>
    <xf numFmtId="173" fontId="0" fillId="6" borderId="18" xfId="0" applyNumberFormat="1" applyFont="1" applyFill="1" applyBorder="1" applyAlignment="1">
      <alignment horizontal="right" vertical="center" wrapText="1"/>
    </xf>
    <xf numFmtId="173" fontId="0" fillId="6" borderId="0" xfId="0" applyNumberFormat="1" applyFont="1" applyFill="1" applyBorder="1" applyAlignment="1">
      <alignment horizontal="right" vertical="center" wrapText="1"/>
    </xf>
    <xf numFmtId="173" fontId="0" fillId="6" borderId="0" xfId="0" applyNumberFormat="1" applyFont="1" applyFill="1" applyAlignment="1">
      <alignment horizontal="right" vertical="center" wrapText="1"/>
    </xf>
    <xf numFmtId="173" fontId="0" fillId="6" borderId="19" xfId="0" applyNumberFormat="1" applyFont="1" applyFill="1" applyBorder="1" applyAlignment="1">
      <alignment horizontal="right" vertical="center" wrapText="1"/>
    </xf>
    <xf numFmtId="173" fontId="0" fillId="6" borderId="20" xfId="0" applyNumberFormat="1" applyFont="1" applyFill="1" applyBorder="1" applyAlignment="1">
      <alignment horizontal="right" vertical="center" wrapText="1"/>
    </xf>
    <xf numFmtId="173" fontId="0" fillId="5" borderId="0" xfId="0" applyNumberFormat="1" applyFont="1" applyFill="1" applyBorder="1" applyAlignment="1">
      <alignment horizontal="right" vertical="center" wrapText="1"/>
    </xf>
    <xf numFmtId="173" fontId="0" fillId="5" borderId="0" xfId="0" applyNumberFormat="1" applyFont="1" applyFill="1" applyAlignment="1">
      <alignment horizontal="right" vertical="center" wrapText="1"/>
    </xf>
    <xf numFmtId="174" fontId="0" fillId="0" borderId="18" xfId="0" applyNumberFormat="1" applyBorder="1"/>
    <xf numFmtId="174" fontId="3" fillId="0" borderId="0" xfId="0" applyNumberFormat="1" applyFont="1"/>
    <xf numFmtId="174" fontId="0" fillId="0" borderId="0" xfId="0" applyNumberFormat="1" applyBorder="1"/>
    <xf numFmtId="174" fontId="0" fillId="0" borderId="16" xfId="0" applyNumberFormat="1" applyBorder="1"/>
    <xf numFmtId="174" fontId="0" fillId="0" borderId="1" xfId="0" applyNumberFormat="1" applyBorder="1"/>
    <xf numFmtId="174" fontId="0" fillId="0" borderId="0" xfId="0" applyNumberFormat="1"/>
    <xf numFmtId="174" fontId="3" fillId="0" borderId="1" xfId="0" applyNumberFormat="1" applyFont="1" applyBorder="1"/>
    <xf numFmtId="174" fontId="3" fillId="0" borderId="21" xfId="0" applyNumberFormat="1" applyFont="1" applyBorder="1"/>
    <xf numFmtId="175" fontId="0" fillId="0" borderId="1" xfId="0" applyNumberFormat="1" applyBorder="1"/>
    <xf numFmtId="10" fontId="21" fillId="0" borderId="1" xfId="0" applyNumberFormat="1" applyFont="1" applyBorder="1"/>
    <xf numFmtId="10" fontId="0" fillId="0" borderId="1" xfId="0" applyNumberFormat="1" applyBorder="1"/>
    <xf numFmtId="10" fontId="3" fillId="0" borderId="21" xfId="0" applyNumberFormat="1" applyFont="1" applyBorder="1"/>
    <xf numFmtId="0" fontId="0" fillId="7" borderId="0" xfId="0" applyFill="1"/>
    <xf numFmtId="10" fontId="3" fillId="0" borderId="0" xfId="2" applyNumberFormat="1" applyFont="1" applyBorder="1"/>
    <xf numFmtId="0" fontId="3" fillId="0" borderId="22" xfId="0" applyFont="1" applyBorder="1"/>
    <xf numFmtId="2" fontId="0" fillId="0" borderId="1" xfId="0" applyNumberFormat="1" applyBorder="1"/>
    <xf numFmtId="43" fontId="3" fillId="0" borderId="22" xfId="0" applyNumberFormat="1" applyFont="1" applyBorder="1"/>
    <xf numFmtId="43" fontId="0" fillId="0" borderId="1" xfId="0" applyNumberFormat="1" applyBorder="1"/>
    <xf numFmtId="0" fontId="0" fillId="7" borderId="0" xfId="0" applyFill="1" applyAlignment="1">
      <alignment horizontal="center"/>
    </xf>
    <xf numFmtId="0" fontId="0" fillId="0" borderId="0" xfId="0" applyAlignment="1">
      <alignment horizontal="center"/>
    </xf>
    <xf numFmtId="174" fontId="0" fillId="7" borderId="1" xfId="0" applyNumberFormat="1" applyFill="1" applyBorder="1" applyAlignment="1">
      <alignment horizontal="center"/>
    </xf>
    <xf numFmtId="174" fontId="0" fillId="0" borderId="1" xfId="0" applyNumberFormat="1" applyBorder="1" applyAlignment="1">
      <alignment horizontal="center"/>
    </xf>
    <xf numFmtId="0" fontId="0" fillId="7" borderId="1" xfId="0" applyFill="1" applyBorder="1" applyAlignment="1">
      <alignment horizontal="center"/>
    </xf>
    <xf numFmtId="0" fontId="0" fillId="0" borderId="1" xfId="0" applyBorder="1" applyAlignment="1">
      <alignment horizontal="center"/>
    </xf>
    <xf numFmtId="10" fontId="8" fillId="7" borderId="1" xfId="0" applyNumberFormat="1" applyFont="1" applyFill="1" applyBorder="1" applyAlignment="1">
      <alignment horizontal="center"/>
    </xf>
    <xf numFmtId="2" fontId="0" fillId="7" borderId="1" xfId="0" applyNumberFormat="1" applyFill="1" applyBorder="1" applyAlignment="1">
      <alignment horizontal="center"/>
    </xf>
    <xf numFmtId="0" fontId="8" fillId="0" borderId="1" xfId="0" applyFont="1" applyBorder="1" applyAlignment="1">
      <alignment horizontal="center"/>
    </xf>
    <xf numFmtId="10" fontId="0" fillId="7" borderId="0" xfId="0" applyNumberFormat="1" applyFill="1" applyAlignment="1">
      <alignment horizontal="center"/>
    </xf>
    <xf numFmtId="10" fontId="8" fillId="7" borderId="0" xfId="0" applyNumberFormat="1" applyFont="1" applyFill="1" applyAlignment="1">
      <alignment horizontal="center"/>
    </xf>
    <xf numFmtId="10" fontId="0" fillId="7" borderId="1" xfId="2" applyNumberFormat="1" applyFont="1" applyFill="1" applyBorder="1" applyAlignment="1">
      <alignment horizontal="center"/>
    </xf>
    <xf numFmtId="10" fontId="0" fillId="0" borderId="1" xfId="2" applyNumberFormat="1" applyFont="1" applyBorder="1" applyAlignment="1">
      <alignment horizontal="center"/>
    </xf>
    <xf numFmtId="2" fontId="0" fillId="4" borderId="1" xfId="0" applyNumberFormat="1" applyFill="1" applyBorder="1" applyAlignment="1">
      <alignment horizontal="center"/>
    </xf>
    <xf numFmtId="10" fontId="8" fillId="4" borderId="1" xfId="0" applyNumberFormat="1" applyFont="1" applyFill="1" applyBorder="1" applyAlignment="1">
      <alignment horizontal="center"/>
    </xf>
    <xf numFmtId="0" fontId="0" fillId="4" borderId="1" xfId="0" applyFill="1" applyBorder="1" applyAlignment="1">
      <alignment horizontal="center"/>
    </xf>
    <xf numFmtId="174" fontId="0" fillId="4" borderId="1" xfId="0" applyNumberFormat="1" applyFill="1" applyBorder="1" applyAlignment="1">
      <alignment horizontal="center"/>
    </xf>
    <xf numFmtId="0" fontId="0" fillId="7" borderId="15" xfId="0" applyFill="1" applyBorder="1" applyAlignment="1">
      <alignment horizontal="center"/>
    </xf>
    <xf numFmtId="178" fontId="0" fillId="0" borderId="15" xfId="0" applyNumberFormat="1" applyBorder="1" applyAlignment="1">
      <alignment horizontal="center"/>
    </xf>
    <xf numFmtId="0" fontId="0" fillId="0" borderId="23" xfId="0" applyFill="1" applyBorder="1"/>
    <xf numFmtId="0" fontId="0" fillId="0" borderId="23" xfId="0" applyBorder="1"/>
    <xf numFmtId="0" fontId="0" fillId="7" borderId="23" xfId="0" applyFill="1" applyBorder="1" applyAlignment="1">
      <alignment horizontal="center"/>
    </xf>
    <xf numFmtId="2" fontId="0" fillId="0" borderId="23" xfId="0" applyNumberFormat="1" applyBorder="1" applyAlignment="1">
      <alignment horizontal="center"/>
    </xf>
    <xf numFmtId="179" fontId="3" fillId="7" borderId="0" xfId="2" applyNumberFormat="1" applyFont="1" applyFill="1"/>
    <xf numFmtId="15" fontId="0" fillId="0" borderId="24" xfId="0" applyNumberFormat="1" applyBorder="1"/>
    <xf numFmtId="10" fontId="0" fillId="0" borderId="24" xfId="0" applyNumberFormat="1" applyBorder="1"/>
    <xf numFmtId="2" fontId="0" fillId="0" borderId="24" xfId="0" applyNumberFormat="1" applyBorder="1"/>
    <xf numFmtId="10" fontId="8" fillId="0" borderId="24" xfId="0" applyNumberFormat="1" applyFont="1" applyBorder="1"/>
    <xf numFmtId="0" fontId="0" fillId="0" borderId="24" xfId="0" applyBorder="1"/>
    <xf numFmtId="43" fontId="0" fillId="0" borderId="24" xfId="0" applyNumberFormat="1" applyBorder="1"/>
    <xf numFmtId="43" fontId="3" fillId="7" borderId="24" xfId="0" applyNumberFormat="1" applyFont="1" applyFill="1" applyBorder="1"/>
    <xf numFmtId="0" fontId="3" fillId="7" borderId="24" xfId="0" applyFont="1" applyFill="1" applyBorder="1"/>
    <xf numFmtId="10" fontId="0" fillId="0" borderId="24" xfId="0" applyNumberFormat="1" applyFont="1" applyBorder="1"/>
    <xf numFmtId="0" fontId="0" fillId="0" borderId="0" xfId="0" applyAlignment="1">
      <alignment wrapText="1"/>
    </xf>
    <xf numFmtId="0" fontId="0" fillId="0" borderId="0" xfId="0" applyBorder="1" applyAlignment="1">
      <alignment wrapText="1"/>
    </xf>
    <xf numFmtId="0" fontId="3" fillId="0" borderId="1" xfId="0" applyFont="1" applyBorder="1" applyAlignment="1">
      <alignment horizontal="left"/>
    </xf>
    <xf numFmtId="0" fontId="0" fillId="0" borderId="1" xfId="0" applyBorder="1" applyAlignment="1">
      <alignment horizontal="left"/>
    </xf>
    <xf numFmtId="2" fontId="0" fillId="0" borderId="0" xfId="0" applyNumberFormat="1" applyAlignment="1">
      <alignment horizontal="right"/>
    </xf>
    <xf numFmtId="0" fontId="0" fillId="0" borderId="27" xfId="0" applyBorder="1"/>
    <xf numFmtId="3" fontId="0" fillId="0" borderId="27" xfId="0" applyNumberFormat="1" applyBorder="1"/>
    <xf numFmtId="4" fontId="0" fillId="0" borderId="27" xfId="0" applyNumberFormat="1" applyBorder="1"/>
    <xf numFmtId="3" fontId="0" fillId="0" borderId="27" xfId="0" applyNumberFormat="1" applyBorder="1" applyAlignment="1">
      <alignment wrapText="1"/>
    </xf>
    <xf numFmtId="0" fontId="0" fillId="7" borderId="0" xfId="0" applyFill="1" applyBorder="1" applyAlignment="1">
      <alignment wrapText="1"/>
    </xf>
    <xf numFmtId="181" fontId="0" fillId="0" borderId="27" xfId="0" applyNumberFormat="1" applyBorder="1"/>
    <xf numFmtId="0" fontId="0" fillId="0" borderId="28" xfId="0" applyBorder="1"/>
    <xf numFmtId="0" fontId="0" fillId="0" borderId="28" xfId="0" applyBorder="1" applyAlignment="1">
      <alignment wrapText="1"/>
    </xf>
    <xf numFmtId="4" fontId="0" fillId="0" borderId="28" xfId="0" applyNumberFormat="1" applyBorder="1"/>
    <xf numFmtId="0" fontId="3" fillId="7" borderId="1" xfId="0" applyFont="1" applyFill="1" applyBorder="1"/>
    <xf numFmtId="0" fontId="3" fillId="7" borderId="1" xfId="0" applyFont="1" applyFill="1" applyBorder="1" applyAlignment="1">
      <alignment wrapText="1"/>
    </xf>
    <xf numFmtId="4" fontId="3" fillId="7" borderId="1" xfId="0" applyNumberFormat="1" applyFont="1" applyFill="1" applyBorder="1"/>
    <xf numFmtId="0" fontId="22" fillId="0" borderId="0" xfId="0" applyFont="1"/>
    <xf numFmtId="0" fontId="3" fillId="0" borderId="1" xfId="0" applyFont="1" applyBorder="1" applyAlignment="1">
      <alignment horizontal="center"/>
    </xf>
    <xf numFmtId="2" fontId="0" fillId="0" borderId="1" xfId="0" applyNumberFormat="1" applyBorder="1" applyAlignment="1">
      <alignment horizontal="center"/>
    </xf>
    <xf numFmtId="0" fontId="22" fillId="0" borderId="0" xfId="0" applyFont="1" applyBorder="1"/>
    <xf numFmtId="2" fontId="3" fillId="0" borderId="1" xfId="0" applyNumberFormat="1" applyFont="1" applyBorder="1"/>
    <xf numFmtId="0" fontId="0" fillId="0" borderId="0" xfId="0" applyAlignment="1">
      <alignment horizontal="left"/>
    </xf>
    <xf numFmtId="2" fontId="4" fillId="0" borderId="4" xfId="0" applyNumberFormat="1" applyFont="1" applyBorder="1" applyAlignment="1">
      <alignment horizontal="center"/>
    </xf>
    <xf numFmtId="10" fontId="3" fillId="0" borderId="0" xfId="0" applyNumberFormat="1" applyFont="1" applyBorder="1" applyAlignment="1">
      <alignment horizontal="center"/>
    </xf>
    <xf numFmtId="10" fontId="3" fillId="0" borderId="0" xfId="0" applyNumberFormat="1" applyFont="1" applyBorder="1"/>
    <xf numFmtId="10" fontId="3" fillId="0" borderId="5" xfId="0" applyNumberFormat="1" applyFont="1" applyBorder="1"/>
    <xf numFmtId="10" fontId="3" fillId="0" borderId="4" xfId="0" applyNumberFormat="1" applyFont="1" applyBorder="1" applyAlignment="1">
      <alignment horizontal="center"/>
    </xf>
    <xf numFmtId="180" fontId="0" fillId="0" borderId="0" xfId="0" applyNumberFormat="1" applyBorder="1" applyAlignment="1">
      <alignment horizontal="center"/>
    </xf>
    <xf numFmtId="180" fontId="0" fillId="0" borderId="0" xfId="0" applyNumberFormat="1" applyBorder="1"/>
    <xf numFmtId="180" fontId="0" fillId="0" borderId="5" xfId="0" applyNumberFormat="1" applyBorder="1"/>
    <xf numFmtId="180" fontId="0" fillId="7" borderId="0" xfId="0" applyNumberFormat="1" applyFill="1" applyBorder="1" applyAlignment="1">
      <alignment horizontal="center"/>
    </xf>
    <xf numFmtId="10" fontId="3" fillId="0" borderId="8" xfId="0" applyNumberFormat="1" applyFont="1" applyBorder="1" applyAlignment="1">
      <alignment horizontal="center"/>
    </xf>
    <xf numFmtId="180" fontId="0" fillId="0" borderId="16" xfId="0" applyNumberFormat="1" applyBorder="1" applyAlignment="1">
      <alignment horizontal="center"/>
    </xf>
    <xf numFmtId="180" fontId="0" fillId="0" borderId="16" xfId="0" applyNumberFormat="1" applyBorder="1"/>
    <xf numFmtId="180" fontId="0" fillId="0" borderId="9" xfId="0" applyNumberFormat="1" applyBorder="1"/>
    <xf numFmtId="0" fontId="3" fillId="0" borderId="0" xfId="0" applyFont="1" applyAlignment="1">
      <alignment horizontal="center"/>
    </xf>
    <xf numFmtId="0" fontId="18" fillId="0" borderId="0" xfId="0" applyNumberFormat="1" applyFont="1" applyFill="1" applyBorder="1" applyAlignment="1" applyProtection="1">
      <alignment vertical="center"/>
    </xf>
    <xf numFmtId="4" fontId="18" fillId="0" borderId="0" xfId="0" applyNumberFormat="1" applyFont="1" applyFill="1" applyBorder="1" applyAlignment="1" applyProtection="1">
      <alignment vertical="center"/>
    </xf>
    <xf numFmtId="14" fontId="18" fillId="0" borderId="0" xfId="0" applyNumberFormat="1" applyFont="1" applyFill="1" applyBorder="1" applyAlignment="1" applyProtection="1">
      <alignment horizontal="left" vertical="center"/>
    </xf>
    <xf numFmtId="0" fontId="0" fillId="0" borderId="29" xfId="0" applyBorder="1"/>
    <xf numFmtId="10" fontId="0" fillId="0" borderId="29" xfId="2" applyNumberFormat="1" applyFont="1" applyBorder="1"/>
    <xf numFmtId="2" fontId="0" fillId="0" borderId="29" xfId="2" applyNumberFormat="1" applyFont="1" applyBorder="1"/>
    <xf numFmtId="0" fontId="3" fillId="0" borderId="1" xfId="0" applyFont="1" applyBorder="1" applyAlignment="1">
      <alignment horizontal="right"/>
    </xf>
    <xf numFmtId="183" fontId="0" fillId="0" borderId="15" xfId="0" applyNumberFormat="1" applyBorder="1"/>
    <xf numFmtId="2" fontId="0" fillId="0" borderId="12" xfId="0" applyNumberFormat="1" applyBorder="1"/>
    <xf numFmtId="183" fontId="0" fillId="0" borderId="30" xfId="0" applyNumberFormat="1" applyBorder="1"/>
    <xf numFmtId="10" fontId="0" fillId="0" borderId="30" xfId="0" applyNumberFormat="1" applyBorder="1"/>
    <xf numFmtId="10" fontId="0" fillId="0" borderId="30" xfId="2" applyNumberFormat="1" applyFont="1" applyBorder="1"/>
    <xf numFmtId="0" fontId="0" fillId="0" borderId="30" xfId="0" applyBorder="1"/>
    <xf numFmtId="2" fontId="0" fillId="0" borderId="30" xfId="0" applyNumberFormat="1" applyBorder="1"/>
    <xf numFmtId="2" fontId="0" fillId="0" borderId="0" xfId="2" applyNumberFormat="1" applyFont="1" applyBorder="1"/>
    <xf numFmtId="2" fontId="8" fillId="0" borderId="29" xfId="2" applyNumberFormat="1" applyFont="1" applyBorder="1"/>
    <xf numFmtId="43" fontId="24" fillId="0" borderId="0" xfId="0" applyNumberFormat="1" applyFont="1"/>
    <xf numFmtId="0" fontId="0" fillId="0" borderId="31" xfId="0" applyBorder="1"/>
    <xf numFmtId="0" fontId="23" fillId="0" borderId="31" xfId="0" applyFont="1" applyBorder="1"/>
    <xf numFmtId="0" fontId="2" fillId="9" borderId="0" xfId="0" applyFont="1" applyFill="1"/>
    <xf numFmtId="0" fontId="2" fillId="9" borderId="0" xfId="0" applyFont="1" applyFill="1" applyAlignment="1">
      <alignment horizontal="center"/>
    </xf>
    <xf numFmtId="165" fontId="3" fillId="0" borderId="0" xfId="0" applyNumberFormat="1" applyFont="1"/>
    <xf numFmtId="180" fontId="0" fillId="0" borderId="0" xfId="0" applyNumberFormat="1"/>
    <xf numFmtId="0" fontId="3" fillId="10" borderId="0" xfId="0" applyFont="1" applyFill="1"/>
    <xf numFmtId="10" fontId="3" fillId="10" borderId="0" xfId="2" applyNumberFormat="1" applyFont="1" applyFill="1"/>
    <xf numFmtId="168" fontId="3" fillId="10" borderId="0" xfId="2" applyNumberFormat="1" applyFont="1" applyFill="1"/>
    <xf numFmtId="0" fontId="0" fillId="10" borderId="0" xfId="0" applyFill="1"/>
    <xf numFmtId="0" fontId="26" fillId="0" borderId="0" xfId="0" applyFont="1"/>
    <xf numFmtId="0" fontId="27" fillId="0" borderId="0" xfId="0" applyFont="1"/>
    <xf numFmtId="0" fontId="0" fillId="9" borderId="0" xfId="0" applyFill="1"/>
    <xf numFmtId="0" fontId="25" fillId="9" borderId="0" xfId="0" applyFont="1" applyFill="1"/>
    <xf numFmtId="0" fontId="2" fillId="8" borderId="0" xfId="0" applyFont="1" applyFill="1"/>
    <xf numFmtId="165" fontId="2" fillId="8" borderId="0" xfId="0" applyNumberFormat="1" applyFont="1" applyFill="1" applyBorder="1" applyAlignment="1">
      <alignment horizontal="center"/>
    </xf>
    <xf numFmtId="0" fontId="2" fillId="8" borderId="0" xfId="0" applyFont="1" applyFill="1" applyAlignment="1">
      <alignment horizontal="center"/>
    </xf>
    <xf numFmtId="0" fontId="3" fillId="10" borderId="1" xfId="0" applyFont="1" applyFill="1" applyBorder="1"/>
    <xf numFmtId="10" fontId="3" fillId="10" borderId="1" xfId="0" applyNumberFormat="1" applyFont="1" applyFill="1" applyBorder="1"/>
    <xf numFmtId="0" fontId="19" fillId="9" borderId="0" xfId="0" applyNumberFormat="1" applyFont="1" applyFill="1" applyBorder="1" applyAlignment="1" applyProtection="1">
      <alignment horizontal="center" vertical="center"/>
    </xf>
    <xf numFmtId="17" fontId="2" fillId="9" borderId="0" xfId="0" applyNumberFormat="1" applyFont="1" applyFill="1"/>
    <xf numFmtId="176" fontId="2" fillId="9" borderId="0" xfId="0" applyNumberFormat="1" applyFont="1" applyFill="1" applyAlignment="1">
      <alignment horizontal="center"/>
    </xf>
    <xf numFmtId="177" fontId="2" fillId="9" borderId="0" xfId="0" applyNumberFormat="1" applyFont="1" applyFill="1" applyAlignment="1">
      <alignment horizontal="center"/>
    </xf>
    <xf numFmtId="0" fontId="0" fillId="9" borderId="0" xfId="0" applyFill="1" applyAlignment="1">
      <alignment horizontal="center"/>
    </xf>
    <xf numFmtId="0" fontId="2" fillId="9" borderId="26" xfId="0" applyFont="1" applyFill="1" applyBorder="1" applyAlignment="1"/>
    <xf numFmtId="0" fontId="0" fillId="10" borderId="0" xfId="0" applyFill="1" applyBorder="1" applyAlignment="1">
      <alignment wrapText="1"/>
    </xf>
    <xf numFmtId="182" fontId="0" fillId="10" borderId="0" xfId="0" applyNumberFormat="1" applyFill="1"/>
    <xf numFmtId="182" fontId="3" fillId="10" borderId="0" xfId="0" applyNumberFormat="1" applyFont="1" applyFill="1"/>
    <xf numFmtId="0" fontId="3" fillId="10" borderId="27" xfId="0" applyFont="1" applyFill="1" applyBorder="1"/>
    <xf numFmtId="3" fontId="3" fillId="10" borderId="27" xfId="0" applyNumberFormat="1" applyFont="1" applyFill="1" applyBorder="1"/>
    <xf numFmtId="4" fontId="3" fillId="10" borderId="27" xfId="0" applyNumberFormat="1" applyFont="1" applyFill="1" applyBorder="1"/>
    <xf numFmtId="3" fontId="3" fillId="10" borderId="27" xfId="0" applyNumberFormat="1" applyFont="1" applyFill="1" applyBorder="1" applyAlignment="1">
      <alignment wrapText="1"/>
    </xf>
    <xf numFmtId="181" fontId="3" fillId="10" borderId="27" xfId="0" applyNumberFormat="1" applyFont="1" applyFill="1" applyBorder="1"/>
    <xf numFmtId="0" fontId="2" fillId="9" borderId="0" xfId="0" applyFont="1" applyFill="1" applyBorder="1" applyAlignment="1"/>
    <xf numFmtId="0" fontId="2" fillId="9" borderId="0" xfId="0" applyFont="1" applyFill="1" applyAlignment="1">
      <alignment wrapText="1"/>
    </xf>
    <xf numFmtId="0" fontId="2" fillId="9" borderId="0" xfId="0" applyFont="1" applyFill="1" applyBorder="1" applyAlignment="1">
      <alignment wrapText="1"/>
    </xf>
    <xf numFmtId="0" fontId="19" fillId="9" borderId="0" xfId="0" applyNumberFormat="1" applyFont="1" applyFill="1" applyBorder="1" applyAlignment="1" applyProtection="1">
      <alignment horizontal="left" vertical="center"/>
    </xf>
    <xf numFmtId="0" fontId="2" fillId="8" borderId="0" xfId="0" applyFont="1" applyFill="1" applyBorder="1" applyAlignment="1">
      <alignment horizontal="center"/>
    </xf>
    <xf numFmtId="17" fontId="20" fillId="8" borderId="0" xfId="0" applyNumberFormat="1" applyFont="1" applyFill="1" applyAlignment="1">
      <alignment horizontal="right" vertical="center" wrapText="1"/>
    </xf>
    <xf numFmtId="0" fontId="0" fillId="5" borderId="13" xfId="0" applyFont="1" applyFill="1" applyBorder="1" applyAlignment="1">
      <alignment horizontal="left" vertical="center" indent="1"/>
    </xf>
    <xf numFmtId="173" fontId="0" fillId="5" borderId="13" xfId="0" applyNumberFormat="1" applyFont="1" applyFill="1" applyBorder="1" applyAlignment="1">
      <alignment horizontal="right" vertical="center" wrapText="1"/>
    </xf>
    <xf numFmtId="0" fontId="0" fillId="6" borderId="0" xfId="0" applyFont="1" applyFill="1" applyBorder="1" applyAlignment="1">
      <alignment horizontal="left" vertical="center" indent="1"/>
    </xf>
    <xf numFmtId="0" fontId="2" fillId="9" borderId="6" xfId="0" applyFont="1" applyFill="1" applyBorder="1"/>
    <xf numFmtId="0" fontId="4" fillId="9" borderId="7" xfId="0" applyFont="1" applyFill="1" applyBorder="1"/>
    <xf numFmtId="0" fontId="2" fillId="9" borderId="6" xfId="0" applyFont="1" applyFill="1" applyBorder="1" applyAlignment="1">
      <alignment horizontal="left"/>
    </xf>
    <xf numFmtId="0" fontId="2" fillId="9" borderId="7" xfId="0" applyFont="1" applyFill="1" applyBorder="1" applyAlignment="1">
      <alignment horizontal="left"/>
    </xf>
    <xf numFmtId="0" fontId="3" fillId="4" borderId="0" xfId="0" applyFont="1" applyFill="1" applyBorder="1" applyAlignment="1">
      <alignment horizontal="left"/>
    </xf>
    <xf numFmtId="0" fontId="3" fillId="4" borderId="0" xfId="0" applyFont="1" applyFill="1"/>
    <xf numFmtId="10" fontId="3" fillId="4" borderId="0" xfId="2" applyNumberFormat="1" applyFont="1" applyFill="1"/>
    <xf numFmtId="165" fontId="3" fillId="4" borderId="0" xfId="2" applyNumberFormat="1" applyFont="1" applyFill="1"/>
    <xf numFmtId="0" fontId="0" fillId="4" borderId="0" xfId="0" applyFont="1" applyFill="1"/>
    <xf numFmtId="180" fontId="1" fillId="4" borderId="0" xfId="2" applyNumberFormat="1" applyFont="1" applyFill="1"/>
    <xf numFmtId="0" fontId="28" fillId="4" borderId="0" xfId="0" applyFont="1" applyFill="1"/>
    <xf numFmtId="0" fontId="29" fillId="4" borderId="0" xfId="0" applyFont="1" applyFill="1"/>
    <xf numFmtId="0" fontId="30" fillId="0" borderId="0" xfId="0" applyFont="1"/>
    <xf numFmtId="0" fontId="2" fillId="8" borderId="4" xfId="0" applyFont="1" applyFill="1" applyBorder="1" applyAlignment="1">
      <alignment horizontal="center"/>
    </xf>
    <xf numFmtId="0" fontId="2" fillId="8" borderId="5" xfId="0" applyFont="1" applyFill="1" applyBorder="1" applyAlignment="1">
      <alignment horizontal="center"/>
    </xf>
    <xf numFmtId="0" fontId="2" fillId="9" borderId="2" xfId="0" applyFont="1" applyFill="1" applyBorder="1" applyAlignment="1">
      <alignment horizontal="center"/>
    </xf>
    <xf numFmtId="0" fontId="2" fillId="9" borderId="3" xfId="0" applyFont="1" applyFill="1" applyBorder="1" applyAlignment="1">
      <alignment horizontal="center"/>
    </xf>
    <xf numFmtId="0" fontId="2" fillId="9" borderId="0" xfId="0" applyFont="1" applyFill="1" applyAlignment="1">
      <alignment horizontal="center"/>
    </xf>
    <xf numFmtId="0" fontId="2" fillId="8" borderId="0" xfId="0" applyFont="1" applyFill="1" applyAlignment="1">
      <alignment horizontal="center"/>
    </xf>
    <xf numFmtId="0" fontId="3" fillId="10" borderId="1" xfId="0" applyFont="1" applyFill="1" applyBorder="1" applyAlignment="1">
      <alignment horizontal="left"/>
    </xf>
    <xf numFmtId="0" fontId="0" fillId="0" borderId="0" xfId="0" applyAlignment="1">
      <alignment horizontal="left" vertical="top" wrapText="1"/>
    </xf>
    <xf numFmtId="0" fontId="27" fillId="0" borderId="0" xfId="0" applyFont="1" applyAlignment="1">
      <alignment horizontal="left"/>
    </xf>
    <xf numFmtId="0" fontId="0" fillId="0" borderId="0" xfId="0" applyAlignment="1">
      <alignment horizontal="left"/>
    </xf>
    <xf numFmtId="0" fontId="3" fillId="10" borderId="0" xfId="0" applyFont="1" applyFill="1" applyAlignment="1">
      <alignment horizontal="left"/>
    </xf>
    <xf numFmtId="0" fontId="13" fillId="0" borderId="0" xfId="0" applyFont="1" applyAlignment="1">
      <alignment horizontal="left"/>
    </xf>
    <xf numFmtId="0" fontId="3" fillId="7" borderId="0" xfId="0" applyFont="1" applyFill="1" applyAlignment="1">
      <alignment horizontal="center"/>
    </xf>
    <xf numFmtId="0" fontId="2" fillId="9" borderId="0" xfId="0" applyFont="1" applyFill="1" applyAlignment="1">
      <alignment horizontal="left"/>
    </xf>
    <xf numFmtId="0" fontId="2" fillId="9" borderId="2" xfId="0" applyFont="1" applyFill="1" applyBorder="1" applyAlignment="1">
      <alignment horizontal="left"/>
    </xf>
    <xf numFmtId="0" fontId="2" fillId="9" borderId="15" xfId="0" applyFont="1" applyFill="1" applyBorder="1" applyAlignment="1">
      <alignment horizontal="left"/>
    </xf>
    <xf numFmtId="0" fontId="2" fillId="9" borderId="3" xfId="0" applyFont="1" applyFill="1" applyBorder="1" applyAlignment="1">
      <alignment horizontal="left"/>
    </xf>
    <xf numFmtId="0" fontId="2" fillId="9" borderId="26" xfId="0" applyFont="1" applyFill="1" applyBorder="1" applyAlignment="1">
      <alignment horizontal="left"/>
    </xf>
    <xf numFmtId="0" fontId="2" fillId="9" borderId="25" xfId="0" applyFont="1" applyFill="1" applyBorder="1" applyAlignment="1">
      <alignment horizontal="center"/>
    </xf>
    <xf numFmtId="0" fontId="26" fillId="0" borderId="26" xfId="0" applyFont="1" applyBorder="1" applyAlignment="1">
      <alignment horizontal="left"/>
    </xf>
    <xf numFmtId="0" fontId="19" fillId="9" borderId="0" xfId="0" applyNumberFormat="1" applyFont="1" applyFill="1" applyBorder="1" applyAlignment="1" applyProtection="1">
      <alignment horizontal="center" vertical="center"/>
    </xf>
    <xf numFmtId="164" fontId="5" fillId="0" borderId="0" xfId="4" applyNumberFormat="1" applyBorder="1" applyAlignment="1" applyProtection="1">
      <alignment horizontal="center"/>
    </xf>
    <xf numFmtId="164" fontId="2" fillId="2" borderId="0" xfId="3" applyNumberFormat="1" applyFont="1" applyBorder="1" applyAlignment="1">
      <alignment horizontal="center"/>
    </xf>
    <xf numFmtId="0" fontId="7" fillId="9" borderId="0" xfId="0" applyFont="1" applyFill="1" applyAlignment="1">
      <alignment horizontal="center"/>
    </xf>
    <xf numFmtId="0" fontId="2" fillId="8" borderId="0" xfId="0" applyFont="1" applyFill="1" applyBorder="1" applyAlignment="1">
      <alignment horizontal="center"/>
    </xf>
    <xf numFmtId="0" fontId="31" fillId="0" borderId="0" xfId="0" applyFont="1" applyAlignment="1">
      <alignment horizontal="left"/>
    </xf>
    <xf numFmtId="183" fontId="3" fillId="10" borderId="0" xfId="2" applyNumberFormat="1" applyFont="1" applyFill="1"/>
    <xf numFmtId="180" fontId="3" fillId="10" borderId="0" xfId="0" applyNumberFormat="1" applyFont="1" applyFill="1"/>
    <xf numFmtId="0" fontId="12" fillId="0" borderId="0" xfId="0" applyFont="1" applyAlignment="1">
      <alignment horizontal="left"/>
    </xf>
    <xf numFmtId="0" fontId="12" fillId="0" borderId="0" xfId="0" applyFont="1" applyAlignment="1">
      <alignment horizontal="right"/>
    </xf>
    <xf numFmtId="0" fontId="28" fillId="4" borderId="32" xfId="0" applyFont="1" applyFill="1" applyBorder="1"/>
    <xf numFmtId="0" fontId="29" fillId="4" borderId="32" xfId="0" applyFont="1" applyFill="1" applyBorder="1"/>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colors>
    <mruColors>
      <color rgb="FF115E6E"/>
      <color rgb="FF30BEBA"/>
      <color rgb="FFCEF2F1"/>
      <color rgb="FF5EBEE0"/>
      <color rgb="FF302139"/>
      <color rgb="FF2596BE"/>
      <color rgb="FF1BC78E"/>
      <color rgb="FF18AE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F-A2C5-4865-B02B-F6F7DEF70690}"/>
              </c:ext>
            </c:extLst>
          </c:dPt>
          <c:dPt>
            <c:idx val="3"/>
            <c:invertIfNegative val="0"/>
            <c:bubble3D val="0"/>
            <c:spPr>
              <a:solidFill>
                <a:srgbClr val="115E6E"/>
              </a:solidFill>
              <a:ln>
                <a:noFill/>
              </a:ln>
              <a:effectLst/>
            </c:spPr>
            <c:extLst>
              <c:ext xmlns:c16="http://schemas.microsoft.com/office/drawing/2014/chart" uri="{C3380CC4-5D6E-409C-BE32-E72D297353CC}">
                <c16:uniqueId val="{0000000E-A2C5-4865-B02B-F6F7DEF7069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Analysis'!$F$47:$I$47</c:f>
              <c:numCache>
                <c:formatCode>#,##0.0</c:formatCode>
                <c:ptCount val="4"/>
                <c:pt idx="0">
                  <c:v>40575</c:v>
                </c:pt>
                <c:pt idx="1">
                  <c:v>51084</c:v>
                </c:pt>
                <c:pt idx="2">
                  <c:v>60456</c:v>
                </c:pt>
                <c:pt idx="3">
                  <c:v>87584</c:v>
                </c:pt>
              </c:numCache>
            </c:numRef>
          </c:val>
          <c:extLst>
            <c:ext xmlns:c16="http://schemas.microsoft.com/office/drawing/2014/chart" uri="{C3380CC4-5D6E-409C-BE32-E72D297353CC}">
              <c16:uniqueId val="{00000000-A2C5-4865-B02B-F6F7DEF70690}"/>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2-E2DC-43D7-B78D-45257A41202F}"/>
              </c:ext>
            </c:extLst>
          </c:dPt>
          <c:dPt>
            <c:idx val="3"/>
            <c:invertIfNegative val="0"/>
            <c:bubble3D val="0"/>
            <c:spPr>
              <a:solidFill>
                <a:srgbClr val="115E6E"/>
              </a:solidFill>
              <a:ln>
                <a:noFill/>
              </a:ln>
              <a:effectLst/>
            </c:spPr>
            <c:extLst>
              <c:ext xmlns:c16="http://schemas.microsoft.com/office/drawing/2014/chart" uri="{C3380CC4-5D6E-409C-BE32-E72D297353CC}">
                <c16:uniqueId val="{00000001-E2DC-43D7-B78D-45257A41202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Analysis'!$F$46:$I$46</c:f>
              <c:numCache>
                <c:formatCode>#,##0.0</c:formatCode>
                <c:ptCount val="4"/>
                <c:pt idx="0">
                  <c:v>3250</c:v>
                </c:pt>
                <c:pt idx="1">
                  <c:v>3496</c:v>
                </c:pt>
                <c:pt idx="2">
                  <c:v>3337</c:v>
                </c:pt>
                <c:pt idx="3">
                  <c:v>5073</c:v>
                </c:pt>
              </c:numCache>
            </c:numRef>
          </c:val>
          <c:extLst>
            <c:ext xmlns:c16="http://schemas.microsoft.com/office/drawing/2014/chart" uri="{C3380CC4-5D6E-409C-BE32-E72D297353CC}">
              <c16:uniqueId val="{00000000-E2DC-43D7-B78D-45257A41202F}"/>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2-4F1E-49FB-B364-BBDE2BBE938D}"/>
              </c:ext>
            </c:extLst>
          </c:dPt>
          <c:dPt>
            <c:idx val="3"/>
            <c:invertIfNegative val="0"/>
            <c:bubble3D val="0"/>
            <c:spPr>
              <a:solidFill>
                <a:srgbClr val="115E6E"/>
              </a:solidFill>
              <a:ln>
                <a:noFill/>
              </a:ln>
              <a:effectLst/>
            </c:spPr>
            <c:extLst>
              <c:ext xmlns:c16="http://schemas.microsoft.com/office/drawing/2014/chart" uri="{C3380CC4-5D6E-409C-BE32-E72D297353CC}">
                <c16:uniqueId val="{00000001-4F1E-49FB-B364-BBDE2BBE938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Analysis'!$F$54:$I$54</c:f>
              <c:numCache>
                <c:formatCode>#,##0.0</c:formatCode>
                <c:ptCount val="4"/>
                <c:pt idx="0">
                  <c:v>24104</c:v>
                </c:pt>
                <c:pt idx="1">
                  <c:v>29283.5</c:v>
                </c:pt>
                <c:pt idx="2">
                  <c:v>36096</c:v>
                </c:pt>
                <c:pt idx="3">
                  <c:v>50603</c:v>
                </c:pt>
              </c:numCache>
            </c:numRef>
          </c:val>
          <c:extLst>
            <c:ext xmlns:c16="http://schemas.microsoft.com/office/drawing/2014/chart" uri="{C3380CC4-5D6E-409C-BE32-E72D297353CC}">
              <c16:uniqueId val="{00000000-4F1E-49FB-B364-BBDE2BBE938D}"/>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2-87DA-4F26-9294-A783846D8036}"/>
              </c:ext>
            </c:extLst>
          </c:dPt>
          <c:dPt>
            <c:idx val="3"/>
            <c:invertIfNegative val="0"/>
            <c:bubble3D val="0"/>
            <c:spPr>
              <a:solidFill>
                <a:srgbClr val="115E6E"/>
              </a:solidFill>
              <a:ln>
                <a:noFill/>
              </a:ln>
              <a:effectLst/>
            </c:spPr>
            <c:extLst>
              <c:ext xmlns:c16="http://schemas.microsoft.com/office/drawing/2014/chart" uri="{C3380CC4-5D6E-409C-BE32-E72D297353CC}">
                <c16:uniqueId val="{00000001-87DA-4F26-9294-A783846D803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Analysis'!$F$42:$I$42</c:f>
              <c:numCache>
                <c:formatCode>0.00%</c:formatCode>
                <c:ptCount val="4"/>
                <c:pt idx="0">
                  <c:v>0.3072704925782358</c:v>
                </c:pt>
                <c:pt idx="1">
                  <c:v>0.32912822443984185</c:v>
                </c:pt>
                <c:pt idx="2">
                  <c:v>0.31755245753437694</c:v>
                </c:pt>
                <c:pt idx="3">
                  <c:v>0.37128115051048416</c:v>
                </c:pt>
              </c:numCache>
            </c:numRef>
          </c:val>
          <c:extLst>
            <c:ext xmlns:c16="http://schemas.microsoft.com/office/drawing/2014/chart" uri="{C3380CC4-5D6E-409C-BE32-E72D297353CC}">
              <c16:uniqueId val="{00000000-87DA-4F26-9294-A783846D8036}"/>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2-40CA-4A5E-8B6D-471E8A2AABB4}"/>
              </c:ext>
            </c:extLst>
          </c:dPt>
          <c:dPt>
            <c:idx val="3"/>
            <c:invertIfNegative val="0"/>
            <c:bubble3D val="0"/>
            <c:spPr>
              <a:solidFill>
                <a:srgbClr val="115E6E"/>
              </a:solidFill>
              <a:ln>
                <a:noFill/>
              </a:ln>
              <a:effectLst/>
            </c:spPr>
            <c:extLst>
              <c:ext xmlns:c16="http://schemas.microsoft.com/office/drawing/2014/chart" uri="{C3380CC4-5D6E-409C-BE32-E72D297353CC}">
                <c16:uniqueId val="{00000001-40CA-4A5E-8B6D-471E8A2AABB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Analysis'!$F$76:$I$76</c:f>
              <c:numCache>
                <c:formatCode>0.00%</c:formatCode>
                <c:ptCount val="4"/>
                <c:pt idx="0">
                  <c:v>0.13483239296382343</c:v>
                </c:pt>
                <c:pt idx="1">
                  <c:v>0.11938463639933752</c:v>
                </c:pt>
                <c:pt idx="2">
                  <c:v>9.2447916666666671E-2</c:v>
                </c:pt>
                <c:pt idx="3">
                  <c:v>0.1002509732624548</c:v>
                </c:pt>
              </c:numCache>
            </c:numRef>
          </c:val>
          <c:extLst>
            <c:ext xmlns:c16="http://schemas.microsoft.com/office/drawing/2014/chart" uri="{C3380CC4-5D6E-409C-BE32-E72D297353CC}">
              <c16:uniqueId val="{00000000-40CA-4A5E-8B6D-471E8A2AABB4}"/>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2-C33B-49AB-9C4F-FDB5AEC6D7C5}"/>
              </c:ext>
            </c:extLst>
          </c:dPt>
          <c:dPt>
            <c:idx val="3"/>
            <c:invertIfNegative val="0"/>
            <c:bubble3D val="0"/>
            <c:spPr>
              <a:solidFill>
                <a:srgbClr val="115E6E"/>
              </a:solidFill>
              <a:ln>
                <a:noFill/>
              </a:ln>
              <a:effectLst/>
            </c:spPr>
            <c:extLst>
              <c:ext xmlns:c16="http://schemas.microsoft.com/office/drawing/2014/chart" uri="{C3380CC4-5D6E-409C-BE32-E72D297353CC}">
                <c16:uniqueId val="{00000001-C33B-49AB-9C4F-FDB5AEC6D7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'Du Pont Analysis'!$F$39:$I$39</c:f>
              <c:numCache>
                <c:formatCode>[$-409]mmm\-yy;@</c:formatCode>
                <c:ptCount val="4"/>
                <c:pt idx="0">
                  <c:v>45016</c:v>
                </c:pt>
                <c:pt idx="1">
                  <c:v>45382</c:v>
                </c:pt>
                <c:pt idx="2">
                  <c:v>45747</c:v>
                </c:pt>
                <c:pt idx="3">
                  <c:v>46112</c:v>
                </c:pt>
              </c:numCache>
            </c:numRef>
          </c:cat>
          <c:val>
            <c:numRef>
              <c:f>'Du Pont Analysis'!$F$56:$I$56</c:f>
              <c:numCache>
                <c:formatCode>0.00"x"</c:formatCode>
                <c:ptCount val="4"/>
                <c:pt idx="0">
                  <c:v>2.278907062494091</c:v>
                </c:pt>
                <c:pt idx="1">
                  <c:v>2.7568725287139899</c:v>
                </c:pt>
                <c:pt idx="2">
                  <c:v>3.4349336251605842</c:v>
                </c:pt>
                <c:pt idx="3">
                  <c:v>3.7035166684963587</c:v>
                </c:pt>
              </c:numCache>
            </c:numRef>
          </c:val>
          <c:extLst>
            <c:ext xmlns:c16="http://schemas.microsoft.com/office/drawing/2014/chart" uri="{C3380CC4-5D6E-409C-BE32-E72D297353CC}">
              <c16:uniqueId val="{00000000-C33B-49AB-9C4F-FDB5AEC6D7C5}"/>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quot;x&quot;"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B3B5-4AA1-99C6-AE4B8B75050C}"/>
              </c:ext>
            </c:extLst>
          </c:dPt>
          <c:dPt>
            <c:idx val="3"/>
            <c:invertIfNegative val="0"/>
            <c:bubble3D val="0"/>
            <c:spPr>
              <a:solidFill>
                <a:srgbClr val="115E6E"/>
              </a:solidFill>
              <a:ln>
                <a:noFill/>
              </a:ln>
              <a:effectLst/>
            </c:spPr>
            <c:extLst>
              <c:ext xmlns:c16="http://schemas.microsoft.com/office/drawing/2014/chart" uri="{C3380CC4-5D6E-409C-BE32-E72D297353CC}">
                <c16:uniqueId val="{00000003-B3B5-4AA1-99C6-AE4B8B75050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score'!$F$36:$I$36</c:f>
              <c:numCache>
                <c:formatCode>[$-409]mmm\-yy;@</c:formatCode>
                <c:ptCount val="4"/>
                <c:pt idx="0">
                  <c:v>45016</c:v>
                </c:pt>
                <c:pt idx="1">
                  <c:v>45382</c:v>
                </c:pt>
                <c:pt idx="2">
                  <c:v>45747</c:v>
                </c:pt>
                <c:pt idx="3">
                  <c:v>46112</c:v>
                </c:pt>
              </c:numCache>
            </c:numRef>
          </c:cat>
          <c:val>
            <c:numRef>
              <c:f>'Altman Z score'!$F$39:$I$39</c:f>
              <c:numCache>
                <c:formatCode>0.00%</c:formatCode>
                <c:ptCount val="4"/>
                <c:pt idx="0">
                  <c:v>0.57590673575129536</c:v>
                </c:pt>
                <c:pt idx="1">
                  <c:v>0.59498526008812247</c:v>
                </c:pt>
                <c:pt idx="2">
                  <c:v>0.64573748308525036</c:v>
                </c:pt>
                <c:pt idx="3">
                  <c:v>0.59075972985915026</c:v>
                </c:pt>
              </c:numCache>
            </c:numRef>
          </c:val>
          <c:extLst>
            <c:ext xmlns:c16="http://schemas.microsoft.com/office/drawing/2014/chart" uri="{C3380CC4-5D6E-409C-BE32-E72D297353CC}">
              <c16:uniqueId val="{00000004-B3B5-4AA1-99C6-AE4B8B75050C}"/>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ECDC-454C-9BFB-F81646B91841}"/>
              </c:ext>
            </c:extLst>
          </c:dPt>
          <c:dPt>
            <c:idx val="3"/>
            <c:invertIfNegative val="0"/>
            <c:bubble3D val="0"/>
            <c:spPr>
              <a:solidFill>
                <a:srgbClr val="115E6E"/>
              </a:solidFill>
              <a:ln>
                <a:noFill/>
              </a:ln>
              <a:effectLst/>
            </c:spPr>
            <c:extLst>
              <c:ext xmlns:c16="http://schemas.microsoft.com/office/drawing/2014/chart" uri="{C3380CC4-5D6E-409C-BE32-E72D297353CC}">
                <c16:uniqueId val="{00000003-ECDC-454C-9BFB-F81646B9184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score'!$F$42:$I$42</c:f>
              <c:numCache>
                <c:formatCode>[$-409]mmm\-yy;@</c:formatCode>
                <c:ptCount val="4"/>
                <c:pt idx="0">
                  <c:v>45016</c:v>
                </c:pt>
                <c:pt idx="1">
                  <c:v>45382</c:v>
                </c:pt>
                <c:pt idx="2">
                  <c:v>45747</c:v>
                </c:pt>
                <c:pt idx="3">
                  <c:v>46112</c:v>
                </c:pt>
              </c:numCache>
            </c:numRef>
          </c:cat>
          <c:val>
            <c:numRef>
              <c:f>'Altman Z score'!$F$45:$I$45</c:f>
              <c:numCache>
                <c:formatCode>0.00%</c:formatCode>
                <c:ptCount val="4"/>
                <c:pt idx="0">
                  <c:v>0.43530717986676537</c:v>
                </c:pt>
                <c:pt idx="1">
                  <c:v>0.29492503249120361</c:v>
                </c:pt>
                <c:pt idx="2">
                  <c:v>0.28379874523311599</c:v>
                </c:pt>
                <c:pt idx="3">
                  <c:v>0.25782269117088558</c:v>
                </c:pt>
              </c:numCache>
            </c:numRef>
          </c:val>
          <c:extLst>
            <c:ext xmlns:c16="http://schemas.microsoft.com/office/drawing/2014/chart" uri="{C3380CC4-5D6E-409C-BE32-E72D297353CC}">
              <c16:uniqueId val="{00000004-ECDC-454C-9BFB-F81646B91841}"/>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1DCF-49DB-828A-A19ED80D6CBD}"/>
              </c:ext>
            </c:extLst>
          </c:dPt>
          <c:dPt>
            <c:idx val="3"/>
            <c:invertIfNegative val="0"/>
            <c:bubble3D val="0"/>
            <c:spPr>
              <a:solidFill>
                <a:srgbClr val="115E6E"/>
              </a:solidFill>
              <a:ln>
                <a:noFill/>
              </a:ln>
              <a:effectLst/>
            </c:spPr>
            <c:extLst>
              <c:ext xmlns:c16="http://schemas.microsoft.com/office/drawing/2014/chart" uri="{C3380CC4-5D6E-409C-BE32-E72D297353CC}">
                <c16:uniqueId val="{00000003-1DCF-49DB-828A-A19ED80D6CB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score'!$F$48:$I$48</c:f>
              <c:numCache>
                <c:formatCode>[$-409]mmm\-yy;@</c:formatCode>
                <c:ptCount val="4"/>
                <c:pt idx="0">
                  <c:v>45016</c:v>
                </c:pt>
                <c:pt idx="1">
                  <c:v>45382</c:v>
                </c:pt>
                <c:pt idx="2">
                  <c:v>45747</c:v>
                </c:pt>
                <c:pt idx="3">
                  <c:v>46112</c:v>
                </c:pt>
              </c:numCache>
            </c:numRef>
          </c:cat>
          <c:val>
            <c:numRef>
              <c:f>'Altman Z score'!$F$51:$I$51</c:f>
              <c:numCache>
                <c:formatCode>0.00%</c:formatCode>
                <c:ptCount val="4"/>
                <c:pt idx="0">
                  <c:v>0.17568467801628423</c:v>
                </c:pt>
                <c:pt idx="1">
                  <c:v>0.16616477002567598</c:v>
                </c:pt>
                <c:pt idx="2">
                  <c:v>0.13502275802681757</c:v>
                </c:pt>
                <c:pt idx="3">
                  <c:v>0.13178448176219018</c:v>
                </c:pt>
              </c:numCache>
            </c:numRef>
          </c:val>
          <c:extLst>
            <c:ext xmlns:c16="http://schemas.microsoft.com/office/drawing/2014/chart" uri="{C3380CC4-5D6E-409C-BE32-E72D297353CC}">
              <c16:uniqueId val="{00000004-1DCF-49DB-828A-A19ED80D6CBD}"/>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9DFC-48B9-A1E7-0827DEC9C54E}"/>
              </c:ext>
            </c:extLst>
          </c:dPt>
          <c:dPt>
            <c:idx val="3"/>
            <c:invertIfNegative val="0"/>
            <c:bubble3D val="0"/>
            <c:spPr>
              <a:solidFill>
                <a:srgbClr val="115E6E"/>
              </a:solidFill>
              <a:ln>
                <a:noFill/>
              </a:ln>
              <a:effectLst/>
            </c:spPr>
            <c:extLst>
              <c:ext xmlns:c16="http://schemas.microsoft.com/office/drawing/2014/chart" uri="{C3380CC4-5D6E-409C-BE32-E72D297353CC}">
                <c16:uniqueId val="{00000003-9DFC-48B9-A1E7-0827DEC9C54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score'!$F$54:$I$54</c:f>
              <c:numCache>
                <c:formatCode>[$-409]mmm\-yy;@</c:formatCode>
                <c:ptCount val="4"/>
                <c:pt idx="0">
                  <c:v>45016</c:v>
                </c:pt>
                <c:pt idx="1">
                  <c:v>45382</c:v>
                </c:pt>
                <c:pt idx="2">
                  <c:v>45747</c:v>
                </c:pt>
                <c:pt idx="3">
                  <c:v>46112</c:v>
                </c:pt>
              </c:numCache>
            </c:numRef>
          </c:cat>
          <c:val>
            <c:numRef>
              <c:f>'Altman Z score'!$F$57:$I$57</c:f>
              <c:numCache>
                <c:formatCode>0.0%</c:formatCode>
                <c:ptCount val="4"/>
                <c:pt idx="0">
                  <c:v>23.836107825344296</c:v>
                </c:pt>
                <c:pt idx="1">
                  <c:v>21.736463420917055</c:v>
                </c:pt>
                <c:pt idx="2">
                  <c:v>13.089676709823362</c:v>
                </c:pt>
                <c:pt idx="3">
                  <c:v>11.456363018843279</c:v>
                </c:pt>
              </c:numCache>
            </c:numRef>
          </c:val>
          <c:extLst>
            <c:ext xmlns:c16="http://schemas.microsoft.com/office/drawing/2014/chart" uri="{C3380CC4-5D6E-409C-BE32-E72D297353CC}">
              <c16:uniqueId val="{00000004-9DFC-48B9-A1E7-0827DEC9C54E}"/>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B887-43FD-9A96-8FDE2A10DD4D}"/>
              </c:ext>
            </c:extLst>
          </c:dPt>
          <c:dPt>
            <c:idx val="3"/>
            <c:invertIfNegative val="0"/>
            <c:bubble3D val="0"/>
            <c:spPr>
              <a:solidFill>
                <a:srgbClr val="115E6E"/>
              </a:solidFill>
              <a:ln>
                <a:noFill/>
              </a:ln>
              <a:effectLst/>
            </c:spPr>
            <c:extLst>
              <c:ext xmlns:c16="http://schemas.microsoft.com/office/drawing/2014/chart" uri="{C3380CC4-5D6E-409C-BE32-E72D297353CC}">
                <c16:uniqueId val="{00000003-B887-43FD-9A96-8FDE2A10DD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score'!$F$60:$I$60</c:f>
              <c:numCache>
                <c:formatCode>[$-409]mmm\-yy;@</c:formatCode>
                <c:ptCount val="4"/>
                <c:pt idx="0">
                  <c:v>45016</c:v>
                </c:pt>
                <c:pt idx="1">
                  <c:v>45382</c:v>
                </c:pt>
                <c:pt idx="2">
                  <c:v>45747</c:v>
                </c:pt>
                <c:pt idx="3">
                  <c:v>46112</c:v>
                </c:pt>
              </c:numCache>
            </c:numRef>
          </c:cat>
          <c:val>
            <c:numRef>
              <c:f>'Altman Z score'!$F$63:$I$63</c:f>
              <c:numCache>
                <c:formatCode>0.00%</c:formatCode>
                <c:ptCount val="4"/>
                <c:pt idx="0">
                  <c:v>1.5016654330125834</c:v>
                </c:pt>
                <c:pt idx="1">
                  <c:v>1.619298190002219</c:v>
                </c:pt>
                <c:pt idx="2">
                  <c:v>1.4874154262516914</c:v>
                </c:pt>
                <c:pt idx="3">
                  <c:v>1.4462112580703754</c:v>
                </c:pt>
              </c:numCache>
            </c:numRef>
          </c:val>
          <c:extLst>
            <c:ext xmlns:c16="http://schemas.microsoft.com/office/drawing/2014/chart" uri="{C3380CC4-5D6E-409C-BE32-E72D297353CC}">
              <c16:uniqueId val="{00000004-B887-43FD-9A96-8FDE2A10DD4D}"/>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30BEBA"/>
            </a:solidFill>
            <a:ln>
              <a:noFill/>
            </a:ln>
            <a:effectLst/>
          </c:spPr>
          <c:invertIfNegative val="0"/>
          <c:dPt>
            <c:idx val="1"/>
            <c:invertIfNegative val="0"/>
            <c:bubble3D val="0"/>
            <c:spPr>
              <a:solidFill>
                <a:srgbClr val="115E6E"/>
              </a:solidFill>
              <a:ln>
                <a:noFill/>
              </a:ln>
              <a:effectLst/>
            </c:spPr>
            <c:extLst>
              <c:ext xmlns:c16="http://schemas.microsoft.com/office/drawing/2014/chart" uri="{C3380CC4-5D6E-409C-BE32-E72D297353CC}">
                <c16:uniqueId val="{00000001-8E04-4869-BF34-F087D2CDCB37}"/>
              </c:ext>
            </c:extLst>
          </c:dPt>
          <c:dPt>
            <c:idx val="3"/>
            <c:invertIfNegative val="0"/>
            <c:bubble3D val="0"/>
            <c:spPr>
              <a:solidFill>
                <a:srgbClr val="115E6E"/>
              </a:solidFill>
              <a:ln>
                <a:noFill/>
              </a:ln>
              <a:effectLst/>
            </c:spPr>
            <c:extLst>
              <c:ext xmlns:c16="http://schemas.microsoft.com/office/drawing/2014/chart" uri="{C3380CC4-5D6E-409C-BE32-E72D297353CC}">
                <c16:uniqueId val="{00000003-8E04-4869-BF34-F087D2CDCB3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score'!$F$66:$I$66</c:f>
              <c:numCache>
                <c:formatCode>[$-409]mmm\-yy;@</c:formatCode>
                <c:ptCount val="4"/>
                <c:pt idx="0">
                  <c:v>45016</c:v>
                </c:pt>
                <c:pt idx="1">
                  <c:v>45382</c:v>
                </c:pt>
                <c:pt idx="2">
                  <c:v>45747</c:v>
                </c:pt>
                <c:pt idx="3">
                  <c:v>46112</c:v>
                </c:pt>
              </c:numCache>
            </c:numRef>
          </c:cat>
          <c:val>
            <c:numRef>
              <c:f>'Altman Z score'!$F$67:$I$67</c:f>
              <c:numCache>
                <c:formatCode>#,##0.0</c:formatCode>
                <c:ptCount val="4"/>
                <c:pt idx="0">
                  <c:v>17.683607700387924</c:v>
                </c:pt>
                <c:pt idx="1">
                  <c:v>16.336397341230615</c:v>
                </c:pt>
                <c:pt idx="2">
                  <c:v>10.95899977666287</c:v>
                </c:pt>
                <c:pt idx="3">
                  <c:v>9.8247813026617905</c:v>
                </c:pt>
              </c:numCache>
            </c:numRef>
          </c:val>
          <c:extLst>
            <c:ext xmlns:c16="http://schemas.microsoft.com/office/drawing/2014/chart" uri="{C3380CC4-5D6E-409C-BE32-E72D297353CC}">
              <c16:uniqueId val="{00000004-8E04-4869-BF34-F087D2CDCB37}"/>
            </c:ext>
          </c:extLst>
        </c:ser>
        <c:dLbls>
          <c:showLegendKey val="0"/>
          <c:showVal val="0"/>
          <c:showCatName val="0"/>
          <c:showSerName val="0"/>
          <c:showPercent val="0"/>
          <c:showBubbleSize val="0"/>
        </c:dLbls>
        <c:gapWidth val="219"/>
        <c:overlap val="-27"/>
        <c:axId val="2008495519"/>
        <c:axId val="2008496767"/>
      </c:barChart>
      <c:catAx>
        <c:axId val="200849551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8496767"/>
        <c:crosses val="autoZero"/>
        <c:auto val="0"/>
        <c:lblAlgn val="ctr"/>
        <c:lblOffset val="100"/>
        <c:noMultiLvlLbl val="0"/>
      </c:catAx>
      <c:valAx>
        <c:axId val="2008496767"/>
        <c:scaling>
          <c:orientation val="minMax"/>
        </c:scaling>
        <c:delete val="1"/>
        <c:axPos val="l"/>
        <c:numFmt formatCode="#,##0.0" sourceLinked="1"/>
        <c:majorTickMark val="none"/>
        <c:minorTickMark val="none"/>
        <c:tickLblPos val="nextTo"/>
        <c:crossAx val="200849551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15E6E"/>
                </a:solidFill>
                <a:latin typeface="+mn-lt"/>
                <a:ea typeface="+mn-ea"/>
                <a:cs typeface="+mn-cs"/>
              </a:defRPr>
            </a:pPr>
            <a:r>
              <a:rPr lang="en-US" sz="1200" b="1">
                <a:solidFill>
                  <a:srgbClr val="115E6E"/>
                </a:solidFill>
              </a:rPr>
              <a:t>Foot</a:t>
            </a:r>
            <a:r>
              <a:rPr lang="en-US" sz="1200" b="1" baseline="0">
                <a:solidFill>
                  <a:srgbClr val="115E6E"/>
                </a:solidFill>
              </a:rPr>
              <a:t>ball Filed Analysis- Valuation Summary (Rs) </a:t>
            </a:r>
            <a:endParaRPr lang="en-US" sz="1200" b="1">
              <a:solidFill>
                <a:srgbClr val="115E6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15E6E"/>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 Analysis'!$K$5:$K$9</c:f>
              <c:strCache>
                <c:ptCount val="5"/>
                <c:pt idx="0">
                  <c:v>Comps</c:v>
                </c:pt>
                <c:pt idx="1">
                  <c:v>DCF Bear</c:v>
                </c:pt>
                <c:pt idx="2">
                  <c:v>DCF Base</c:v>
                </c:pt>
                <c:pt idx="3">
                  <c:v>DCF bull</c:v>
                </c:pt>
                <c:pt idx="4">
                  <c:v>52W H/L</c:v>
                </c:pt>
              </c:strCache>
            </c:strRef>
          </c:cat>
          <c:val>
            <c:numRef>
              <c:f>'Football Field Analysis'!$M$5:$M$9</c:f>
              <c:numCache>
                <c:formatCode>#,##0.00</c:formatCode>
                <c:ptCount val="5"/>
                <c:pt idx="0">
                  <c:v>2435.9777850741489</c:v>
                </c:pt>
                <c:pt idx="1">
                  <c:v>215.98130291378106</c:v>
                </c:pt>
                <c:pt idx="2">
                  <c:v>277.92953664460561</c:v>
                </c:pt>
                <c:pt idx="3">
                  <c:v>316.64718272637106</c:v>
                </c:pt>
                <c:pt idx="4">
                  <c:v>3500</c:v>
                </c:pt>
              </c:numCache>
            </c:numRef>
          </c:val>
          <c:smooth val="0"/>
          <c:extLst>
            <c:ext xmlns:c16="http://schemas.microsoft.com/office/drawing/2014/chart" uri="{C3380CC4-5D6E-409C-BE32-E72D297353CC}">
              <c16:uniqueId val="{00000000-50A5-4FA0-A700-68EA448F650D}"/>
            </c:ext>
          </c:extLst>
        </c:ser>
        <c:ser>
          <c:idx val="1"/>
          <c:order val="1"/>
          <c:spPr>
            <a:ln w="19050" cap="rnd">
              <a:noFill/>
              <a:round/>
            </a:ln>
            <a:effectLst/>
          </c:spPr>
          <c:marker>
            <c:symbol val="none"/>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A5-4FA0-A700-68EA448F650D}"/>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A5-4FA0-A700-68EA448F650D}"/>
                </c:ext>
              </c:extLst>
            </c:dLbl>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Analysis'!$K$5:$K$9</c:f>
              <c:strCache>
                <c:ptCount val="5"/>
                <c:pt idx="0">
                  <c:v>Comps</c:v>
                </c:pt>
                <c:pt idx="1">
                  <c:v>DCF Bear</c:v>
                </c:pt>
                <c:pt idx="2">
                  <c:v>DCF Base</c:v>
                </c:pt>
                <c:pt idx="3">
                  <c:v>DCF bull</c:v>
                </c:pt>
                <c:pt idx="4">
                  <c:v>52W H/L</c:v>
                </c:pt>
              </c:strCache>
            </c:strRef>
          </c:cat>
          <c:val>
            <c:numRef>
              <c:f>'Football Field Analysis'!$N$5:$N$9</c:f>
              <c:numCache>
                <c:formatCode>#,##0.00</c:formatCode>
                <c:ptCount val="5"/>
                <c:pt idx="0">
                  <c:v>2435.9777850741489</c:v>
                </c:pt>
                <c:pt idx="1">
                  <c:v>215.98130291378106</c:v>
                </c:pt>
                <c:pt idx="2">
                  <c:v>277.92953664460561</c:v>
                </c:pt>
                <c:pt idx="3">
                  <c:v>316.64718272637106</c:v>
                </c:pt>
                <c:pt idx="4">
                  <c:v>3500</c:v>
                </c:pt>
              </c:numCache>
            </c:numRef>
          </c:val>
          <c:smooth val="0"/>
          <c:extLst>
            <c:ext xmlns:c16="http://schemas.microsoft.com/office/drawing/2014/chart" uri="{C3380CC4-5D6E-409C-BE32-E72D297353CC}">
              <c16:uniqueId val="{00000001-50A5-4FA0-A700-68EA448F650D}"/>
            </c:ext>
          </c:extLst>
        </c:ser>
        <c:ser>
          <c:idx val="2"/>
          <c:order val="2"/>
          <c:spPr>
            <a:ln w="19050" cap="rnd">
              <a:noFill/>
              <a:round/>
            </a:ln>
            <a:effectLst/>
          </c:spPr>
          <c:marker>
            <c:symbol val="none"/>
          </c:marker>
          <c:cat>
            <c:strRef>
              <c:f>'Football Field Analysis'!$K$5:$K$9</c:f>
              <c:strCache>
                <c:ptCount val="5"/>
                <c:pt idx="0">
                  <c:v>Comps</c:v>
                </c:pt>
                <c:pt idx="1">
                  <c:v>DCF Bear</c:v>
                </c:pt>
                <c:pt idx="2">
                  <c:v>DCF Base</c:v>
                </c:pt>
                <c:pt idx="3">
                  <c:v>DCF bull</c:v>
                </c:pt>
                <c:pt idx="4">
                  <c:v>52W H/L</c:v>
                </c:pt>
              </c:strCache>
            </c:strRef>
          </c:cat>
          <c:val>
            <c:numRef>
              <c:f>'Football Field Analysis'!$O$5:$O$9</c:f>
              <c:numCache>
                <c:formatCode>#,##0.00</c:formatCode>
                <c:ptCount val="5"/>
                <c:pt idx="0">
                  <c:v>2737.1236425682491</c:v>
                </c:pt>
                <c:pt idx="1">
                  <c:v>362.40440082300302</c:v>
                </c:pt>
                <c:pt idx="2">
                  <c:v>484.42364908068782</c:v>
                </c:pt>
                <c:pt idx="3">
                  <c:v>568.31188225784626</c:v>
                </c:pt>
                <c:pt idx="4">
                  <c:v>5187</c:v>
                </c:pt>
              </c:numCache>
            </c:numRef>
          </c:val>
          <c:smooth val="0"/>
          <c:extLst>
            <c:ext xmlns:c16="http://schemas.microsoft.com/office/drawing/2014/chart" uri="{C3380CC4-5D6E-409C-BE32-E72D297353CC}">
              <c16:uniqueId val="{00000002-50A5-4FA0-A700-68EA448F650D}"/>
            </c:ext>
          </c:extLst>
        </c:ser>
        <c:ser>
          <c:idx val="3"/>
          <c:order val="3"/>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Analysis'!$K$5:$K$9</c:f>
              <c:strCache>
                <c:ptCount val="5"/>
                <c:pt idx="0">
                  <c:v>Comps</c:v>
                </c:pt>
                <c:pt idx="1">
                  <c:v>DCF Bear</c:v>
                </c:pt>
                <c:pt idx="2">
                  <c:v>DCF Base</c:v>
                </c:pt>
                <c:pt idx="3">
                  <c:v>DCF bull</c:v>
                </c:pt>
                <c:pt idx="4">
                  <c:v>52W H/L</c:v>
                </c:pt>
              </c:strCache>
            </c:strRef>
          </c:cat>
          <c:val>
            <c:numRef>
              <c:f>'Football Field Analysis'!$P$5:$P$9</c:f>
              <c:numCache>
                <c:formatCode>#,##0.00</c:formatCode>
                <c:ptCount val="5"/>
                <c:pt idx="0">
                  <c:v>2737.1236425682491</c:v>
                </c:pt>
                <c:pt idx="1">
                  <c:v>362.40440082300302</c:v>
                </c:pt>
                <c:pt idx="2">
                  <c:v>484.42364908068782</c:v>
                </c:pt>
                <c:pt idx="3">
                  <c:v>568.31188225784626</c:v>
                </c:pt>
                <c:pt idx="4">
                  <c:v>5187</c:v>
                </c:pt>
              </c:numCache>
            </c:numRef>
          </c:val>
          <c:smooth val="0"/>
          <c:extLst>
            <c:ext xmlns:c16="http://schemas.microsoft.com/office/drawing/2014/chart" uri="{C3380CC4-5D6E-409C-BE32-E72D297353CC}">
              <c16:uniqueId val="{00000003-50A5-4FA0-A700-68EA448F650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115E6E"/>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391543855"/>
        <c:axId val="391530543"/>
      </c:stockChart>
      <c:catAx>
        <c:axId val="39154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30543"/>
        <c:crosses val="autoZero"/>
        <c:auto val="1"/>
        <c:lblAlgn val="ctr"/>
        <c:lblOffset val="100"/>
        <c:noMultiLvlLbl val="0"/>
      </c:catAx>
      <c:valAx>
        <c:axId val="391530543"/>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1543855"/>
        <c:crosses val="autoZero"/>
        <c:crossBetween val="between"/>
        <c:majorUnit val="1000"/>
        <c:min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wrap="square" lIns="0" tIns="0" rIns="0" bIns="0" anchor="ctr" anchorCtr="1"/>
          <a:lstStyle/>
          <a:p>
            <a:pPr algn="ctr">
              <a:defRPr/>
            </a:pPr>
            <a:r>
              <a:rPr lang="en-US"/>
              <a:t>Daily Returns Distribution</a:t>
            </a:r>
          </a:p>
        </cx:rich>
      </cx:tx>
    </cx:title>
    <cx:plotArea>
      <cx:plotAreaRegion>
        <cx:series layoutId="clusteredColumn" uniqueId="{B277230F-3047-4ADA-BAF8-CFD91FEDE10E}">
          <cx:spPr>
            <a:solidFill>
              <a:srgbClr val="115E6E"/>
            </a:solidFill>
          </cx:spPr>
          <cx:dataId val="0"/>
          <cx:layoutPr>
            <cx:binning intervalClosed="r"/>
          </cx:layoutPr>
        </cx:series>
      </cx:plotAreaRegion>
      <cx:axis id="0" hidden="1">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xdr:col>
      <xdr:colOff>44451</xdr:colOff>
      <xdr:row>1</xdr:row>
      <xdr:rowOff>88900</xdr:rowOff>
    </xdr:from>
    <xdr:to>
      <xdr:col>3</xdr:col>
      <xdr:colOff>261742</xdr:colOff>
      <xdr:row>2</xdr:row>
      <xdr:rowOff>527050</xdr:rowOff>
    </xdr:to>
    <xdr:pic>
      <xdr:nvPicPr>
        <xdr:cNvPr id="2" name="Picture 1" descr="Crafting Timeless Success: The Titan Story | Business Model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46" t="16339" r="22313" b="11044"/>
        <a:stretch/>
      </xdr:blipFill>
      <xdr:spPr bwMode="auto">
        <a:xfrm>
          <a:off x="2857501" y="88900"/>
          <a:ext cx="1035772"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142875</xdr:colOff>
      <xdr:row>13</xdr:row>
      <xdr:rowOff>142875</xdr:rowOff>
    </xdr:from>
    <xdr:to>
      <xdr:col>1</xdr:col>
      <xdr:colOff>1962150</xdr:colOff>
      <xdr:row>20</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120650</xdr:colOff>
      <xdr:row>13</xdr:row>
      <xdr:rowOff>133350</xdr:rowOff>
    </xdr:from>
    <xdr:to>
      <xdr:col>1</xdr:col>
      <xdr:colOff>1689100</xdr:colOff>
      <xdr:row>13</xdr:row>
      <xdr:rowOff>133350</xdr:rowOff>
    </xdr:to>
    <xdr:cxnSp macro="">
      <xdr:nvCxnSpPr>
        <xdr:cNvPr id="7" name="Straight Connector 6"/>
        <xdr:cNvCxnSpPr/>
      </xdr:nvCxnSpPr>
      <xdr:spPr>
        <a:xfrm>
          <a:off x="273050" y="323850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361950</xdr:colOff>
      <xdr:row>12</xdr:row>
      <xdr:rowOff>69850</xdr:rowOff>
    </xdr:from>
    <xdr:to>
      <xdr:col>1</xdr:col>
      <xdr:colOff>1746250</xdr:colOff>
      <xdr:row>13</xdr:row>
      <xdr:rowOff>114300</xdr:rowOff>
    </xdr:to>
    <xdr:sp macro="" textlink="">
      <xdr:nvSpPr>
        <xdr:cNvPr id="9" name="TextBox 8"/>
        <xdr:cNvSpPr txBox="1"/>
      </xdr:nvSpPr>
      <xdr:spPr>
        <a:xfrm>
          <a:off x="514350" y="2990850"/>
          <a:ext cx="13843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Revenue (in</a:t>
          </a:r>
          <a:r>
            <a:rPr lang="en-US" sz="1000" b="1" baseline="0">
              <a:solidFill>
                <a:srgbClr val="115E6E"/>
              </a:solidFill>
            </a:rPr>
            <a:t> Crs.)</a:t>
          </a:r>
          <a:endParaRPr lang="en-US" sz="1000" b="1">
            <a:solidFill>
              <a:srgbClr val="115E6E"/>
            </a:solidFill>
          </a:endParaRPr>
        </a:p>
      </xdr:txBody>
    </xdr:sp>
    <xdr:clientData/>
  </xdr:twoCellAnchor>
  <xdr:twoCellAnchor>
    <xdr:from>
      <xdr:col>1</xdr:col>
      <xdr:colOff>2114550</xdr:colOff>
      <xdr:row>13</xdr:row>
      <xdr:rowOff>146050</xdr:rowOff>
    </xdr:from>
    <xdr:to>
      <xdr:col>4</xdr:col>
      <xdr:colOff>206375</xdr:colOff>
      <xdr:row>20</xdr:row>
      <xdr:rowOff>117475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13</xdr:row>
      <xdr:rowOff>139700</xdr:rowOff>
    </xdr:from>
    <xdr:to>
      <xdr:col>7</xdr:col>
      <xdr:colOff>561975</xdr:colOff>
      <xdr:row>20</xdr:row>
      <xdr:rowOff>111125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2324100</xdr:colOff>
      <xdr:row>13</xdr:row>
      <xdr:rowOff>120650</xdr:rowOff>
    </xdr:from>
    <xdr:to>
      <xdr:col>4</xdr:col>
      <xdr:colOff>12700</xdr:colOff>
      <xdr:row>13</xdr:row>
      <xdr:rowOff>120650</xdr:rowOff>
    </xdr:to>
    <xdr:cxnSp macro="">
      <xdr:nvCxnSpPr>
        <xdr:cNvPr id="12" name="Straight Connector 11"/>
        <xdr:cNvCxnSpPr/>
      </xdr:nvCxnSpPr>
      <xdr:spPr>
        <a:xfrm>
          <a:off x="2476500" y="322580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2565400</xdr:colOff>
      <xdr:row>12</xdr:row>
      <xdr:rowOff>57150</xdr:rowOff>
    </xdr:from>
    <xdr:to>
      <xdr:col>4</xdr:col>
      <xdr:colOff>69850</xdr:colOff>
      <xdr:row>13</xdr:row>
      <xdr:rowOff>101600</xdr:rowOff>
    </xdr:to>
    <xdr:sp macro="" textlink="">
      <xdr:nvSpPr>
        <xdr:cNvPr id="13" name="TextBox 12"/>
        <xdr:cNvSpPr txBox="1"/>
      </xdr:nvSpPr>
      <xdr:spPr>
        <a:xfrm>
          <a:off x="2717800" y="2978150"/>
          <a:ext cx="13843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Net</a:t>
          </a:r>
          <a:r>
            <a:rPr lang="en-US" sz="1000" b="1" baseline="0">
              <a:solidFill>
                <a:srgbClr val="115E6E"/>
              </a:solidFill>
            </a:rPr>
            <a:t> Profit </a:t>
          </a:r>
          <a:r>
            <a:rPr lang="en-US" sz="1000" b="1">
              <a:solidFill>
                <a:srgbClr val="115E6E"/>
              </a:solidFill>
            </a:rPr>
            <a:t>(in</a:t>
          </a:r>
          <a:r>
            <a:rPr lang="en-US" sz="1000" b="1" baseline="0">
              <a:solidFill>
                <a:srgbClr val="115E6E"/>
              </a:solidFill>
            </a:rPr>
            <a:t> Crs.)</a:t>
          </a:r>
          <a:endParaRPr lang="en-US" sz="1000" b="1">
            <a:solidFill>
              <a:srgbClr val="115E6E"/>
            </a:solidFill>
          </a:endParaRPr>
        </a:p>
      </xdr:txBody>
    </xdr:sp>
    <xdr:clientData/>
  </xdr:twoCellAnchor>
  <xdr:twoCellAnchor>
    <xdr:from>
      <xdr:col>4</xdr:col>
      <xdr:colOff>584200</xdr:colOff>
      <xdr:row>13</xdr:row>
      <xdr:rowOff>88900</xdr:rowOff>
    </xdr:from>
    <xdr:to>
      <xdr:col>7</xdr:col>
      <xdr:colOff>323850</xdr:colOff>
      <xdr:row>13</xdr:row>
      <xdr:rowOff>88900</xdr:rowOff>
    </xdr:to>
    <xdr:cxnSp macro="">
      <xdr:nvCxnSpPr>
        <xdr:cNvPr id="14" name="Straight Connector 13"/>
        <xdr:cNvCxnSpPr/>
      </xdr:nvCxnSpPr>
      <xdr:spPr>
        <a:xfrm>
          <a:off x="4616450" y="319405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25400</xdr:colOff>
      <xdr:row>12</xdr:row>
      <xdr:rowOff>12700</xdr:rowOff>
    </xdr:from>
    <xdr:to>
      <xdr:col>7</xdr:col>
      <xdr:colOff>381000</xdr:colOff>
      <xdr:row>13</xdr:row>
      <xdr:rowOff>12700</xdr:rowOff>
    </xdr:to>
    <xdr:sp macro="" textlink="">
      <xdr:nvSpPr>
        <xdr:cNvPr id="15" name="TextBox 14"/>
        <xdr:cNvSpPr txBox="1"/>
      </xdr:nvSpPr>
      <xdr:spPr>
        <a:xfrm>
          <a:off x="4667250" y="2933700"/>
          <a:ext cx="1574800" cy="184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Avg Total</a:t>
          </a:r>
          <a:r>
            <a:rPr lang="en-US" sz="1000" b="1" baseline="0">
              <a:solidFill>
                <a:srgbClr val="115E6E"/>
              </a:solidFill>
            </a:rPr>
            <a:t> Assets</a:t>
          </a:r>
          <a:r>
            <a:rPr lang="en-US" sz="1000" b="1">
              <a:solidFill>
                <a:srgbClr val="115E6E"/>
              </a:solidFill>
            </a:rPr>
            <a:t> (in</a:t>
          </a:r>
          <a:r>
            <a:rPr lang="en-US" sz="1000" b="1" baseline="0">
              <a:solidFill>
                <a:srgbClr val="115E6E"/>
              </a:solidFill>
            </a:rPr>
            <a:t> Crs.)</a:t>
          </a:r>
          <a:endParaRPr lang="en-US" sz="1000" b="1">
            <a:solidFill>
              <a:srgbClr val="115E6E"/>
            </a:solidFill>
          </a:endParaRPr>
        </a:p>
      </xdr:txBody>
    </xdr:sp>
    <xdr:clientData/>
  </xdr:twoCellAnchor>
  <xdr:twoCellAnchor>
    <xdr:from>
      <xdr:col>1</xdr:col>
      <xdr:colOff>25400</xdr:colOff>
      <xdr:row>23</xdr:row>
      <xdr:rowOff>41275</xdr:rowOff>
    </xdr:from>
    <xdr:to>
      <xdr:col>1</xdr:col>
      <xdr:colOff>1997075</xdr:colOff>
      <xdr:row>30</xdr:row>
      <xdr:rowOff>12700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155575</xdr:colOff>
      <xdr:row>23</xdr:row>
      <xdr:rowOff>31750</xdr:rowOff>
    </xdr:from>
    <xdr:to>
      <xdr:col>1</xdr:col>
      <xdr:colOff>1724025</xdr:colOff>
      <xdr:row>23</xdr:row>
      <xdr:rowOff>31750</xdr:rowOff>
    </xdr:to>
    <xdr:cxnSp macro="">
      <xdr:nvCxnSpPr>
        <xdr:cNvPr id="20" name="Straight Connector 19"/>
        <xdr:cNvCxnSpPr/>
      </xdr:nvCxnSpPr>
      <xdr:spPr>
        <a:xfrm>
          <a:off x="307975" y="497840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396875</xdr:colOff>
      <xdr:row>21</xdr:row>
      <xdr:rowOff>152400</xdr:rowOff>
    </xdr:from>
    <xdr:to>
      <xdr:col>1</xdr:col>
      <xdr:colOff>1781175</xdr:colOff>
      <xdr:row>23</xdr:row>
      <xdr:rowOff>12700</xdr:rowOff>
    </xdr:to>
    <xdr:sp macro="" textlink="">
      <xdr:nvSpPr>
        <xdr:cNvPr id="21" name="TextBox 20"/>
        <xdr:cNvSpPr txBox="1"/>
      </xdr:nvSpPr>
      <xdr:spPr>
        <a:xfrm>
          <a:off x="549275" y="4730750"/>
          <a:ext cx="13843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Return</a:t>
          </a:r>
          <a:r>
            <a:rPr lang="en-US" sz="1000" b="1" baseline="0">
              <a:solidFill>
                <a:srgbClr val="115E6E"/>
              </a:solidFill>
            </a:rPr>
            <a:t> on Equity (%)</a:t>
          </a:r>
          <a:endParaRPr lang="en-US" sz="1000" b="1">
            <a:solidFill>
              <a:srgbClr val="115E6E"/>
            </a:solidFill>
          </a:endParaRPr>
        </a:p>
      </xdr:txBody>
    </xdr:sp>
    <xdr:clientData/>
  </xdr:twoCellAnchor>
  <xdr:twoCellAnchor>
    <xdr:from>
      <xdr:col>1</xdr:col>
      <xdr:colOff>2190750</xdr:colOff>
      <xdr:row>23</xdr:row>
      <xdr:rowOff>9525</xdr:rowOff>
    </xdr:from>
    <xdr:to>
      <xdr:col>4</xdr:col>
      <xdr:colOff>282575</xdr:colOff>
      <xdr:row>29</xdr:row>
      <xdr:rowOff>165100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2320925</xdr:colOff>
      <xdr:row>23</xdr:row>
      <xdr:rowOff>0</xdr:rowOff>
    </xdr:from>
    <xdr:to>
      <xdr:col>4</xdr:col>
      <xdr:colOff>9525</xdr:colOff>
      <xdr:row>23</xdr:row>
      <xdr:rowOff>0</xdr:rowOff>
    </xdr:to>
    <xdr:cxnSp macro="">
      <xdr:nvCxnSpPr>
        <xdr:cNvPr id="23" name="Straight Connector 22"/>
        <xdr:cNvCxnSpPr/>
      </xdr:nvCxnSpPr>
      <xdr:spPr>
        <a:xfrm>
          <a:off x="2473325" y="494665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2457450</xdr:colOff>
      <xdr:row>21</xdr:row>
      <xdr:rowOff>133350</xdr:rowOff>
    </xdr:from>
    <xdr:to>
      <xdr:col>4</xdr:col>
      <xdr:colOff>111125</xdr:colOff>
      <xdr:row>22</xdr:row>
      <xdr:rowOff>152400</xdr:rowOff>
    </xdr:to>
    <xdr:sp macro="" textlink="">
      <xdr:nvSpPr>
        <xdr:cNvPr id="24" name="TextBox 23"/>
        <xdr:cNvSpPr txBox="1"/>
      </xdr:nvSpPr>
      <xdr:spPr>
        <a:xfrm>
          <a:off x="2609850" y="4711700"/>
          <a:ext cx="1533525" cy="203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Return</a:t>
          </a:r>
          <a:r>
            <a:rPr lang="en-US" sz="1000" b="1" baseline="0">
              <a:solidFill>
                <a:srgbClr val="115E6E"/>
              </a:solidFill>
            </a:rPr>
            <a:t> on Asset</a:t>
          </a:r>
          <a:r>
            <a:rPr lang="en-US" sz="1000" b="1">
              <a:solidFill>
                <a:srgbClr val="115E6E"/>
              </a:solidFill>
            </a:rPr>
            <a:t> (%</a:t>
          </a:r>
          <a:r>
            <a:rPr lang="en-US" sz="1000" b="1" baseline="0">
              <a:solidFill>
                <a:srgbClr val="115E6E"/>
              </a:solidFill>
            </a:rPr>
            <a:t>)</a:t>
          </a:r>
          <a:endParaRPr lang="en-US" sz="1000" b="1">
            <a:solidFill>
              <a:srgbClr val="115E6E"/>
            </a:solidFill>
          </a:endParaRPr>
        </a:p>
      </xdr:txBody>
    </xdr:sp>
    <xdr:clientData/>
  </xdr:twoCellAnchor>
  <xdr:twoCellAnchor>
    <xdr:from>
      <xdr:col>4</xdr:col>
      <xdr:colOff>419100</xdr:colOff>
      <xdr:row>22</xdr:row>
      <xdr:rowOff>180975</xdr:rowOff>
    </xdr:from>
    <xdr:to>
      <xdr:col>7</xdr:col>
      <xdr:colOff>561975</xdr:colOff>
      <xdr:row>29</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549275</xdr:colOff>
      <xdr:row>22</xdr:row>
      <xdr:rowOff>171450</xdr:rowOff>
    </xdr:from>
    <xdr:to>
      <xdr:col>7</xdr:col>
      <xdr:colOff>288925</xdr:colOff>
      <xdr:row>22</xdr:row>
      <xdr:rowOff>171450</xdr:rowOff>
    </xdr:to>
    <xdr:cxnSp macro="">
      <xdr:nvCxnSpPr>
        <xdr:cNvPr id="26" name="Straight Connector 25"/>
        <xdr:cNvCxnSpPr/>
      </xdr:nvCxnSpPr>
      <xdr:spPr>
        <a:xfrm>
          <a:off x="4581525" y="493395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180975</xdr:colOff>
      <xdr:row>21</xdr:row>
      <xdr:rowOff>107950</xdr:rowOff>
    </xdr:from>
    <xdr:to>
      <xdr:col>7</xdr:col>
      <xdr:colOff>346075</xdr:colOff>
      <xdr:row>22</xdr:row>
      <xdr:rowOff>152400</xdr:rowOff>
    </xdr:to>
    <xdr:sp macro="" textlink="">
      <xdr:nvSpPr>
        <xdr:cNvPr id="27" name="TextBox 26"/>
        <xdr:cNvSpPr txBox="1"/>
      </xdr:nvSpPr>
      <xdr:spPr>
        <a:xfrm>
          <a:off x="4822825" y="4686300"/>
          <a:ext cx="13843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Financial</a:t>
          </a:r>
          <a:r>
            <a:rPr lang="en-US" sz="1000" b="1" baseline="0">
              <a:solidFill>
                <a:srgbClr val="115E6E"/>
              </a:solidFill>
            </a:rPr>
            <a:t> Leverage</a:t>
          </a:r>
          <a:endParaRPr lang="en-US" sz="1000" b="1">
            <a:solidFill>
              <a:srgbClr val="115E6E"/>
            </a:solidFill>
          </a:endParaRPr>
        </a:p>
      </xdr:txBody>
    </xdr:sp>
    <xdr:clientData/>
  </xdr:twoCellAnchor>
  <xdr:twoCellAnchor>
    <xdr:from>
      <xdr:col>1</xdr:col>
      <xdr:colOff>16711</xdr:colOff>
      <xdr:row>76</xdr:row>
      <xdr:rowOff>125328</xdr:rowOff>
    </xdr:from>
    <xdr:to>
      <xdr:col>7</xdr:col>
      <xdr:colOff>267369</xdr:colOff>
      <xdr:row>90</xdr:row>
      <xdr:rowOff>25066</xdr:rowOff>
    </xdr:to>
    <xdr:sp macro="" textlink="">
      <xdr:nvSpPr>
        <xdr:cNvPr id="31" name="TextBox 30"/>
        <xdr:cNvSpPr txBox="1"/>
      </xdr:nvSpPr>
      <xdr:spPr>
        <a:xfrm>
          <a:off x="167106" y="15014407"/>
          <a:ext cx="6191250" cy="2556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15E6E"/>
              </a:solidFill>
            </a:rPr>
            <a:t>Dupont Summary</a:t>
          </a:r>
        </a:p>
        <a:p>
          <a:pPr rtl="0"/>
          <a:r>
            <a:rPr lang="en-US" sz="1200"/>
            <a:t>1. Return on Equity of Titan Company fell to its lowest level of 13.74% in FY21 during Covid, recovered to 25.87% in FY22, and now stands at 37.13% in FY26, its highest in the seven-year period.</a:t>
          </a:r>
        </a:p>
        <a:p>
          <a:pPr rtl="0"/>
          <a:r>
            <a:rPr lang="en-US" sz="1200"/>
            <a:t>2. Net Profit Margin has declined from a peak of 8.01% in FY23 to 5.79% in FY26, as net profit grew more slowly than revenue.</a:t>
          </a:r>
        </a:p>
        <a:p>
          <a:pPr rtl="0"/>
          <a:r>
            <a:rPr lang="en-US" sz="1200"/>
            <a:t>3. Asset Turnover Ratio has remained stable, between 1.67x and 1.74x since FY23, while Financial Leverage has increased significantly from 1.98x in FY20 to 3.70x in FY26.</a:t>
          </a:r>
        </a:p>
        <a:p>
          <a:pPr rtl="0"/>
          <a:r>
            <a:rPr lang="en-US" sz="1200"/>
            <a:t>4. Return on Assets has fallen from 13.48% in FY23 to 10.03% in FY26, and interest cost has risen from ₹300 crore to ₹1,180 crore over the same period.</a:t>
          </a:r>
        </a:p>
        <a:p>
          <a:pPr rtl="0"/>
          <a:r>
            <a:rPr lang="en-US" sz="1200"/>
            <a:t>5. Overall, the rise in ROE is driven by higher debt and not by better margins or efficiency, so the quality of ROE has weakened even though the headline number is at its highest.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44451</xdr:colOff>
      <xdr:row>1</xdr:row>
      <xdr:rowOff>88900</xdr:rowOff>
    </xdr:from>
    <xdr:to>
      <xdr:col>3</xdr:col>
      <xdr:colOff>247937</xdr:colOff>
      <xdr:row>2</xdr:row>
      <xdr:rowOff>527050</xdr:rowOff>
    </xdr:to>
    <xdr:pic>
      <xdr:nvPicPr>
        <xdr:cNvPr id="2" name="Picture 1" descr="Crafting Timeless Success: The Titan Story | Business Model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246" t="16339" r="22313" b="11044"/>
        <a:stretch/>
      </xdr:blipFill>
      <xdr:spPr bwMode="auto">
        <a:xfrm>
          <a:off x="2857501" y="273050"/>
          <a:ext cx="1036441"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142875</xdr:colOff>
      <xdr:row>11</xdr:row>
      <xdr:rowOff>142875</xdr:rowOff>
    </xdr:from>
    <xdr:to>
      <xdr:col>1</xdr:col>
      <xdr:colOff>1962150</xdr:colOff>
      <xdr:row>18</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120650</xdr:colOff>
      <xdr:row>11</xdr:row>
      <xdr:rowOff>133350</xdr:rowOff>
    </xdr:from>
    <xdr:to>
      <xdr:col>1</xdr:col>
      <xdr:colOff>1689100</xdr:colOff>
      <xdr:row>11</xdr:row>
      <xdr:rowOff>133350</xdr:rowOff>
    </xdr:to>
    <xdr:cxnSp macro="">
      <xdr:nvCxnSpPr>
        <xdr:cNvPr id="4" name="Straight Connector 3"/>
        <xdr:cNvCxnSpPr/>
      </xdr:nvCxnSpPr>
      <xdr:spPr>
        <a:xfrm>
          <a:off x="273050" y="343535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44449</xdr:colOff>
      <xdr:row>10</xdr:row>
      <xdr:rowOff>62948</xdr:rowOff>
    </xdr:from>
    <xdr:to>
      <xdr:col>1</xdr:col>
      <xdr:colOff>1946412</xdr:colOff>
      <xdr:row>11</xdr:row>
      <xdr:rowOff>131141</xdr:rowOff>
    </xdr:to>
    <xdr:sp macro="" textlink="">
      <xdr:nvSpPr>
        <xdr:cNvPr id="5" name="TextBox 4"/>
        <xdr:cNvSpPr txBox="1"/>
      </xdr:nvSpPr>
      <xdr:spPr>
        <a:xfrm>
          <a:off x="196297" y="3196535"/>
          <a:ext cx="1901963" cy="2545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Working</a:t>
          </a:r>
          <a:r>
            <a:rPr lang="en-US" sz="1000" b="1" baseline="0">
              <a:solidFill>
                <a:srgbClr val="115E6E"/>
              </a:solidFill>
            </a:rPr>
            <a:t> Capital/Total Assets</a:t>
          </a:r>
          <a:endParaRPr lang="en-US" sz="1000" b="1">
            <a:solidFill>
              <a:srgbClr val="115E6E"/>
            </a:solidFill>
          </a:endParaRPr>
        </a:p>
      </xdr:txBody>
    </xdr:sp>
    <xdr:clientData/>
  </xdr:twoCellAnchor>
  <xdr:twoCellAnchor>
    <xdr:from>
      <xdr:col>1</xdr:col>
      <xdr:colOff>2114550</xdr:colOff>
      <xdr:row>11</xdr:row>
      <xdr:rowOff>146050</xdr:rowOff>
    </xdr:from>
    <xdr:to>
      <xdr:col>4</xdr:col>
      <xdr:colOff>206375</xdr:colOff>
      <xdr:row>18</xdr:row>
      <xdr:rowOff>117475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419100</xdr:colOff>
      <xdr:row>11</xdr:row>
      <xdr:rowOff>139700</xdr:rowOff>
    </xdr:from>
    <xdr:to>
      <xdr:col>7</xdr:col>
      <xdr:colOff>561975</xdr:colOff>
      <xdr:row>18</xdr:row>
      <xdr:rowOff>111125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2324100</xdr:colOff>
      <xdr:row>11</xdr:row>
      <xdr:rowOff>120650</xdr:rowOff>
    </xdr:from>
    <xdr:to>
      <xdr:col>4</xdr:col>
      <xdr:colOff>12700</xdr:colOff>
      <xdr:row>11</xdr:row>
      <xdr:rowOff>120650</xdr:rowOff>
    </xdr:to>
    <xdr:cxnSp macro="">
      <xdr:nvCxnSpPr>
        <xdr:cNvPr id="8" name="Straight Connector 7"/>
        <xdr:cNvCxnSpPr/>
      </xdr:nvCxnSpPr>
      <xdr:spPr>
        <a:xfrm>
          <a:off x="2476500" y="3422650"/>
          <a:ext cx="1803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2399748</xdr:colOff>
      <xdr:row>10</xdr:row>
      <xdr:rowOff>15737</xdr:rowOff>
    </xdr:from>
    <xdr:to>
      <xdr:col>4</xdr:col>
      <xdr:colOff>96630</xdr:colOff>
      <xdr:row>11</xdr:row>
      <xdr:rowOff>117337</xdr:rowOff>
    </xdr:to>
    <xdr:sp macro="" textlink="">
      <xdr:nvSpPr>
        <xdr:cNvPr id="9" name="TextBox 8"/>
        <xdr:cNvSpPr txBox="1"/>
      </xdr:nvSpPr>
      <xdr:spPr>
        <a:xfrm>
          <a:off x="2551596" y="3149324"/>
          <a:ext cx="1941719" cy="2879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Retained</a:t>
          </a:r>
          <a:r>
            <a:rPr lang="en-US" sz="1000" b="1" baseline="0">
              <a:solidFill>
                <a:srgbClr val="115E6E"/>
              </a:solidFill>
            </a:rPr>
            <a:t> Earnings/Total Assets</a:t>
          </a:r>
          <a:endParaRPr lang="en-US" sz="1000" b="1">
            <a:solidFill>
              <a:srgbClr val="115E6E"/>
            </a:solidFill>
          </a:endParaRPr>
        </a:p>
      </xdr:txBody>
    </xdr:sp>
    <xdr:clientData/>
  </xdr:twoCellAnchor>
  <xdr:twoCellAnchor>
    <xdr:from>
      <xdr:col>4</xdr:col>
      <xdr:colOff>584200</xdr:colOff>
      <xdr:row>11</xdr:row>
      <xdr:rowOff>88900</xdr:rowOff>
    </xdr:from>
    <xdr:to>
      <xdr:col>7</xdr:col>
      <xdr:colOff>323850</xdr:colOff>
      <xdr:row>11</xdr:row>
      <xdr:rowOff>88900</xdr:rowOff>
    </xdr:to>
    <xdr:cxnSp macro="">
      <xdr:nvCxnSpPr>
        <xdr:cNvPr id="10" name="Straight Connector 9"/>
        <xdr:cNvCxnSpPr/>
      </xdr:nvCxnSpPr>
      <xdr:spPr>
        <a:xfrm>
          <a:off x="4851400" y="339090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246270</xdr:colOff>
      <xdr:row>10</xdr:row>
      <xdr:rowOff>47211</xdr:rowOff>
    </xdr:from>
    <xdr:to>
      <xdr:col>7</xdr:col>
      <xdr:colOff>601870</xdr:colOff>
      <xdr:row>11</xdr:row>
      <xdr:rowOff>47211</xdr:rowOff>
    </xdr:to>
    <xdr:sp macro="" textlink="">
      <xdr:nvSpPr>
        <xdr:cNvPr id="11" name="TextBox 10"/>
        <xdr:cNvSpPr txBox="1"/>
      </xdr:nvSpPr>
      <xdr:spPr>
        <a:xfrm>
          <a:off x="5498824" y="3180798"/>
          <a:ext cx="2019024" cy="1863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EBIT/Total</a:t>
          </a:r>
          <a:r>
            <a:rPr lang="en-US" sz="1000" b="1" baseline="0">
              <a:solidFill>
                <a:srgbClr val="115E6E"/>
              </a:solidFill>
            </a:rPr>
            <a:t> Assets</a:t>
          </a:r>
        </a:p>
        <a:p>
          <a:endParaRPr lang="en-US" sz="1000" b="1">
            <a:solidFill>
              <a:srgbClr val="115E6E"/>
            </a:solidFill>
          </a:endParaRPr>
        </a:p>
      </xdr:txBody>
    </xdr:sp>
    <xdr:clientData/>
  </xdr:twoCellAnchor>
  <xdr:twoCellAnchor>
    <xdr:from>
      <xdr:col>1</xdr:col>
      <xdr:colOff>25400</xdr:colOff>
      <xdr:row>21</xdr:row>
      <xdr:rowOff>41275</xdr:rowOff>
    </xdr:from>
    <xdr:to>
      <xdr:col>1</xdr:col>
      <xdr:colOff>1997075</xdr:colOff>
      <xdr:row>28</xdr:row>
      <xdr:rowOff>12700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155575</xdr:colOff>
      <xdr:row>21</xdr:row>
      <xdr:rowOff>31750</xdr:rowOff>
    </xdr:from>
    <xdr:to>
      <xdr:col>1</xdr:col>
      <xdr:colOff>1724025</xdr:colOff>
      <xdr:row>21</xdr:row>
      <xdr:rowOff>31750</xdr:rowOff>
    </xdr:to>
    <xdr:cxnSp macro="">
      <xdr:nvCxnSpPr>
        <xdr:cNvPr id="13" name="Straight Connector 12"/>
        <xdr:cNvCxnSpPr/>
      </xdr:nvCxnSpPr>
      <xdr:spPr>
        <a:xfrm>
          <a:off x="307975" y="517525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58668</xdr:colOff>
      <xdr:row>19</xdr:row>
      <xdr:rowOff>131693</xdr:rowOff>
    </xdr:from>
    <xdr:to>
      <xdr:col>1</xdr:col>
      <xdr:colOff>1925706</xdr:colOff>
      <xdr:row>20</xdr:row>
      <xdr:rowOff>172554</xdr:rowOff>
    </xdr:to>
    <xdr:sp macro="" textlink="">
      <xdr:nvSpPr>
        <xdr:cNvPr id="14" name="TextBox 13"/>
        <xdr:cNvSpPr txBox="1"/>
      </xdr:nvSpPr>
      <xdr:spPr>
        <a:xfrm>
          <a:off x="210516" y="4942508"/>
          <a:ext cx="1867038" cy="227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Mkt</a:t>
          </a:r>
          <a:r>
            <a:rPr lang="en-US" sz="1000" b="1" baseline="0">
              <a:solidFill>
                <a:srgbClr val="115E6E"/>
              </a:solidFill>
            </a:rPr>
            <a:t> Cap/ Long term Liabilities</a:t>
          </a:r>
          <a:endParaRPr lang="en-US" sz="1000" b="1">
            <a:solidFill>
              <a:srgbClr val="115E6E"/>
            </a:solidFill>
          </a:endParaRPr>
        </a:p>
      </xdr:txBody>
    </xdr:sp>
    <xdr:clientData/>
  </xdr:twoCellAnchor>
  <xdr:twoCellAnchor>
    <xdr:from>
      <xdr:col>1</xdr:col>
      <xdr:colOff>2190750</xdr:colOff>
      <xdr:row>21</xdr:row>
      <xdr:rowOff>9525</xdr:rowOff>
    </xdr:from>
    <xdr:to>
      <xdr:col>4</xdr:col>
      <xdr:colOff>282575</xdr:colOff>
      <xdr:row>27</xdr:row>
      <xdr:rowOff>165100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2320925</xdr:colOff>
      <xdr:row>21</xdr:row>
      <xdr:rowOff>0</xdr:rowOff>
    </xdr:from>
    <xdr:to>
      <xdr:col>4</xdr:col>
      <xdr:colOff>9525</xdr:colOff>
      <xdr:row>21</xdr:row>
      <xdr:rowOff>0</xdr:rowOff>
    </xdr:to>
    <xdr:cxnSp macro="">
      <xdr:nvCxnSpPr>
        <xdr:cNvPr id="16" name="Straight Connector 15"/>
        <xdr:cNvCxnSpPr/>
      </xdr:nvCxnSpPr>
      <xdr:spPr>
        <a:xfrm>
          <a:off x="2473325" y="5143500"/>
          <a:ext cx="1803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96907</xdr:colOff>
      <xdr:row>19</xdr:row>
      <xdr:rowOff>119546</xdr:rowOff>
    </xdr:from>
    <xdr:to>
      <xdr:col>4</xdr:col>
      <xdr:colOff>407919</xdr:colOff>
      <xdr:row>20</xdr:row>
      <xdr:rowOff>138596</xdr:rowOff>
    </xdr:to>
    <xdr:sp macro="" textlink="">
      <xdr:nvSpPr>
        <xdr:cNvPr id="17" name="TextBox 16"/>
        <xdr:cNvSpPr txBox="1"/>
      </xdr:nvSpPr>
      <xdr:spPr>
        <a:xfrm>
          <a:off x="2906092" y="4930361"/>
          <a:ext cx="1898512" cy="205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Sales/</a:t>
          </a:r>
          <a:r>
            <a:rPr lang="en-US" sz="1000" b="1" baseline="0">
              <a:solidFill>
                <a:srgbClr val="115E6E"/>
              </a:solidFill>
            </a:rPr>
            <a:t> Total Asses</a:t>
          </a:r>
          <a:endParaRPr lang="en-US" sz="1000" b="1">
            <a:solidFill>
              <a:srgbClr val="115E6E"/>
            </a:solidFill>
          </a:endParaRPr>
        </a:p>
      </xdr:txBody>
    </xdr:sp>
    <xdr:clientData/>
  </xdr:twoCellAnchor>
  <xdr:twoCellAnchor>
    <xdr:from>
      <xdr:col>4</xdr:col>
      <xdr:colOff>419100</xdr:colOff>
      <xdr:row>20</xdr:row>
      <xdr:rowOff>180975</xdr:rowOff>
    </xdr:from>
    <xdr:to>
      <xdr:col>7</xdr:col>
      <xdr:colOff>561975</xdr:colOff>
      <xdr:row>27</xdr:row>
      <xdr:rowOff>152400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549275</xdr:colOff>
      <xdr:row>20</xdr:row>
      <xdr:rowOff>171450</xdr:rowOff>
    </xdr:from>
    <xdr:to>
      <xdr:col>7</xdr:col>
      <xdr:colOff>288925</xdr:colOff>
      <xdr:row>20</xdr:row>
      <xdr:rowOff>171450</xdr:rowOff>
    </xdr:to>
    <xdr:cxnSp macro="">
      <xdr:nvCxnSpPr>
        <xdr:cNvPr id="19" name="Straight Connector 18"/>
        <xdr:cNvCxnSpPr/>
      </xdr:nvCxnSpPr>
      <xdr:spPr>
        <a:xfrm>
          <a:off x="4816475" y="5130800"/>
          <a:ext cx="1568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332823</xdr:colOff>
      <xdr:row>19</xdr:row>
      <xdr:rowOff>107950</xdr:rowOff>
    </xdr:from>
    <xdr:to>
      <xdr:col>7</xdr:col>
      <xdr:colOff>497923</xdr:colOff>
      <xdr:row>20</xdr:row>
      <xdr:rowOff>152400</xdr:rowOff>
    </xdr:to>
    <xdr:sp macro="" textlink="">
      <xdr:nvSpPr>
        <xdr:cNvPr id="20" name="TextBox 19"/>
        <xdr:cNvSpPr txBox="1"/>
      </xdr:nvSpPr>
      <xdr:spPr>
        <a:xfrm>
          <a:off x="5585377" y="4918765"/>
          <a:ext cx="1828524" cy="230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115E6E"/>
              </a:solidFill>
            </a:rPr>
            <a:t>Altman's</a:t>
          </a:r>
          <a:r>
            <a:rPr lang="en-US" sz="1000" b="1" baseline="0">
              <a:solidFill>
                <a:srgbClr val="115E6E"/>
              </a:solidFill>
            </a:rPr>
            <a:t> Z Score</a:t>
          </a:r>
          <a:endParaRPr lang="en-US" sz="1000" b="1">
            <a:solidFill>
              <a:srgbClr val="115E6E"/>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187325</xdr:colOff>
      <xdr:row>0</xdr:row>
      <xdr:rowOff>180975</xdr:rowOff>
    </xdr:from>
    <xdr:to>
      <xdr:col>9</xdr:col>
      <xdr:colOff>355600</xdr:colOff>
      <xdr:row>15</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196850</xdr:colOff>
      <xdr:row>6</xdr:row>
      <xdr:rowOff>31750</xdr:rowOff>
    </xdr:from>
    <xdr:to>
      <xdr:col>8</xdr:col>
      <xdr:colOff>539750</xdr:colOff>
      <xdr:row>6</xdr:row>
      <xdr:rowOff>44450</xdr:rowOff>
    </xdr:to>
    <xdr:cxnSp macro="">
      <xdr:nvCxnSpPr>
        <xdr:cNvPr id="4" name="Straight Connector 3"/>
        <xdr:cNvCxnSpPr/>
      </xdr:nvCxnSpPr>
      <xdr:spPr>
        <a:xfrm flipV="1">
          <a:off x="1009650" y="1136650"/>
          <a:ext cx="4000500" cy="12700"/>
        </a:xfrm>
        <a:prstGeom prst="line">
          <a:avLst/>
        </a:prstGeom>
        <a:ln w="952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120650</xdr:colOff>
      <xdr:row>4</xdr:row>
      <xdr:rowOff>120650</xdr:rowOff>
    </xdr:from>
    <xdr:to>
      <xdr:col>4</xdr:col>
      <xdr:colOff>158750</xdr:colOff>
      <xdr:row>6</xdr:row>
      <xdr:rowOff>19050</xdr:rowOff>
    </xdr:to>
    <xdr:sp macro="" textlink="">
      <xdr:nvSpPr>
        <xdr:cNvPr id="8" name="TextBox 7"/>
        <xdr:cNvSpPr txBox="1"/>
      </xdr:nvSpPr>
      <xdr:spPr>
        <a:xfrm>
          <a:off x="933450" y="857250"/>
          <a:ext cx="12573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bg1">
                  <a:lumMod val="65000"/>
                </a:schemeClr>
              </a:solidFill>
            </a:rPr>
            <a:t>CMP: </a:t>
          </a:r>
          <a:r>
            <a:rPr lang="en-US" sz="1100" b="1" i="1">
              <a:solidFill>
                <a:schemeClr val="bg1">
                  <a:lumMod val="65000"/>
                </a:schemeClr>
              </a:solidFill>
              <a:effectLst/>
              <a:latin typeface="+mn-lt"/>
              <a:ea typeface="+mn-ea"/>
              <a:cs typeface="+mn-cs"/>
            </a:rPr>
            <a:t>₹ 4,406</a:t>
          </a:r>
          <a:endParaRPr lang="en-US" sz="1100" i="1">
            <a:solidFill>
              <a:schemeClr val="bg1">
                <a:lumMod val="65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323851</xdr:colOff>
      <xdr:row>22</xdr:row>
      <xdr:rowOff>114301</xdr:rowOff>
    </xdr:from>
    <xdr:to>
      <xdr:col>13</xdr:col>
      <xdr:colOff>77982</xdr:colOff>
      <xdr:row>36</xdr:row>
      <xdr:rowOff>11140</xdr:rowOff>
    </xdr:to>
    <mc:AlternateContent xmlns:mc="http://schemas.openxmlformats.org/markup-compatibility/2006">
      <mc:Choice xmlns:cx1="http://schemas.microsoft.com/office/drawing/2015/9/8/chartex" Requires="cx1">
        <xdr:graphicFrame macro="">
          <xdr:nvGraphicFramePr>
            <xdr:cNvPr id="3" name="Chart 2"/>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1"/>
  <sheetViews>
    <sheetView showGridLines="0" workbookViewId="0">
      <selection activeCell="D4" sqref="D4"/>
    </sheetView>
  </sheetViews>
  <sheetFormatPr defaultRowHeight="14.5" x14ac:dyDescent="0.35"/>
  <cols>
    <col min="1" max="1" width="3.7265625" customWidth="1"/>
    <col min="2" max="2" width="49.81640625" customWidth="1"/>
    <col min="3" max="3" width="42.7265625" bestFit="1" customWidth="1"/>
    <col min="4" max="4" width="31.26953125" bestFit="1" customWidth="1"/>
  </cols>
  <sheetData>
    <row r="1" spans="2:11" s="14" customFormat="1" x14ac:dyDescent="0.35">
      <c r="B1" s="334" t="str">
        <f>"Financial Model:" &amp; 'Data Sheet'!B1</f>
        <v>Financial Model:TITAN COMPANY LTD</v>
      </c>
      <c r="C1" s="335"/>
      <c r="D1" s="13"/>
      <c r="E1" s="13"/>
      <c r="F1" s="13"/>
      <c r="G1" s="13"/>
      <c r="H1" s="13"/>
      <c r="I1" s="13"/>
      <c r="J1" s="13"/>
      <c r="K1" s="13"/>
    </row>
    <row r="2" spans="2:11" x14ac:dyDescent="0.35">
      <c r="B2" s="15"/>
      <c r="C2" s="16"/>
    </row>
    <row r="3" spans="2:11" x14ac:dyDescent="0.35">
      <c r="B3" s="332" t="s">
        <v>54</v>
      </c>
      <c r="C3" s="333"/>
      <c r="D3" s="12"/>
      <c r="E3" s="12"/>
      <c r="F3" s="12"/>
      <c r="G3" s="12"/>
      <c r="H3" s="12"/>
      <c r="I3" s="12"/>
      <c r="J3" s="12"/>
      <c r="K3" s="12"/>
    </row>
    <row r="4" spans="2:11" x14ac:dyDescent="0.35">
      <c r="B4" s="15"/>
      <c r="C4" s="16"/>
    </row>
    <row r="5" spans="2:11" x14ac:dyDescent="0.35">
      <c r="B5" s="321" t="s">
        <v>55</v>
      </c>
      <c r="C5" s="322" t="s">
        <v>56</v>
      </c>
    </row>
    <row r="6" spans="2:11" x14ac:dyDescent="0.35">
      <c r="B6" s="17"/>
      <c r="C6" s="18"/>
    </row>
    <row r="7" spans="2:11" x14ac:dyDescent="0.35">
      <c r="B7" s="15" t="s">
        <v>57</v>
      </c>
      <c r="C7" s="16" t="s">
        <v>58</v>
      </c>
    </row>
    <row r="8" spans="2:11" x14ac:dyDescent="0.35">
      <c r="B8" s="15" t="s">
        <v>59</v>
      </c>
      <c r="C8" s="16" t="s">
        <v>60</v>
      </c>
    </row>
    <row r="9" spans="2:11" x14ac:dyDescent="0.35">
      <c r="B9" s="15" t="s">
        <v>61</v>
      </c>
      <c r="C9" s="16" t="s">
        <v>62</v>
      </c>
    </row>
    <row r="10" spans="2:11" x14ac:dyDescent="0.35">
      <c r="B10" s="15" t="s">
        <v>63</v>
      </c>
      <c r="C10" s="16" t="s">
        <v>64</v>
      </c>
    </row>
    <row r="11" spans="2:11" x14ac:dyDescent="0.35">
      <c r="B11" s="15" t="s">
        <v>65</v>
      </c>
      <c r="C11" s="19">
        <v>1984</v>
      </c>
    </row>
    <row r="12" spans="2:11" x14ac:dyDescent="0.35">
      <c r="B12" s="15" t="s">
        <v>66</v>
      </c>
      <c r="C12" s="16" t="s">
        <v>67</v>
      </c>
    </row>
    <row r="13" spans="2:11" x14ac:dyDescent="0.35">
      <c r="B13" s="15" t="s">
        <v>68</v>
      </c>
      <c r="C13" s="16" t="s">
        <v>69</v>
      </c>
    </row>
    <row r="14" spans="2:11" x14ac:dyDescent="0.35">
      <c r="B14" s="15" t="s">
        <v>70</v>
      </c>
      <c r="C14" s="16" t="s">
        <v>71</v>
      </c>
    </row>
    <row r="15" spans="2:11" x14ac:dyDescent="0.35">
      <c r="B15" s="15"/>
      <c r="C15" s="16"/>
    </row>
    <row r="16" spans="2:11" x14ac:dyDescent="0.35">
      <c r="B16" s="319" t="s">
        <v>72</v>
      </c>
      <c r="C16" s="320"/>
    </row>
    <row r="17" spans="2:3" x14ac:dyDescent="0.35">
      <c r="B17" s="20"/>
      <c r="C17" s="16"/>
    </row>
    <row r="18" spans="2:3" x14ac:dyDescent="0.35">
      <c r="B18" s="15" t="s">
        <v>73</v>
      </c>
      <c r="C18" s="16" t="s">
        <v>74</v>
      </c>
    </row>
    <row r="19" spans="2:3" x14ac:dyDescent="0.35">
      <c r="B19" s="15" t="s">
        <v>75</v>
      </c>
      <c r="C19" s="16" t="s">
        <v>76</v>
      </c>
    </row>
    <row r="20" spans="2:3" x14ac:dyDescent="0.35">
      <c r="B20" s="15" t="s">
        <v>77</v>
      </c>
      <c r="C20" s="16" t="s">
        <v>78</v>
      </c>
    </row>
    <row r="21" spans="2:3" x14ac:dyDescent="0.35">
      <c r="B21" s="15" t="s">
        <v>79</v>
      </c>
      <c r="C21" s="16" t="s">
        <v>80</v>
      </c>
    </row>
    <row r="22" spans="2:3" x14ac:dyDescent="0.35">
      <c r="B22" s="15" t="s">
        <v>81</v>
      </c>
      <c r="C22" s="16" t="s">
        <v>82</v>
      </c>
    </row>
    <row r="23" spans="2:3" x14ac:dyDescent="0.35">
      <c r="B23" s="15" t="s">
        <v>83</v>
      </c>
      <c r="C23" s="16" t="s">
        <v>84</v>
      </c>
    </row>
    <row r="24" spans="2:3" x14ac:dyDescent="0.35">
      <c r="B24" s="15"/>
      <c r="C24" s="16"/>
    </row>
    <row r="25" spans="2:3" x14ac:dyDescent="0.35">
      <c r="B25" s="319" t="s">
        <v>92</v>
      </c>
      <c r="C25" s="320"/>
    </row>
    <row r="26" spans="2:3" x14ac:dyDescent="0.35">
      <c r="B26" s="15"/>
      <c r="C26" s="16"/>
    </row>
    <row r="27" spans="2:3" x14ac:dyDescent="0.35">
      <c r="B27" s="15" t="s">
        <v>85</v>
      </c>
      <c r="C27" s="21">
        <v>4516</v>
      </c>
    </row>
    <row r="28" spans="2:3" x14ac:dyDescent="0.35">
      <c r="B28" s="15" t="s">
        <v>86</v>
      </c>
      <c r="C28" s="21">
        <v>400900</v>
      </c>
    </row>
    <row r="29" spans="2:3" x14ac:dyDescent="0.35">
      <c r="B29" s="15" t="s">
        <v>87</v>
      </c>
      <c r="C29" s="21">
        <v>88.77</v>
      </c>
    </row>
    <row r="30" spans="2:3" x14ac:dyDescent="0.35">
      <c r="B30" s="15" t="s">
        <v>88</v>
      </c>
      <c r="C30" s="19" t="s">
        <v>89</v>
      </c>
    </row>
    <row r="31" spans="2:3" x14ac:dyDescent="0.35">
      <c r="B31" s="22" t="s">
        <v>90</v>
      </c>
      <c r="C31" s="23" t="s">
        <v>91</v>
      </c>
    </row>
  </sheetData>
  <mergeCells count="2">
    <mergeCell ref="B3:C3"/>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5"/>
  <sheetViews>
    <sheetView showGridLines="0" topLeftCell="A22" workbookViewId="0">
      <selection activeCell="C25" sqref="C25"/>
    </sheetView>
  </sheetViews>
  <sheetFormatPr defaultRowHeight="14.5" x14ac:dyDescent="0.35"/>
  <cols>
    <col min="1" max="1" width="3.6328125" customWidth="1"/>
    <col min="2" max="2" width="30.90625" bestFit="1" customWidth="1"/>
    <col min="3" max="3" width="18.26953125" bestFit="1" customWidth="1"/>
    <col min="4" max="4" width="61.1796875" bestFit="1" customWidth="1"/>
  </cols>
  <sheetData>
    <row r="2" spans="2:4" x14ac:dyDescent="0.35">
      <c r="B2" s="279" t="s">
        <v>373</v>
      </c>
      <c r="C2" s="279" t="s">
        <v>374</v>
      </c>
      <c r="D2" s="279" t="s">
        <v>375</v>
      </c>
    </row>
    <row r="3" spans="2:4" x14ac:dyDescent="0.35">
      <c r="B3" s="218" t="s">
        <v>376</v>
      </c>
      <c r="C3" s="214">
        <v>46112</v>
      </c>
      <c r="D3" s="218" t="s">
        <v>377</v>
      </c>
    </row>
    <row r="4" spans="2:4" x14ac:dyDescent="0.35">
      <c r="B4" s="218" t="s">
        <v>378</v>
      </c>
      <c r="C4" s="215">
        <f>WACC!G10</f>
        <v>0.25169999999999998</v>
      </c>
      <c r="D4" s="218" t="s">
        <v>379</v>
      </c>
    </row>
    <row r="5" spans="2:4" x14ac:dyDescent="0.35">
      <c r="B5" s="218" t="s">
        <v>380</v>
      </c>
      <c r="C5" s="215">
        <f>WACC!K23</f>
        <v>7.1999999999999995E-2</v>
      </c>
      <c r="D5" s="218" t="s">
        <v>381</v>
      </c>
    </row>
    <row r="6" spans="2:4" x14ac:dyDescent="0.35">
      <c r="B6" s="218" t="s">
        <v>382</v>
      </c>
      <c r="C6" s="215">
        <f>Rm!F7</f>
        <v>0.16449230769230772</v>
      </c>
      <c r="D6" s="218" t="s">
        <v>383</v>
      </c>
    </row>
    <row r="7" spans="2:4" x14ac:dyDescent="0.35">
      <c r="B7" s="218" t="s">
        <v>384</v>
      </c>
      <c r="C7" s="215">
        <f>WACC!K24</f>
        <v>9.2492307692307721E-2</v>
      </c>
      <c r="D7" s="218" t="s">
        <v>385</v>
      </c>
    </row>
    <row r="8" spans="2:4" x14ac:dyDescent="0.35">
      <c r="B8" s="218" t="s">
        <v>386</v>
      </c>
      <c r="C8" s="216">
        <f>WACC!K25</f>
        <v>1.2</v>
      </c>
      <c r="D8" s="218" t="s">
        <v>387</v>
      </c>
    </row>
    <row r="9" spans="2:4" x14ac:dyDescent="0.35">
      <c r="B9" s="218" t="s">
        <v>388</v>
      </c>
      <c r="C9" s="215">
        <f>WACC!K38</f>
        <v>0.18299076923076926</v>
      </c>
      <c r="D9" s="218" t="s">
        <v>389</v>
      </c>
    </row>
    <row r="10" spans="2:4" x14ac:dyDescent="0.35">
      <c r="B10" s="218" t="s">
        <v>390</v>
      </c>
      <c r="C10" s="215">
        <f>WACC!E23</f>
        <v>3.8535645472061654E-2</v>
      </c>
      <c r="D10" s="218" t="s">
        <v>391</v>
      </c>
    </row>
    <row r="11" spans="2:4" x14ac:dyDescent="0.35">
      <c r="B11" s="218" t="s">
        <v>392</v>
      </c>
      <c r="C11" s="215">
        <f>WACC!E25</f>
        <v>2.8836223506743735E-2</v>
      </c>
      <c r="D11" s="218" t="s">
        <v>393</v>
      </c>
    </row>
    <row r="12" spans="2:4" x14ac:dyDescent="0.35">
      <c r="B12" s="218" t="s">
        <v>394</v>
      </c>
      <c r="C12" s="215">
        <f>WACC!E33</f>
        <v>0.91509814339051387</v>
      </c>
      <c r="D12" s="218" t="s">
        <v>395</v>
      </c>
    </row>
    <row r="13" spans="2:4" x14ac:dyDescent="0.35">
      <c r="B13" s="218" t="s">
        <v>396</v>
      </c>
      <c r="C13" s="215">
        <f>WACC!E32</f>
        <v>8.4901856609486098E-2</v>
      </c>
      <c r="D13" s="218" t="s">
        <v>395</v>
      </c>
    </row>
    <row r="14" spans="2:4" x14ac:dyDescent="0.35">
      <c r="B14" s="218" t="s">
        <v>257</v>
      </c>
      <c r="C14" s="215">
        <f>WACC!K43</f>
        <v>0.16990276209400756</v>
      </c>
      <c r="D14" s="218" t="s">
        <v>397</v>
      </c>
    </row>
    <row r="15" spans="2:4" x14ac:dyDescent="0.35">
      <c r="B15" s="218" t="s">
        <v>398</v>
      </c>
      <c r="C15" s="215">
        <f>DCF!F18</f>
        <v>0.21061256769131267</v>
      </c>
      <c r="D15" s="218" t="s">
        <v>399</v>
      </c>
    </row>
    <row r="16" spans="2:4" x14ac:dyDescent="0.35">
      <c r="B16" s="218" t="s">
        <v>400</v>
      </c>
      <c r="C16" s="217">
        <v>0.75</v>
      </c>
      <c r="D16" s="218" t="s">
        <v>401</v>
      </c>
    </row>
    <row r="17" spans="2:4" x14ac:dyDescent="0.35">
      <c r="B17" s="218" t="s">
        <v>356</v>
      </c>
      <c r="C17" s="222">
        <f>DCF!D26</f>
        <v>5.7500000000000002E-2</v>
      </c>
      <c r="D17" s="218" t="s">
        <v>402</v>
      </c>
    </row>
    <row r="18" spans="2:4" x14ac:dyDescent="0.35">
      <c r="B18" s="218" t="s">
        <v>403</v>
      </c>
      <c r="C18" s="222">
        <f>DCF!D25</f>
        <v>0.16990276209400756</v>
      </c>
      <c r="D18" s="218" t="s">
        <v>404</v>
      </c>
    </row>
    <row r="19" spans="2:4" x14ac:dyDescent="0.35">
      <c r="B19" s="218" t="s">
        <v>405</v>
      </c>
      <c r="C19" s="215">
        <f>C17/C18</f>
        <v>0.33842887126334725</v>
      </c>
      <c r="D19" s="218" t="s">
        <v>406</v>
      </c>
    </row>
    <row r="20" spans="2:4" x14ac:dyDescent="0.35">
      <c r="B20" s="218" t="s">
        <v>407</v>
      </c>
      <c r="C20" s="218" t="s">
        <v>408</v>
      </c>
      <c r="D20" s="218" t="s">
        <v>409</v>
      </c>
    </row>
    <row r="21" spans="2:4" x14ac:dyDescent="0.35">
      <c r="B21" s="218" t="s">
        <v>410</v>
      </c>
      <c r="C21" s="218">
        <f>'Data Sheet'!B8</f>
        <v>4515.7</v>
      </c>
      <c r="D21" s="218" t="s">
        <v>419</v>
      </c>
    </row>
    <row r="22" spans="2:4" x14ac:dyDescent="0.35">
      <c r="B22" s="218" t="s">
        <v>411</v>
      </c>
      <c r="C22" s="219">
        <f>'Data Sheet'!B6</f>
        <v>88.778616825741295</v>
      </c>
      <c r="D22" s="218" t="s">
        <v>412</v>
      </c>
    </row>
    <row r="23" spans="2:4" x14ac:dyDescent="0.35">
      <c r="B23" s="218" t="s">
        <v>413</v>
      </c>
      <c r="C23" s="216">
        <f>DCF!E35</f>
        <v>1917</v>
      </c>
      <c r="D23" s="218" t="s">
        <v>414</v>
      </c>
    </row>
    <row r="24" spans="2:4" x14ac:dyDescent="0.35">
      <c r="B24" s="218" t="s">
        <v>415</v>
      </c>
      <c r="C24" s="219">
        <f>DCF!E36</f>
        <v>27448</v>
      </c>
      <c r="D24" s="218" t="s">
        <v>416</v>
      </c>
    </row>
    <row r="25" spans="2:4" x14ac:dyDescent="0.35">
      <c r="B25" s="221" t="s">
        <v>417</v>
      </c>
      <c r="C25" s="220">
        <f>DCF!E40</f>
        <v>350.66692671240696</v>
      </c>
      <c r="D25" s="221" t="s">
        <v>418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6"/>
  <sheetViews>
    <sheetView showGridLines="0" topLeftCell="B1" workbookViewId="0">
      <selection activeCell="F49" sqref="F49"/>
    </sheetView>
  </sheetViews>
  <sheetFormatPr defaultRowHeight="14.5" x14ac:dyDescent="0.35"/>
  <cols>
    <col min="1" max="1" width="2.90625" customWidth="1"/>
    <col min="2" max="2" width="26.26953125" bestFit="1" customWidth="1"/>
    <col min="3" max="3" width="12.7265625" customWidth="1"/>
    <col min="4" max="4" width="14.7265625" customWidth="1"/>
    <col min="5" max="5" width="13.36328125" customWidth="1"/>
    <col min="6" max="6" width="14" customWidth="1"/>
    <col min="7" max="7" width="14.453125" customWidth="1"/>
    <col min="8" max="8" width="10.54296875" bestFit="1" customWidth="1"/>
    <col min="9" max="9" width="12.90625" customWidth="1"/>
    <col min="10" max="10" width="13.26953125" customWidth="1"/>
    <col min="11" max="11" width="12.7265625" customWidth="1"/>
    <col min="12" max="12" width="13" customWidth="1"/>
  </cols>
  <sheetData>
    <row r="1" spans="2:12" x14ac:dyDescent="0.35">
      <c r="B1" s="336" t="str">
        <f>"Financial Model:" &amp; 'Data Sheet'!B1</f>
        <v>Financial Model:TITAN COMPANY LTD</v>
      </c>
      <c r="C1" s="336"/>
      <c r="D1" s="336"/>
      <c r="E1" s="336"/>
      <c r="F1" s="336"/>
      <c r="G1" s="336"/>
      <c r="H1" s="336"/>
      <c r="I1" s="336"/>
      <c r="J1" s="336"/>
      <c r="K1" s="336"/>
      <c r="L1" s="336"/>
    </row>
    <row r="2" spans="2:12" x14ac:dyDescent="0.35">
      <c r="B2" s="337" t="s">
        <v>93</v>
      </c>
      <c r="C2" s="337"/>
      <c r="D2" s="337"/>
      <c r="E2" s="337"/>
      <c r="F2" s="337"/>
      <c r="G2" s="337"/>
      <c r="H2" s="337"/>
      <c r="I2" s="337"/>
      <c r="J2" s="337"/>
      <c r="K2" s="337"/>
      <c r="L2" s="337"/>
    </row>
    <row r="3" spans="2:12" x14ac:dyDescent="0.35">
      <c r="B3" s="291" t="s">
        <v>94</v>
      </c>
      <c r="C3" s="292">
        <v>42825</v>
      </c>
      <c r="D3" s="292">
        <v>43190</v>
      </c>
      <c r="E3" s="292">
        <v>43555</v>
      </c>
      <c r="F3" s="292">
        <v>43921</v>
      </c>
      <c r="G3" s="292">
        <v>44286</v>
      </c>
      <c r="H3" s="292">
        <v>44651</v>
      </c>
      <c r="I3" s="292">
        <v>45016</v>
      </c>
      <c r="J3" s="292">
        <v>45382</v>
      </c>
      <c r="K3" s="292">
        <v>45747</v>
      </c>
      <c r="L3" s="292">
        <v>46112</v>
      </c>
    </row>
    <row r="4" spans="2:12" ht="6.5" customHeight="1" x14ac:dyDescent="0.35">
      <c r="B4" s="323"/>
      <c r="C4" s="323"/>
      <c r="D4" s="323"/>
      <c r="E4" s="323"/>
      <c r="F4" s="323"/>
      <c r="G4" s="323"/>
      <c r="H4" s="323"/>
      <c r="I4" s="323"/>
      <c r="J4" s="323"/>
      <c r="K4" s="323"/>
      <c r="L4" s="323"/>
    </row>
    <row r="5" spans="2:12" x14ac:dyDescent="0.35">
      <c r="B5" s="338" t="s">
        <v>95</v>
      </c>
      <c r="C5" s="338"/>
      <c r="D5" s="338"/>
      <c r="E5" s="338"/>
      <c r="F5" s="338"/>
      <c r="G5" s="338"/>
      <c r="H5" s="338"/>
      <c r="I5" s="338"/>
      <c r="J5" s="338"/>
      <c r="K5" s="338"/>
      <c r="L5" s="338"/>
    </row>
    <row r="6" spans="2:12" x14ac:dyDescent="0.35">
      <c r="B6" s="10"/>
      <c r="C6" s="10"/>
      <c r="D6" s="10"/>
      <c r="E6" s="10"/>
      <c r="F6" s="10"/>
      <c r="G6" s="10"/>
    </row>
    <row r="7" spans="2:12" x14ac:dyDescent="0.35">
      <c r="B7" t="s">
        <v>12</v>
      </c>
      <c r="C7" s="24">
        <f>IFERROR('Data Sheet'!B17,0)</f>
        <v>13260.83</v>
      </c>
      <c r="D7" s="24">
        <f>IFERROR('Data Sheet'!C17,0)</f>
        <v>16119.77</v>
      </c>
      <c r="E7" s="24">
        <f>IFERROR('Data Sheet'!D17,0)</f>
        <v>19778.52</v>
      </c>
      <c r="F7" s="24">
        <f>IFERROR('Data Sheet'!E17,0)</f>
        <v>21052</v>
      </c>
      <c r="G7" s="24">
        <f>IFERROR('Data Sheet'!F17,0)</f>
        <v>21644</v>
      </c>
      <c r="H7" s="24">
        <f>IFERROR('Data Sheet'!G17,0)</f>
        <v>28799</v>
      </c>
      <c r="I7" s="24">
        <f>IFERROR('Data Sheet'!H17,0)</f>
        <v>40575</v>
      </c>
      <c r="J7" s="24">
        <f>IFERROR('Data Sheet'!I17,0)</f>
        <v>51084</v>
      </c>
      <c r="K7" s="24">
        <f>IFERROR('Data Sheet'!J17,0)</f>
        <v>60456</v>
      </c>
      <c r="L7" s="24">
        <f>IFERROR('Data Sheet'!K17,0)</f>
        <v>87584</v>
      </c>
    </row>
    <row r="8" spans="2:12" x14ac:dyDescent="0.35">
      <c r="B8" s="26" t="s">
        <v>96</v>
      </c>
      <c r="C8" s="26" t="s">
        <v>97</v>
      </c>
      <c r="D8" s="27">
        <f>(D7/C7)-1</f>
        <v>0.21559283996552248</v>
      </c>
      <c r="E8" s="27">
        <f t="shared" ref="E8:H8" si="0">(E7/D7)-1</f>
        <v>0.22697284142391605</v>
      </c>
      <c r="F8" s="27">
        <f t="shared" si="0"/>
        <v>6.4387021880302431E-2</v>
      </c>
      <c r="G8" s="27">
        <f t="shared" si="0"/>
        <v>2.8120843625308867E-2</v>
      </c>
      <c r="H8" s="27">
        <f t="shared" si="0"/>
        <v>0.33057660321567184</v>
      </c>
      <c r="I8" s="27">
        <f>(I7/H7)-1</f>
        <v>0.40890308691274013</v>
      </c>
      <c r="J8" s="27">
        <f t="shared" ref="J8:L8" si="1">(J7/I7)-1</f>
        <v>0.25900184842883545</v>
      </c>
      <c r="K8" s="27">
        <f t="shared" si="1"/>
        <v>0.18346253229974163</v>
      </c>
      <c r="L8" s="27">
        <f t="shared" si="1"/>
        <v>0.448723038242689</v>
      </c>
    </row>
    <row r="9" spans="2:12" x14ac:dyDescent="0.35">
      <c r="H9" s="24"/>
      <c r="I9" s="24"/>
      <c r="J9" s="24"/>
      <c r="K9" s="24"/>
      <c r="L9" s="24"/>
    </row>
    <row r="10" spans="2:12" x14ac:dyDescent="0.35">
      <c r="B10" t="s">
        <v>98</v>
      </c>
      <c r="C10" s="24">
        <f>IFERROR(SUM('Data Sheet'!B18,'Data Sheet'!B20:B21)-'Data Sheet'!B19,0)</f>
        <v>9711.69</v>
      </c>
      <c r="D10" s="24">
        <f>IFERROR(SUM('Data Sheet'!C18,'Data Sheet'!C20:C21)-'Data Sheet'!C19,0)</f>
        <v>11856.369999999999</v>
      </c>
      <c r="E10" s="24">
        <f>IFERROR(SUM('Data Sheet'!D18,'Data Sheet'!D20:D21)-'Data Sheet'!D19,0)</f>
        <v>14636.04</v>
      </c>
      <c r="F10" s="24">
        <f>IFERROR(SUM('Data Sheet'!E18,'Data Sheet'!E20:E21)-'Data Sheet'!E19,0)</f>
        <v>15422</v>
      </c>
      <c r="G10" s="24">
        <f>IFERROR(SUM('Data Sheet'!F18,'Data Sheet'!F20:F21)-'Data Sheet'!F19,0)</f>
        <v>16592</v>
      </c>
      <c r="H10" s="24">
        <f>IFERROR(SUM('Data Sheet'!G18,'Data Sheet'!G20:G21)-'Data Sheet'!G19,0)</f>
        <v>21869</v>
      </c>
      <c r="I10" s="24">
        <f>IFERROR(SUM('Data Sheet'!H18,'Data Sheet'!H20:H21)-'Data Sheet'!H19,0)</f>
        <v>30639</v>
      </c>
      <c r="J10" s="24">
        <f>IFERROR(SUM('Data Sheet'!I18,'Data Sheet'!I20:I21)-'Data Sheet'!I19,0)</f>
        <v>39789</v>
      </c>
      <c r="K10" s="24">
        <f>IFERROR(SUM('Data Sheet'!J18,'Data Sheet'!J20:J21)-'Data Sheet'!J19,0)</f>
        <v>47860</v>
      </c>
      <c r="L10" s="24">
        <f>IFERROR(SUM('Data Sheet'!K18,'Data Sheet'!K20:K21)-'Data Sheet'!K19,0)</f>
        <v>70769</v>
      </c>
    </row>
    <row r="11" spans="2:12" x14ac:dyDescent="0.35">
      <c r="B11" s="26" t="s">
        <v>100</v>
      </c>
      <c r="C11" s="27">
        <f>C10/C7</f>
        <v>0.73235913589119239</v>
      </c>
      <c r="D11" s="27">
        <f t="shared" ref="D11:G11" si="2">D10/D7</f>
        <v>0.73551731817513522</v>
      </c>
      <c r="E11" s="27">
        <f t="shared" si="2"/>
        <v>0.73999672371845826</v>
      </c>
      <c r="F11" s="27">
        <f t="shared" si="2"/>
        <v>0.73256697700931028</v>
      </c>
      <c r="G11" s="27">
        <f t="shared" si="2"/>
        <v>0.76658658288671222</v>
      </c>
      <c r="H11" s="27">
        <f>H10/H7</f>
        <v>0.75936664467516235</v>
      </c>
      <c r="I11" s="27">
        <f t="shared" ref="I11:L11" si="3">I10/I7</f>
        <v>0.75512014787430681</v>
      </c>
      <c r="J11" s="27">
        <f t="shared" si="3"/>
        <v>0.77889358703312195</v>
      </c>
      <c r="K11" s="27">
        <f t="shared" si="3"/>
        <v>0.79165012571126103</v>
      </c>
      <c r="L11" s="27">
        <f t="shared" si="3"/>
        <v>0.80801287906466934</v>
      </c>
    </row>
    <row r="12" spans="2:12" x14ac:dyDescent="0.35">
      <c r="B12" s="26"/>
      <c r="C12" s="26"/>
      <c r="D12" s="26"/>
      <c r="E12" s="26"/>
      <c r="F12" s="26"/>
      <c r="G12" s="26"/>
      <c r="H12" s="26"/>
      <c r="I12" s="27"/>
      <c r="J12" s="27"/>
      <c r="K12" s="27"/>
      <c r="L12" s="27"/>
    </row>
    <row r="13" spans="2:12" x14ac:dyDescent="0.35">
      <c r="B13" s="40" t="s">
        <v>99</v>
      </c>
      <c r="C13" s="41">
        <f>C7-C10</f>
        <v>3549.1399999999994</v>
      </c>
      <c r="D13" s="41">
        <f t="shared" ref="D13:G13" si="4">D7-D10</f>
        <v>4263.4000000000015</v>
      </c>
      <c r="E13" s="41">
        <f t="shared" si="4"/>
        <v>5142.4799999999996</v>
      </c>
      <c r="F13" s="41">
        <f t="shared" si="4"/>
        <v>5630</v>
      </c>
      <c r="G13" s="41">
        <f t="shared" si="4"/>
        <v>5052</v>
      </c>
      <c r="H13" s="41">
        <f>H7-H10</f>
        <v>6930</v>
      </c>
      <c r="I13" s="41">
        <f t="shared" ref="I13:L13" si="5">I7-I10</f>
        <v>9936</v>
      </c>
      <c r="J13" s="41">
        <f t="shared" si="5"/>
        <v>11295</v>
      </c>
      <c r="K13" s="41">
        <f t="shared" si="5"/>
        <v>12596</v>
      </c>
      <c r="L13" s="41">
        <f t="shared" si="5"/>
        <v>16815</v>
      </c>
    </row>
    <row r="14" spans="2:12" x14ac:dyDescent="0.35">
      <c r="B14" s="26" t="s">
        <v>158</v>
      </c>
      <c r="C14" s="27">
        <f>C13/C7</f>
        <v>0.26764086410880761</v>
      </c>
      <c r="D14" s="27">
        <f t="shared" ref="D14:L14" si="6">D13/D7</f>
        <v>0.26448268182486484</v>
      </c>
      <c r="E14" s="27">
        <f t="shared" si="6"/>
        <v>0.26000327628154174</v>
      </c>
      <c r="F14" s="27">
        <f t="shared" si="6"/>
        <v>0.26743302299068972</v>
      </c>
      <c r="G14" s="27">
        <f t="shared" si="6"/>
        <v>0.23341341711328775</v>
      </c>
      <c r="H14" s="27">
        <f t="shared" si="6"/>
        <v>0.24063335532483768</v>
      </c>
      <c r="I14" s="27">
        <f t="shared" si="6"/>
        <v>0.24487985212569316</v>
      </c>
      <c r="J14" s="27">
        <f t="shared" si="6"/>
        <v>0.22110641296687808</v>
      </c>
      <c r="K14" s="27">
        <f t="shared" si="6"/>
        <v>0.20834987428873891</v>
      </c>
      <c r="L14" s="27">
        <f t="shared" si="6"/>
        <v>0.19198712093533066</v>
      </c>
    </row>
    <row r="15" spans="2:12" x14ac:dyDescent="0.35">
      <c r="B15" s="26"/>
      <c r="C15" s="26"/>
      <c r="D15" s="26"/>
      <c r="E15" s="26"/>
      <c r="F15" s="26"/>
      <c r="G15" s="26"/>
      <c r="H15" s="24"/>
      <c r="I15" s="24"/>
      <c r="J15" s="24"/>
      <c r="K15" s="24"/>
      <c r="L15" s="24"/>
    </row>
    <row r="16" spans="2:12" s="8" customFormat="1" x14ac:dyDescent="0.35">
      <c r="B16" s="8" t="s">
        <v>101</v>
      </c>
      <c r="C16" s="28">
        <f>IFERROR(SUM('Data Sheet'!B22:B24),0)</f>
        <v>2385.2399999999998</v>
      </c>
      <c r="D16" s="28">
        <f>IFERROR(SUM('Data Sheet'!C22:C24),0)</f>
        <v>2619.1999999999998</v>
      </c>
      <c r="E16" s="28">
        <f>IFERROR(SUM('Data Sheet'!D22:D24),0)</f>
        <v>3148.69</v>
      </c>
      <c r="F16" s="28">
        <f>IFERROR(SUM('Data Sheet'!E22:E24),0)</f>
        <v>3167</v>
      </c>
      <c r="G16" s="28">
        <f>IFERROR(SUM('Data Sheet'!F22:F24),0)</f>
        <v>3327</v>
      </c>
      <c r="H16" s="28">
        <f>IFERROR(SUM('Data Sheet'!G22:G24),0)</f>
        <v>3586</v>
      </c>
      <c r="I16" s="28">
        <f>IFERROR(SUM('Data Sheet'!H22:H24),0)</f>
        <v>5054</v>
      </c>
      <c r="J16" s="28">
        <f>IFERROR(SUM('Data Sheet'!I22:I24),0)</f>
        <v>6003</v>
      </c>
      <c r="K16" s="28">
        <f>IFERROR(SUM('Data Sheet'!J22:J24),0)</f>
        <v>6902</v>
      </c>
      <c r="L16" s="28">
        <f>IFERROR(SUM('Data Sheet'!K22:K24),0)</f>
        <v>8458</v>
      </c>
    </row>
    <row r="17" spans="2:12" x14ac:dyDescent="0.35">
      <c r="B17" s="26" t="s">
        <v>102</v>
      </c>
      <c r="C17" s="27">
        <f>C16/C7</f>
        <v>0.17987109404162482</v>
      </c>
      <c r="D17" s="27">
        <f t="shared" ref="D17:L17" si="7">D16/D7</f>
        <v>0.16248370789409525</v>
      </c>
      <c r="E17" s="27">
        <f t="shared" si="7"/>
        <v>0.15919745258998144</v>
      </c>
      <c r="F17" s="27">
        <f t="shared" si="7"/>
        <v>0.15043701311039331</v>
      </c>
      <c r="G17" s="27">
        <f t="shared" si="7"/>
        <v>0.15371465533173165</v>
      </c>
      <c r="H17" s="27">
        <f t="shared" si="7"/>
        <v>0.12451821243793187</v>
      </c>
      <c r="I17" s="27">
        <f t="shared" si="7"/>
        <v>0.12455945779420825</v>
      </c>
      <c r="J17" s="27">
        <f t="shared" si="7"/>
        <v>0.1175123326286117</v>
      </c>
      <c r="K17" s="27">
        <f t="shared" si="7"/>
        <v>0.11416567420934233</v>
      </c>
      <c r="L17" s="27">
        <f t="shared" si="7"/>
        <v>9.6570149799050056E-2</v>
      </c>
    </row>
    <row r="18" spans="2:12" x14ac:dyDescent="0.35">
      <c r="B18" s="24"/>
      <c r="C18" s="24"/>
      <c r="D18" s="24"/>
      <c r="E18" s="24"/>
      <c r="F18" s="24"/>
      <c r="G18" s="24"/>
      <c r="H18" s="24"/>
      <c r="I18" s="24"/>
      <c r="J18" s="24"/>
      <c r="K18" s="24"/>
      <c r="L18" s="24"/>
    </row>
    <row r="19" spans="2:12" x14ac:dyDescent="0.35">
      <c r="B19" s="41" t="s">
        <v>103</v>
      </c>
      <c r="C19" s="41">
        <f>C13-C16</f>
        <v>1163.8999999999996</v>
      </c>
      <c r="D19" s="41">
        <f t="shared" ref="D19:L19" si="8">D13-D16</f>
        <v>1644.2000000000016</v>
      </c>
      <c r="E19" s="41">
        <f t="shared" si="8"/>
        <v>1993.7899999999995</v>
      </c>
      <c r="F19" s="41">
        <f t="shared" si="8"/>
        <v>2463</v>
      </c>
      <c r="G19" s="41">
        <f t="shared" si="8"/>
        <v>1725</v>
      </c>
      <c r="H19" s="41">
        <f t="shared" si="8"/>
        <v>3344</v>
      </c>
      <c r="I19" s="41">
        <f t="shared" si="8"/>
        <v>4882</v>
      </c>
      <c r="J19" s="41">
        <f t="shared" si="8"/>
        <v>5292</v>
      </c>
      <c r="K19" s="41">
        <f t="shared" si="8"/>
        <v>5694</v>
      </c>
      <c r="L19" s="41">
        <f t="shared" si="8"/>
        <v>8357</v>
      </c>
    </row>
    <row r="20" spans="2:12" x14ac:dyDescent="0.35">
      <c r="B20" s="27" t="s">
        <v>106</v>
      </c>
      <c r="C20" s="27">
        <f>C19/C7</f>
        <v>8.7769770067182798E-2</v>
      </c>
      <c r="D20" s="27">
        <f t="shared" ref="D20:L20" si="9">D19/D7</f>
        <v>0.10199897393076958</v>
      </c>
      <c r="E20" s="27">
        <f t="shared" si="9"/>
        <v>0.10080582369156031</v>
      </c>
      <c r="F20" s="27">
        <f t="shared" si="9"/>
        <v>0.1169960098802964</v>
      </c>
      <c r="G20" s="27">
        <f t="shared" si="9"/>
        <v>7.9698761781556091E-2</v>
      </c>
      <c r="H20" s="27">
        <f t="shared" si="9"/>
        <v>0.11611514288690579</v>
      </c>
      <c r="I20" s="27">
        <f t="shared" si="9"/>
        <v>0.12032039433148491</v>
      </c>
      <c r="J20" s="27">
        <f t="shared" si="9"/>
        <v>0.10359408033826638</v>
      </c>
      <c r="K20" s="27">
        <f t="shared" si="9"/>
        <v>9.4184200079396582E-2</v>
      </c>
      <c r="L20" s="27">
        <f t="shared" si="9"/>
        <v>9.5416971136280601E-2</v>
      </c>
    </row>
    <row r="21" spans="2:12" x14ac:dyDescent="0.35">
      <c r="B21" s="24"/>
      <c r="C21" s="24"/>
      <c r="D21" s="24"/>
      <c r="E21" s="24"/>
      <c r="F21" s="24"/>
      <c r="G21" s="24"/>
      <c r="H21" s="24"/>
      <c r="I21" s="24"/>
      <c r="J21" s="24"/>
      <c r="K21" s="24"/>
      <c r="L21" s="24"/>
    </row>
    <row r="22" spans="2:12" x14ac:dyDescent="0.35">
      <c r="B22" s="24" t="s">
        <v>22</v>
      </c>
      <c r="C22" s="24">
        <f>IFERROR('Data Sheet'!B27,0)</f>
        <v>37.74</v>
      </c>
      <c r="D22" s="24">
        <f>IFERROR('Data Sheet'!C27,0)</f>
        <v>52.92</v>
      </c>
      <c r="E22" s="24">
        <f>IFERROR('Data Sheet'!D27,0)</f>
        <v>52.54</v>
      </c>
      <c r="F22" s="24">
        <f>IFERROR('Data Sheet'!E27,0)</f>
        <v>166</v>
      </c>
      <c r="G22" s="24">
        <f>IFERROR('Data Sheet'!F27,0)</f>
        <v>203</v>
      </c>
      <c r="H22" s="24">
        <f>IFERROR('Data Sheet'!G27,0)</f>
        <v>218</v>
      </c>
      <c r="I22" s="24">
        <f>IFERROR('Data Sheet'!H27,0)</f>
        <v>300</v>
      </c>
      <c r="J22" s="24">
        <f>IFERROR('Data Sheet'!I27,0)</f>
        <v>619</v>
      </c>
      <c r="K22" s="24">
        <f>IFERROR('Data Sheet'!J27,0)</f>
        <v>953</v>
      </c>
      <c r="L22" s="24">
        <f>IFERROR('Data Sheet'!K27,0)</f>
        <v>1180</v>
      </c>
    </row>
    <row r="23" spans="2:12" x14ac:dyDescent="0.35">
      <c r="B23" s="27" t="s">
        <v>104</v>
      </c>
      <c r="C23" s="27">
        <f>C22/C7</f>
        <v>2.845975704386528E-3</v>
      </c>
      <c r="D23" s="27">
        <f t="shared" ref="D23:L23" si="10">D22/D7</f>
        <v>3.2829252526555899E-3</v>
      </c>
      <c r="E23" s="27">
        <f t="shared" si="10"/>
        <v>2.6564171636704868E-3</v>
      </c>
      <c r="F23" s="27">
        <f t="shared" si="10"/>
        <v>7.8852365570967128E-3</v>
      </c>
      <c r="G23" s="27">
        <f t="shared" si="10"/>
        <v>9.3790426908150065E-3</v>
      </c>
      <c r="H23" s="27">
        <f t="shared" si="10"/>
        <v>7.5697072815028299E-3</v>
      </c>
      <c r="I23" s="27">
        <f t="shared" si="10"/>
        <v>7.3937153419593345E-3</v>
      </c>
      <c r="J23" s="27">
        <f t="shared" si="10"/>
        <v>1.2117297001017931E-2</v>
      </c>
      <c r="K23" s="27">
        <f t="shared" si="10"/>
        <v>1.5763530501521766E-2</v>
      </c>
      <c r="L23" s="27">
        <f t="shared" si="10"/>
        <v>1.3472780416514432E-2</v>
      </c>
    </row>
    <row r="24" spans="2:12" x14ac:dyDescent="0.35">
      <c r="B24" s="24"/>
      <c r="C24" s="24"/>
      <c r="D24" s="24"/>
      <c r="E24" s="24"/>
      <c r="F24" s="24"/>
      <c r="G24" s="24"/>
      <c r="H24" s="24"/>
      <c r="I24" s="24"/>
      <c r="J24" s="24"/>
      <c r="K24" s="24"/>
      <c r="L24" s="24"/>
    </row>
    <row r="25" spans="2:12" x14ac:dyDescent="0.35">
      <c r="B25" s="24" t="s">
        <v>21</v>
      </c>
      <c r="C25" s="24">
        <f>IFERROR('Data Sheet'!B26,0)</f>
        <v>110.53</v>
      </c>
      <c r="D25" s="24">
        <f>IFERROR('Data Sheet'!C26,0)</f>
        <v>131.43</v>
      </c>
      <c r="E25" s="24">
        <f>IFERROR('Data Sheet'!D26,0)</f>
        <v>162.84</v>
      </c>
      <c r="F25" s="24">
        <f>IFERROR('Data Sheet'!E26,0)</f>
        <v>348</v>
      </c>
      <c r="G25" s="24">
        <f>IFERROR('Data Sheet'!F26,0)</f>
        <v>375</v>
      </c>
      <c r="H25" s="24">
        <f>IFERROR('Data Sheet'!G26,0)</f>
        <v>399</v>
      </c>
      <c r="I25" s="24">
        <f>IFERROR('Data Sheet'!H26,0)</f>
        <v>441</v>
      </c>
      <c r="J25" s="24">
        <f>IFERROR('Data Sheet'!I26,0)</f>
        <v>584</v>
      </c>
      <c r="K25" s="24">
        <f>IFERROR('Data Sheet'!J26,0)</f>
        <v>693</v>
      </c>
      <c r="L25" s="24">
        <f>IFERROR('Data Sheet'!K26,0)</f>
        <v>826</v>
      </c>
    </row>
    <row r="26" spans="2:12" x14ac:dyDescent="0.35">
      <c r="B26" s="27" t="s">
        <v>105</v>
      </c>
      <c r="C26" s="27">
        <f>C25/C7</f>
        <v>8.3350740489094577E-3</v>
      </c>
      <c r="D26" s="27">
        <f t="shared" ref="D26:L26" si="11">D25/D7</f>
        <v>8.1533421382563153E-3</v>
      </c>
      <c r="E26" s="27">
        <f t="shared" si="11"/>
        <v>8.2331741707670752E-3</v>
      </c>
      <c r="F26" s="27">
        <f t="shared" si="11"/>
        <v>1.6530495914877447E-2</v>
      </c>
      <c r="G26" s="27">
        <f t="shared" si="11"/>
        <v>1.7325817778599151E-2</v>
      </c>
      <c r="H26" s="27">
        <f t="shared" si="11"/>
        <v>1.3854647730823988E-2</v>
      </c>
      <c r="I26" s="27">
        <f t="shared" si="11"/>
        <v>1.0868761552680222E-2</v>
      </c>
      <c r="J26" s="27">
        <f t="shared" si="11"/>
        <v>1.1432150967034689E-2</v>
      </c>
      <c r="K26" s="27">
        <f t="shared" si="11"/>
        <v>1.146288209606987E-2</v>
      </c>
      <c r="L26" s="27">
        <f t="shared" si="11"/>
        <v>9.4309462915601015E-3</v>
      </c>
    </row>
    <row r="27" spans="2:12" x14ac:dyDescent="0.35">
      <c r="B27" s="24"/>
      <c r="C27" s="24"/>
      <c r="D27" s="24"/>
      <c r="E27" s="24"/>
      <c r="F27" s="24"/>
      <c r="G27" s="24"/>
      <c r="H27" s="24"/>
      <c r="I27" s="24"/>
      <c r="J27" s="24"/>
      <c r="K27" s="24"/>
      <c r="L27" s="24"/>
    </row>
    <row r="28" spans="2:12" x14ac:dyDescent="0.35">
      <c r="B28" s="41" t="s">
        <v>107</v>
      </c>
      <c r="C28" s="41">
        <f>C19+'Data Sheet'!B25-SUM(C22,C25)</f>
        <v>973.24999999999955</v>
      </c>
      <c r="D28" s="41">
        <f>D19+'Data Sheet'!C25-SUM(D22,D25)</f>
        <v>1529.7800000000016</v>
      </c>
      <c r="E28" s="41">
        <f>E19+'Data Sheet'!D25-SUM(E22,E25)</f>
        <v>1956.8899999999994</v>
      </c>
      <c r="F28" s="41">
        <f>F19+'Data Sheet'!E25-SUM(F22,F25)</f>
        <v>2102</v>
      </c>
      <c r="G28" s="41">
        <f>G19+'Data Sheet'!F25-SUM(G22,G25)</f>
        <v>1327</v>
      </c>
      <c r="H28" s="41">
        <f>H19+'Data Sheet'!G25-SUM(H22,H25)</f>
        <v>2904</v>
      </c>
      <c r="I28" s="41">
        <f>I19+'Data Sheet'!H25-SUM(I22,I25)</f>
        <v>4447</v>
      </c>
      <c r="J28" s="41">
        <f>J19+'Data Sheet'!I25-SUM(J22,J25)</f>
        <v>4623</v>
      </c>
      <c r="K28" s="41">
        <f>K19+'Data Sheet'!J25-SUM(K22,K25)</f>
        <v>4535</v>
      </c>
      <c r="L28" s="41">
        <f>L19+'Data Sheet'!K25-SUM(L22,L25)</f>
        <v>6801</v>
      </c>
    </row>
    <row r="29" spans="2:12" x14ac:dyDescent="0.35">
      <c r="B29" s="27" t="s">
        <v>108</v>
      </c>
      <c r="C29" s="27">
        <f>C28/C7</f>
        <v>7.3392841926184074E-2</v>
      </c>
      <c r="D29" s="27">
        <f t="shared" ref="D29:L29" si="12">D28/D7</f>
        <v>9.4900857766581137E-2</v>
      </c>
      <c r="E29" s="27">
        <f t="shared" si="12"/>
        <v>9.894016336914993E-2</v>
      </c>
      <c r="F29" s="27">
        <f t="shared" si="12"/>
        <v>9.9847995439863196E-2</v>
      </c>
      <c r="G29" s="27">
        <f t="shared" si="12"/>
        <v>6.1310293845869522E-2</v>
      </c>
      <c r="H29" s="27">
        <f t="shared" si="12"/>
        <v>0.10083683461231292</v>
      </c>
      <c r="I29" s="27">
        <f t="shared" si="12"/>
        <v>0.10959950708564387</v>
      </c>
      <c r="J29" s="27">
        <f t="shared" si="12"/>
        <v>9.0498003288700959E-2</v>
      </c>
      <c r="K29" s="27">
        <f t="shared" si="12"/>
        <v>7.5013232764324464E-2</v>
      </c>
      <c r="L29" s="27">
        <f t="shared" si="12"/>
        <v>7.7651169163317504E-2</v>
      </c>
    </row>
    <row r="30" spans="2:12" x14ac:dyDescent="0.35">
      <c r="B30" s="24"/>
      <c r="C30" s="24"/>
      <c r="D30" s="24"/>
      <c r="E30" s="24"/>
      <c r="F30" s="24"/>
      <c r="G30" s="24"/>
      <c r="H30" s="24"/>
      <c r="I30" s="24"/>
      <c r="J30" s="24"/>
      <c r="K30" s="24"/>
      <c r="L30" s="24"/>
    </row>
    <row r="31" spans="2:12" x14ac:dyDescent="0.35">
      <c r="B31" s="24" t="s">
        <v>24</v>
      </c>
      <c r="C31" s="24">
        <f>IFERROR('Data Sheet'!B29,0)</f>
        <v>275.97000000000003</v>
      </c>
      <c r="D31" s="24">
        <f>IFERROR('Data Sheet'!C29,0)</f>
        <v>427.87</v>
      </c>
      <c r="E31" s="24">
        <f>IFERROR('Data Sheet'!D29,0)</f>
        <v>568.24</v>
      </c>
      <c r="F31" s="24">
        <f>IFERROR('Data Sheet'!E29,0)</f>
        <v>609</v>
      </c>
      <c r="G31" s="24">
        <f>IFERROR('Data Sheet'!F29,0)</f>
        <v>353</v>
      </c>
      <c r="H31" s="24">
        <f>IFERROR('Data Sheet'!G29,0)</f>
        <v>706</v>
      </c>
      <c r="I31" s="24">
        <f>IFERROR('Data Sheet'!H29,0)</f>
        <v>1173</v>
      </c>
      <c r="J31" s="24">
        <f>IFERROR('Data Sheet'!I29,0)</f>
        <v>1127</v>
      </c>
      <c r="K31" s="24">
        <f>IFERROR('Data Sheet'!J29,0)</f>
        <v>1198</v>
      </c>
      <c r="L31" s="24">
        <f>IFERROR('Data Sheet'!K29,0)</f>
        <v>1728</v>
      </c>
    </row>
    <row r="32" spans="2:12" x14ac:dyDescent="0.35">
      <c r="B32" s="27" t="s">
        <v>109</v>
      </c>
      <c r="C32" s="27">
        <f>C31/C28</f>
        <v>0.28355509889545355</v>
      </c>
      <c r="D32" s="27">
        <f t="shared" ref="D32:L32" si="13">D31/D28</f>
        <v>0.27969381218214356</v>
      </c>
      <c r="E32" s="27">
        <f t="shared" si="13"/>
        <v>0.29037912197415294</v>
      </c>
      <c r="F32" s="27">
        <f t="shared" si="13"/>
        <v>0.28972407231208375</v>
      </c>
      <c r="G32" s="27">
        <f t="shared" si="13"/>
        <v>0.26601356443104746</v>
      </c>
      <c r="H32" s="27">
        <f t="shared" si="13"/>
        <v>0.24311294765840222</v>
      </c>
      <c r="I32" s="27">
        <f t="shared" si="13"/>
        <v>0.26377333033505734</v>
      </c>
      <c r="J32" s="27">
        <f t="shared" si="13"/>
        <v>0.24378109452736318</v>
      </c>
      <c r="K32" s="27">
        <f t="shared" si="13"/>
        <v>0.26416758544652702</v>
      </c>
      <c r="L32" s="27">
        <f t="shared" si="13"/>
        <v>0.25408028231142477</v>
      </c>
    </row>
    <row r="33" spans="2:12" x14ac:dyDescent="0.35">
      <c r="B33" s="24"/>
      <c r="C33" s="24"/>
      <c r="D33" s="24"/>
      <c r="E33" s="24"/>
      <c r="F33" s="24"/>
      <c r="G33" s="24"/>
      <c r="H33" s="24"/>
      <c r="I33" s="24"/>
      <c r="J33" s="24"/>
      <c r="K33" s="24"/>
      <c r="L33" s="24"/>
    </row>
    <row r="34" spans="2:12" x14ac:dyDescent="0.35">
      <c r="B34" s="41" t="s">
        <v>110</v>
      </c>
      <c r="C34" s="41">
        <f>C28-C31</f>
        <v>697.27999999999952</v>
      </c>
      <c r="D34" s="41">
        <f t="shared" ref="D34:L34" si="14">D28-D31</f>
        <v>1101.9100000000017</v>
      </c>
      <c r="E34" s="41">
        <f t="shared" si="14"/>
        <v>1388.6499999999994</v>
      </c>
      <c r="F34" s="41">
        <f t="shared" si="14"/>
        <v>1493</v>
      </c>
      <c r="G34" s="41">
        <f t="shared" si="14"/>
        <v>974</v>
      </c>
      <c r="H34" s="41">
        <f t="shared" si="14"/>
        <v>2198</v>
      </c>
      <c r="I34" s="41">
        <f t="shared" si="14"/>
        <v>3274</v>
      </c>
      <c r="J34" s="41">
        <f t="shared" si="14"/>
        <v>3496</v>
      </c>
      <c r="K34" s="41">
        <f t="shared" si="14"/>
        <v>3337</v>
      </c>
      <c r="L34" s="41">
        <f t="shared" si="14"/>
        <v>5073</v>
      </c>
    </row>
    <row r="35" spans="2:12" x14ac:dyDescent="0.35">
      <c r="B35" s="27" t="s">
        <v>111</v>
      </c>
      <c r="C35" s="27">
        <f>C34/C7</f>
        <v>5.2581927375586562E-2</v>
      </c>
      <c r="D35" s="27">
        <f t="shared" ref="D35:L35" si="15">D34/D7</f>
        <v>6.8357675078490679E-2</v>
      </c>
      <c r="E35" s="27">
        <f t="shared" si="15"/>
        <v>7.0210005602036926E-2</v>
      </c>
      <c r="F35" s="27">
        <f t="shared" si="15"/>
        <v>7.0919627588827666E-2</v>
      </c>
      <c r="G35" s="27">
        <f t="shared" si="15"/>
        <v>4.5000924043614859E-2</v>
      </c>
      <c r="H35" s="27">
        <f t="shared" si="15"/>
        <v>7.632209451717073E-2</v>
      </c>
      <c r="I35" s="27">
        <f t="shared" si="15"/>
        <v>8.0690080098582875E-2</v>
      </c>
      <c r="J35" s="27">
        <f t="shared" si="15"/>
        <v>6.8436300994440535E-2</v>
      </c>
      <c r="K35" s="27">
        <f t="shared" si="15"/>
        <v>5.5197168188434564E-2</v>
      </c>
      <c r="L35" s="27">
        <f t="shared" si="15"/>
        <v>5.792153818048959E-2</v>
      </c>
    </row>
    <row r="36" spans="2:12" x14ac:dyDescent="0.35">
      <c r="B36" s="24"/>
      <c r="C36" s="24"/>
      <c r="D36" s="24"/>
      <c r="E36" s="24"/>
      <c r="F36" s="24"/>
      <c r="G36" s="24"/>
      <c r="H36" s="24"/>
      <c r="I36" s="24"/>
      <c r="J36" s="24"/>
      <c r="K36" s="24"/>
      <c r="L36" s="24"/>
    </row>
    <row r="37" spans="2:12" x14ac:dyDescent="0.35">
      <c r="B37" s="24" t="s">
        <v>112</v>
      </c>
      <c r="C37" s="24">
        <f>IFERROR('Data Sheet'!B93,0)</f>
        <v>88.78</v>
      </c>
      <c r="D37" s="24">
        <f>IFERROR('Data Sheet'!C93,0)</f>
        <v>88.78</v>
      </c>
      <c r="E37" s="24">
        <f>IFERROR('Data Sheet'!D93,0)</f>
        <v>88.78</v>
      </c>
      <c r="F37" s="24">
        <f>IFERROR('Data Sheet'!E93,0)</f>
        <v>88.78</v>
      </c>
      <c r="G37" s="24">
        <f>IFERROR('Data Sheet'!F93,0)</f>
        <v>88.78</v>
      </c>
      <c r="H37" s="24">
        <f>IFERROR('Data Sheet'!G93,0)</f>
        <v>88.78</v>
      </c>
      <c r="I37" s="24">
        <f>IFERROR('Data Sheet'!H93,0)</f>
        <v>88.78</v>
      </c>
      <c r="J37" s="24">
        <f>IFERROR('Data Sheet'!I93,0)</f>
        <v>88.78</v>
      </c>
      <c r="K37" s="24">
        <f>IFERROR('Data Sheet'!J93,0)</f>
        <v>88.78</v>
      </c>
      <c r="L37" s="24">
        <f>IFERROR('Data Sheet'!K93,0)</f>
        <v>88.78</v>
      </c>
    </row>
    <row r="38" spans="2:12" x14ac:dyDescent="0.35">
      <c r="B38" s="24"/>
      <c r="C38" s="24"/>
      <c r="D38" s="24"/>
      <c r="E38" s="24"/>
      <c r="F38" s="24"/>
      <c r="G38" s="24"/>
      <c r="H38" s="24"/>
      <c r="I38" s="24"/>
      <c r="J38" s="24"/>
      <c r="K38" s="24"/>
      <c r="L38" s="24"/>
    </row>
    <row r="39" spans="2:12" x14ac:dyDescent="0.35">
      <c r="B39" s="24" t="s">
        <v>113</v>
      </c>
      <c r="C39" s="24">
        <f>IFERROR(C34/C37,0)</f>
        <v>7.8540211759405212</v>
      </c>
      <c r="D39" s="24">
        <f t="shared" ref="D39:L39" si="16">IFERROR(D34/D37,0)</f>
        <v>12.41169182248256</v>
      </c>
      <c r="E39" s="24">
        <f t="shared" si="16"/>
        <v>15.641473304798371</v>
      </c>
      <c r="F39" s="24">
        <f t="shared" si="16"/>
        <v>16.816850642036496</v>
      </c>
      <c r="G39" s="24">
        <f t="shared" si="16"/>
        <v>10.970939400765937</v>
      </c>
      <c r="H39" s="24">
        <f t="shared" si="16"/>
        <v>24.757828339716152</v>
      </c>
      <c r="I39" s="24">
        <f t="shared" si="16"/>
        <v>36.877675152061272</v>
      </c>
      <c r="J39" s="24">
        <f t="shared" si="16"/>
        <v>39.37823834196891</v>
      </c>
      <c r="K39" s="24">
        <f t="shared" si="16"/>
        <v>37.58729443568371</v>
      </c>
      <c r="L39" s="24">
        <f t="shared" si="16"/>
        <v>57.141248028835321</v>
      </c>
    </row>
    <row r="40" spans="2:12" x14ac:dyDescent="0.35">
      <c r="B40" s="27" t="s">
        <v>115</v>
      </c>
      <c r="C40" s="27" t="s">
        <v>97</v>
      </c>
      <c r="D40" s="27">
        <f>(D39/C39)-1</f>
        <v>0.58029772831574467</v>
      </c>
      <c r="E40" s="27">
        <f t="shared" ref="E40:L40" si="17">(E39/D39)-1</f>
        <v>0.26022088918332464</v>
      </c>
      <c r="F40" s="27">
        <f t="shared" si="17"/>
        <v>7.5144924927087908E-2</v>
      </c>
      <c r="G40" s="27">
        <f t="shared" si="17"/>
        <v>-0.34762223710649709</v>
      </c>
      <c r="H40" s="27">
        <f t="shared" si="17"/>
        <v>1.2566735112936347</v>
      </c>
      <c r="I40" s="27">
        <f t="shared" si="17"/>
        <v>0.48953594176524096</v>
      </c>
      <c r="J40" s="27">
        <f t="shared" si="17"/>
        <v>6.7806963958460642E-2</v>
      </c>
      <c r="K40" s="27">
        <f t="shared" si="17"/>
        <v>-4.548054919908473E-2</v>
      </c>
      <c r="L40" s="27">
        <f t="shared" si="17"/>
        <v>0.52022774947557693</v>
      </c>
    </row>
    <row r="41" spans="2:12" x14ac:dyDescent="0.35">
      <c r="B41" s="24"/>
      <c r="C41" s="24"/>
      <c r="D41" s="24"/>
      <c r="E41" s="24"/>
      <c r="F41" s="24"/>
      <c r="G41" s="24"/>
      <c r="H41" s="24"/>
      <c r="I41" s="24"/>
      <c r="J41" s="24"/>
      <c r="K41" s="24"/>
      <c r="L41" s="24"/>
    </row>
    <row r="42" spans="2:12" x14ac:dyDescent="0.35">
      <c r="B42" s="24" t="s">
        <v>114</v>
      </c>
      <c r="C42" s="24">
        <f>IFERROR('Data Sheet'!B31/Historical_FS!C37,0)</f>
        <v>2.6000225275963054</v>
      </c>
      <c r="D42" s="24">
        <f>IFERROR('Data Sheet'!C31/Historical_FS!D37,0)</f>
        <v>3.7499436810092366</v>
      </c>
      <c r="E42" s="24">
        <f>IFERROR('Data Sheet'!D31/Historical_FS!E37,0)</f>
        <v>5</v>
      </c>
      <c r="F42" s="24">
        <f>IFERROR('Data Sheet'!E31/Historical_FS!F37,0)</f>
        <v>4.0099121423744082</v>
      </c>
      <c r="G42" s="24">
        <f>IFERROR('Data Sheet'!F31/Historical_FS!G37,0)</f>
        <v>4.0099121423744082</v>
      </c>
      <c r="H42" s="24">
        <f>IFERROR('Data Sheet'!G31/Historical_FS!H37,0)</f>
        <v>7.5185852669520159</v>
      </c>
      <c r="I42" s="24">
        <f>IFERROR('Data Sheet'!H31/Historical_FS!I37,0)</f>
        <v>10.024780355936022</v>
      </c>
      <c r="J42" s="24">
        <f>IFERROR('Data Sheet'!I31/Historical_FS!J37,0)</f>
        <v>11.027258391529625</v>
      </c>
      <c r="K42" s="24">
        <f>IFERROR('Data Sheet'!J31/Historical_FS!K37,0)</f>
        <v>11.027258391529625</v>
      </c>
      <c r="L42" s="24">
        <f>IFERROR('Data Sheet'!K31/Historical_FS!L37,0)</f>
        <v>15.037170533904032</v>
      </c>
    </row>
    <row r="43" spans="2:12" x14ac:dyDescent="0.35">
      <c r="B43" s="27" t="s">
        <v>116</v>
      </c>
      <c r="C43" s="27">
        <f>C42/C39</f>
        <v>0.33104348324919713</v>
      </c>
      <c r="D43" s="27">
        <f t="shared" ref="D43:L43" si="18">D42/D39</f>
        <v>0.302129938016716</v>
      </c>
      <c r="E43" s="27">
        <f t="shared" si="18"/>
        <v>0.31966298203290983</v>
      </c>
      <c r="F43" s="27">
        <f t="shared" si="18"/>
        <v>0.23844608171466841</v>
      </c>
      <c r="G43" s="27">
        <f t="shared" si="18"/>
        <v>0.3655030800821355</v>
      </c>
      <c r="H43" s="27">
        <f t="shared" si="18"/>
        <v>0.30368516833484988</v>
      </c>
      <c r="I43" s="27">
        <f t="shared" si="18"/>
        <v>0.27183872938301773</v>
      </c>
      <c r="J43" s="27">
        <f t="shared" si="18"/>
        <v>0.28003432494279179</v>
      </c>
      <c r="K43" s="27">
        <f t="shared" si="18"/>
        <v>0.29337728498651489</v>
      </c>
      <c r="L43" s="27">
        <f t="shared" si="18"/>
        <v>0.26315789473684209</v>
      </c>
    </row>
    <row r="44" spans="2:12" x14ac:dyDescent="0.35">
      <c r="B44" s="24"/>
      <c r="C44" s="24"/>
      <c r="D44" s="24"/>
      <c r="E44" s="24"/>
      <c r="F44" s="24"/>
      <c r="G44" s="24"/>
      <c r="H44" s="24"/>
      <c r="I44" s="24"/>
      <c r="J44" s="24"/>
      <c r="K44" s="24"/>
      <c r="L44" s="24"/>
    </row>
    <row r="45" spans="2:12" x14ac:dyDescent="0.35">
      <c r="B45" s="24" t="s">
        <v>117</v>
      </c>
      <c r="C45" s="29">
        <f>IFERROR(IF(C39&gt;C42,1-C43,0),0)</f>
        <v>0.66895651675080292</v>
      </c>
      <c r="D45" s="29">
        <f t="shared" ref="D45:L45" si="19">IFERROR(IF(D39&gt;D42,1-D43,0),0)</f>
        <v>0.69787006198328405</v>
      </c>
      <c r="E45" s="29">
        <f t="shared" si="19"/>
        <v>0.68033701796709023</v>
      </c>
      <c r="F45" s="29">
        <f t="shared" si="19"/>
        <v>0.76155391828533159</v>
      </c>
      <c r="G45" s="29">
        <f t="shared" si="19"/>
        <v>0.6344969199178645</v>
      </c>
      <c r="H45" s="29">
        <f t="shared" si="19"/>
        <v>0.69631483166515018</v>
      </c>
      <c r="I45" s="29">
        <f t="shared" si="19"/>
        <v>0.72816127061698221</v>
      </c>
      <c r="J45" s="29">
        <f t="shared" si="19"/>
        <v>0.71996567505720821</v>
      </c>
      <c r="K45" s="29">
        <f t="shared" si="19"/>
        <v>0.70662271501348517</v>
      </c>
      <c r="L45" s="29">
        <f t="shared" si="19"/>
        <v>0.73684210526315796</v>
      </c>
    </row>
    <row r="46" spans="2:12" x14ac:dyDescent="0.35">
      <c r="B46" s="24"/>
      <c r="C46" s="24"/>
      <c r="D46" s="24"/>
      <c r="E46" s="24"/>
      <c r="F46" s="24"/>
      <c r="G46" s="24"/>
      <c r="H46" s="24"/>
      <c r="I46" s="24"/>
      <c r="J46" s="24"/>
      <c r="K46" s="24"/>
      <c r="L46" s="24"/>
    </row>
    <row r="47" spans="2:12" x14ac:dyDescent="0.35">
      <c r="B47" s="338" t="s">
        <v>118</v>
      </c>
      <c r="C47" s="338"/>
      <c r="D47" s="338"/>
      <c r="E47" s="338"/>
      <c r="F47" s="338"/>
      <c r="G47" s="338"/>
      <c r="H47" s="338"/>
      <c r="I47" s="338"/>
      <c r="J47" s="338"/>
      <c r="K47" s="338"/>
      <c r="L47" s="338"/>
    </row>
    <row r="48" spans="2:12" s="8" customFormat="1" x14ac:dyDescent="0.35">
      <c r="B48" s="6"/>
      <c r="C48" s="28"/>
      <c r="D48" s="28"/>
      <c r="E48" s="28"/>
      <c r="F48" s="28"/>
      <c r="G48" s="28"/>
      <c r="H48" s="28"/>
      <c r="I48" s="28"/>
      <c r="J48" s="28"/>
      <c r="K48" s="28"/>
      <c r="L48" s="28"/>
    </row>
    <row r="49" spans="2:12" s="8" customFormat="1" x14ac:dyDescent="0.35">
      <c r="B49" s="6" t="s">
        <v>31</v>
      </c>
      <c r="C49" s="28">
        <f>IFERROR('Data Sheet'!B57,0)</f>
        <v>88.78</v>
      </c>
      <c r="D49" s="28">
        <f>IFERROR('Data Sheet'!C57,0)</f>
        <v>88.78</v>
      </c>
      <c r="E49" s="28">
        <f>IFERROR('Data Sheet'!D57,0)</f>
        <v>88.78</v>
      </c>
      <c r="F49" s="28">
        <f>IFERROR('Data Sheet'!E57,0)</f>
        <v>89</v>
      </c>
      <c r="G49" s="28">
        <f>IFERROR('Data Sheet'!F57,0)</f>
        <v>89</v>
      </c>
      <c r="H49" s="28">
        <f>IFERROR('Data Sheet'!G57,0)</f>
        <v>89</v>
      </c>
      <c r="I49" s="28">
        <f>IFERROR('Data Sheet'!H57,0)</f>
        <v>89</v>
      </c>
      <c r="J49" s="28">
        <f>IFERROR('Data Sheet'!I57,0)</f>
        <v>89</v>
      </c>
      <c r="K49" s="28">
        <f>IFERROR('Data Sheet'!J57,0)</f>
        <v>89</v>
      </c>
      <c r="L49" s="28">
        <f>IFERROR('Data Sheet'!K57,0)</f>
        <v>89</v>
      </c>
    </row>
    <row r="50" spans="2:12" x14ac:dyDescent="0.35">
      <c r="B50" s="6" t="s">
        <v>32</v>
      </c>
      <c r="C50" s="28">
        <f>IFERROR('Data Sheet'!B58,0)</f>
        <v>4143.6000000000004</v>
      </c>
      <c r="D50" s="28">
        <f>IFERROR('Data Sheet'!C58,0)</f>
        <v>5001.1000000000004</v>
      </c>
      <c r="E50" s="28">
        <f>IFERROR('Data Sheet'!D58,0)</f>
        <v>5981.37</v>
      </c>
      <c r="F50" s="28">
        <f>IFERROR('Data Sheet'!E58,0)</f>
        <v>6580</v>
      </c>
      <c r="G50" s="28">
        <f>IFERROR('Data Sheet'!F58,0)</f>
        <v>7408</v>
      </c>
      <c r="H50" s="28">
        <f>IFERROR('Data Sheet'!G58,0)</f>
        <v>9214</v>
      </c>
      <c r="I50" s="28">
        <f>IFERROR('Data Sheet'!H58,0)</f>
        <v>11762</v>
      </c>
      <c r="J50" s="28">
        <f>IFERROR('Data Sheet'!I58,0)</f>
        <v>9304</v>
      </c>
      <c r="K50" s="28">
        <f>IFERROR('Data Sheet'!J58,0)</f>
        <v>11535</v>
      </c>
      <c r="L50" s="28">
        <f>IFERROR('Data Sheet'!K58,0)</f>
        <v>15614</v>
      </c>
    </row>
    <row r="51" spans="2:12" x14ac:dyDescent="0.35">
      <c r="B51" s="6" t="s">
        <v>33</v>
      </c>
      <c r="C51" s="28">
        <f>IFERROR('Data Sheet'!B59,0)</f>
        <v>1882.43</v>
      </c>
      <c r="D51" s="28">
        <f>IFERROR('Data Sheet'!C59,0)</f>
        <v>1691.01</v>
      </c>
      <c r="E51" s="28">
        <f>IFERROR('Data Sheet'!D59,0)</f>
        <v>2392.98</v>
      </c>
      <c r="F51" s="28">
        <f>IFERROR('Data Sheet'!E59,0)</f>
        <v>3562</v>
      </c>
      <c r="G51" s="28">
        <f>IFERROR('Data Sheet'!F59,0)</f>
        <v>5638</v>
      </c>
      <c r="H51" s="28">
        <f>IFERROR('Data Sheet'!G59,0)</f>
        <v>7275</v>
      </c>
      <c r="I51" s="28">
        <f>IFERROR('Data Sheet'!H59,0)</f>
        <v>9367</v>
      </c>
      <c r="J51" s="28">
        <f>IFERROR('Data Sheet'!I59,0)</f>
        <v>15528</v>
      </c>
      <c r="K51" s="28">
        <f>IFERROR('Data Sheet'!J59,0)</f>
        <v>20777</v>
      </c>
      <c r="L51" s="28">
        <f>IFERROR('Data Sheet'!K59,0)</f>
        <v>30621</v>
      </c>
    </row>
    <row r="52" spans="2:12" x14ac:dyDescent="0.35">
      <c r="B52" s="6" t="s">
        <v>34</v>
      </c>
      <c r="C52" s="28">
        <f>IFERROR('Data Sheet'!B60,0)</f>
        <v>2292.7600000000002</v>
      </c>
      <c r="D52" s="28">
        <f>IFERROR('Data Sheet'!C60,0)</f>
        <v>2740.15</v>
      </c>
      <c r="E52" s="28">
        <f>IFERROR('Data Sheet'!D60,0)</f>
        <v>3246.71</v>
      </c>
      <c r="F52" s="28">
        <f>IFERROR('Data Sheet'!E60,0)</f>
        <v>3313</v>
      </c>
      <c r="G52" s="28">
        <f>IFERROR('Data Sheet'!F60,0)</f>
        <v>3309</v>
      </c>
      <c r="H52" s="28">
        <f>IFERROR('Data Sheet'!G60,0)</f>
        <v>4610</v>
      </c>
      <c r="I52" s="28">
        <f>IFERROR('Data Sheet'!H60,0)</f>
        <v>5802</v>
      </c>
      <c r="J52" s="28">
        <f>IFERROR('Data Sheet'!I60,0)</f>
        <v>6626</v>
      </c>
      <c r="K52" s="28">
        <f>IFERROR('Data Sheet'!J60,0)</f>
        <v>8244</v>
      </c>
      <c r="L52" s="28">
        <f>IFERROR('Data Sheet'!K60,0)</f>
        <v>14237</v>
      </c>
    </row>
    <row r="53" spans="2:12" x14ac:dyDescent="0.35">
      <c r="B53" s="39" t="s">
        <v>119</v>
      </c>
      <c r="C53" s="36">
        <f>IFERROR('Data Sheet'!B61,0)</f>
        <v>8407.57</v>
      </c>
      <c r="D53" s="36">
        <f>IFERROR('Data Sheet'!C61,0)</f>
        <v>9521.0400000000009</v>
      </c>
      <c r="E53" s="36">
        <f>IFERROR('Data Sheet'!D61,0)</f>
        <v>11709.84</v>
      </c>
      <c r="F53" s="36">
        <f>IFERROR('Data Sheet'!E61,0)</f>
        <v>13544</v>
      </c>
      <c r="G53" s="36">
        <f>IFERROR('Data Sheet'!F61,0)</f>
        <v>16444</v>
      </c>
      <c r="H53" s="36">
        <f>IFERROR('Data Sheet'!G61,0)</f>
        <v>21188</v>
      </c>
      <c r="I53" s="36">
        <f>IFERROR('Data Sheet'!H61,0)</f>
        <v>27020</v>
      </c>
      <c r="J53" s="36">
        <f>IFERROR('Data Sheet'!I61,0)</f>
        <v>31547</v>
      </c>
      <c r="K53" s="36">
        <f>IFERROR('Data Sheet'!J61,0)</f>
        <v>40645</v>
      </c>
      <c r="L53" s="36">
        <f>IFERROR('Data Sheet'!K61,0)</f>
        <v>60561</v>
      </c>
    </row>
    <row r="54" spans="2:12" x14ac:dyDescent="0.35">
      <c r="H54" s="24"/>
      <c r="I54" s="24"/>
      <c r="J54" s="24"/>
      <c r="K54" s="24"/>
      <c r="L54" s="24"/>
    </row>
    <row r="55" spans="2:12" x14ac:dyDescent="0.35">
      <c r="B55" s="2" t="s">
        <v>120</v>
      </c>
      <c r="C55" s="28">
        <f>IFERROR('Data Sheet'!B62,0)</f>
        <v>1188.72</v>
      </c>
      <c r="D55" s="28">
        <f>IFERROR('Data Sheet'!C62,0)</f>
        <v>1473.81</v>
      </c>
      <c r="E55" s="28">
        <f>IFERROR('Data Sheet'!D62,0)</f>
        <v>1566.63</v>
      </c>
      <c r="F55" s="28">
        <f>IFERROR('Data Sheet'!E62,0)</f>
        <v>2633</v>
      </c>
      <c r="G55" s="28">
        <f>IFERROR('Data Sheet'!F62,0)</f>
        <v>2523</v>
      </c>
      <c r="H55" s="28">
        <f>IFERROR('Data Sheet'!G62,0)</f>
        <v>2544</v>
      </c>
      <c r="I55" s="28">
        <f>IFERROR('Data Sheet'!H62,0)</f>
        <v>2998</v>
      </c>
      <c r="J55" s="28">
        <f>IFERROR('Data Sheet'!I62,0)</f>
        <v>3709</v>
      </c>
      <c r="K55" s="28">
        <f>IFERROR('Data Sheet'!J62,0)</f>
        <v>4062</v>
      </c>
      <c r="L55" s="28">
        <f>IFERROR('Data Sheet'!K62,0)</f>
        <v>6878</v>
      </c>
    </row>
    <row r="56" spans="2:12" x14ac:dyDescent="0.35">
      <c r="B56" s="6" t="s">
        <v>37</v>
      </c>
      <c r="C56" s="28">
        <f>IFERROR('Data Sheet'!B63,0)</f>
        <v>152.07</v>
      </c>
      <c r="D56" s="28">
        <f>IFERROR('Data Sheet'!C63,0)</f>
        <v>43.37</v>
      </c>
      <c r="E56" s="28">
        <f>IFERROR('Data Sheet'!D63,0)</f>
        <v>31.77</v>
      </c>
      <c r="F56" s="28">
        <f>IFERROR('Data Sheet'!E63,0)</f>
        <v>18</v>
      </c>
      <c r="G56" s="28">
        <f>IFERROR('Data Sheet'!F63,0)</f>
        <v>32</v>
      </c>
      <c r="H56" s="28">
        <f>IFERROR('Data Sheet'!G63,0)</f>
        <v>85</v>
      </c>
      <c r="I56" s="28">
        <f>IFERROR('Data Sheet'!H63,0)</f>
        <v>144</v>
      </c>
      <c r="J56" s="28">
        <f>IFERROR('Data Sheet'!I63,0)</f>
        <v>97</v>
      </c>
      <c r="K56" s="28">
        <f>IFERROR('Data Sheet'!J63,0)</f>
        <v>105</v>
      </c>
      <c r="L56" s="28">
        <f>IFERROR('Data Sheet'!K63,0)</f>
        <v>163</v>
      </c>
    </row>
    <row r="57" spans="2:12" x14ac:dyDescent="0.35">
      <c r="B57" s="6" t="s">
        <v>38</v>
      </c>
      <c r="C57" s="28">
        <f>IFERROR('Data Sheet'!B64,0)</f>
        <v>430.73</v>
      </c>
      <c r="D57" s="28">
        <f>IFERROR('Data Sheet'!C64,0)</f>
        <v>35.99</v>
      </c>
      <c r="E57" s="28">
        <f>IFERROR('Data Sheet'!D64,0)</f>
        <v>108.42</v>
      </c>
      <c r="F57" s="28">
        <f>IFERROR('Data Sheet'!E64,0)</f>
        <v>158</v>
      </c>
      <c r="G57" s="28">
        <f>IFERROR('Data Sheet'!F64,0)</f>
        <v>2824</v>
      </c>
      <c r="H57" s="28">
        <f>IFERROR('Data Sheet'!G64,0)</f>
        <v>294</v>
      </c>
      <c r="I57" s="28">
        <f>IFERROR('Data Sheet'!H64,0)</f>
        <v>2515</v>
      </c>
      <c r="J57" s="28">
        <f>IFERROR('Data Sheet'!I64,0)</f>
        <v>2345</v>
      </c>
      <c r="K57" s="28">
        <f>IFERROR('Data Sheet'!J64,0)</f>
        <v>1988</v>
      </c>
      <c r="L57" s="28">
        <f>IFERROR('Data Sheet'!K64,0)</f>
        <v>3506</v>
      </c>
    </row>
    <row r="58" spans="2:12" x14ac:dyDescent="0.35">
      <c r="B58" s="6" t="s">
        <v>39</v>
      </c>
      <c r="C58" s="28">
        <f>IFERROR('Data Sheet'!B65-SUM('Data Sheet'!B67:B69),0)</f>
        <v>723.77999999999975</v>
      </c>
      <c r="D58" s="28">
        <f>IFERROR('Data Sheet'!C65-SUM('Data Sheet'!C67:C69),0)</f>
        <v>1129.4300000000003</v>
      </c>
      <c r="E58" s="28">
        <f>IFERROR('Data Sheet'!D65-SUM('Data Sheet'!D67:D69),0)</f>
        <v>1477.2700000000004</v>
      </c>
      <c r="F58" s="28">
        <f>IFERROR('Data Sheet'!E65-SUM('Data Sheet'!E67:E69),0)</f>
        <v>1939</v>
      </c>
      <c r="G58" s="28">
        <f>IFERROR('Data Sheet'!F65-SUM('Data Sheet'!F67:F69),0)</f>
        <v>1731</v>
      </c>
      <c r="H58" s="28">
        <f>IFERROR('Data Sheet'!G65-SUM('Data Sheet'!G67:G69),0)</f>
        <v>2518</v>
      </c>
      <c r="I58" s="28">
        <f>IFERROR('Data Sheet'!H65-SUM('Data Sheet'!H67:H69),0)</f>
        <v>2762</v>
      </c>
      <c r="J58" s="28">
        <f>IFERROR('Data Sheet'!I65-SUM('Data Sheet'!I67:I69),0)</f>
        <v>3801</v>
      </c>
      <c r="K58" s="28">
        <f>IFERROR('Data Sheet'!J65-SUM('Data Sheet'!J67:J69),0)</f>
        <v>3654</v>
      </c>
      <c r="L58" s="28">
        <f>IFERROR('Data Sheet'!K65-SUM('Data Sheet'!K67:K69),0)</f>
        <v>4438</v>
      </c>
    </row>
    <row r="59" spans="2:12" x14ac:dyDescent="0.35">
      <c r="B59" s="39" t="s">
        <v>122</v>
      </c>
      <c r="C59" s="36">
        <f>IFERROR(SUM(C55:C58),0)</f>
        <v>2495.2999999999997</v>
      </c>
      <c r="D59" s="36">
        <f t="shared" ref="D59:L59" si="20">IFERROR(SUM(D55:D58),0)</f>
        <v>2682.6000000000004</v>
      </c>
      <c r="E59" s="36">
        <f t="shared" si="20"/>
        <v>3184.0900000000006</v>
      </c>
      <c r="F59" s="36">
        <f t="shared" si="20"/>
        <v>4748</v>
      </c>
      <c r="G59" s="36">
        <f t="shared" si="20"/>
        <v>7110</v>
      </c>
      <c r="H59" s="36">
        <f t="shared" si="20"/>
        <v>5441</v>
      </c>
      <c r="I59" s="36">
        <f t="shared" si="20"/>
        <v>8419</v>
      </c>
      <c r="J59" s="36">
        <f t="shared" si="20"/>
        <v>9952</v>
      </c>
      <c r="K59" s="36">
        <f t="shared" si="20"/>
        <v>9809</v>
      </c>
      <c r="L59" s="36">
        <f t="shared" si="20"/>
        <v>14985</v>
      </c>
    </row>
    <row r="60" spans="2:12" x14ac:dyDescent="0.35">
      <c r="B60" s="1"/>
      <c r="C60" s="28"/>
      <c r="D60" s="28"/>
      <c r="E60" s="28"/>
      <c r="F60" s="28"/>
      <c r="G60" s="28"/>
      <c r="H60" s="28"/>
      <c r="I60" s="28"/>
      <c r="J60" s="28"/>
      <c r="K60" s="28"/>
      <c r="L60" s="28"/>
    </row>
    <row r="61" spans="2:12" x14ac:dyDescent="0.35">
      <c r="B61" s="6" t="s">
        <v>40</v>
      </c>
      <c r="C61" s="28">
        <f>IFERROR('Data Sheet'!B67,0)</f>
        <v>207.6</v>
      </c>
      <c r="D61" s="28">
        <f>IFERROR('Data Sheet'!C67,0)</f>
        <v>295.69</v>
      </c>
      <c r="E61" s="28">
        <f>IFERROR('Data Sheet'!D67,0)</f>
        <v>420.45</v>
      </c>
      <c r="F61" s="28">
        <f>IFERROR('Data Sheet'!E67,0)</f>
        <v>312</v>
      </c>
      <c r="G61" s="28">
        <f>IFERROR('Data Sheet'!F67,0)</f>
        <v>366</v>
      </c>
      <c r="H61" s="28">
        <f>IFERROR('Data Sheet'!G67,0)</f>
        <v>565</v>
      </c>
      <c r="I61" s="28">
        <f>IFERROR('Data Sheet'!H67,0)</f>
        <v>674</v>
      </c>
      <c r="J61" s="28">
        <f>IFERROR('Data Sheet'!I67,0)</f>
        <v>1018</v>
      </c>
      <c r="K61" s="28">
        <f>IFERROR('Data Sheet'!J67,0)</f>
        <v>1068</v>
      </c>
      <c r="L61" s="28">
        <f>IFERROR('Data Sheet'!K67,0)</f>
        <v>916</v>
      </c>
    </row>
    <row r="62" spans="2:12" x14ac:dyDescent="0.35">
      <c r="B62" s="6" t="s">
        <v>41</v>
      </c>
      <c r="C62" s="28">
        <f>IFERROR('Data Sheet'!B68,0)</f>
        <v>4925.74</v>
      </c>
      <c r="D62" s="28">
        <f>IFERROR('Data Sheet'!C68,0)</f>
        <v>5924.84</v>
      </c>
      <c r="E62" s="28">
        <f>IFERROR('Data Sheet'!D68,0)</f>
        <v>7038.82</v>
      </c>
      <c r="F62" s="28">
        <f>IFERROR('Data Sheet'!E68,0)</f>
        <v>8103</v>
      </c>
      <c r="G62" s="28">
        <f>IFERROR('Data Sheet'!F68,0)</f>
        <v>8408</v>
      </c>
      <c r="H62" s="28">
        <f>IFERROR('Data Sheet'!G68,0)</f>
        <v>13609</v>
      </c>
      <c r="I62" s="28">
        <f>IFERROR('Data Sheet'!H68,0)</f>
        <v>16584</v>
      </c>
      <c r="J62" s="28">
        <f>IFERROR('Data Sheet'!I68,0)</f>
        <v>19051</v>
      </c>
      <c r="K62" s="28">
        <f>IFERROR('Data Sheet'!J68,0)</f>
        <v>28184</v>
      </c>
      <c r="L62" s="28">
        <f>IFERROR('Data Sheet'!K68,0)</f>
        <v>42743</v>
      </c>
    </row>
    <row r="63" spans="2:12" x14ac:dyDescent="0.35">
      <c r="B63" s="2" t="s">
        <v>42</v>
      </c>
      <c r="C63" s="28">
        <f>IFERROR('Data Sheet'!B69,0)</f>
        <v>778.93</v>
      </c>
      <c r="D63" s="28">
        <f>IFERROR('Data Sheet'!C69,0)</f>
        <v>617.91</v>
      </c>
      <c r="E63" s="28">
        <f>IFERROR('Data Sheet'!D69,0)</f>
        <v>1066.48</v>
      </c>
      <c r="F63" s="28">
        <f>IFERROR('Data Sheet'!E69,0)</f>
        <v>381</v>
      </c>
      <c r="G63" s="28">
        <f>IFERROR('Data Sheet'!F69,0)</f>
        <v>560</v>
      </c>
      <c r="H63" s="28">
        <f>IFERROR('Data Sheet'!G69,0)</f>
        <v>1573</v>
      </c>
      <c r="I63" s="28">
        <f>IFERROR('Data Sheet'!H69,0)</f>
        <v>1343</v>
      </c>
      <c r="J63" s="28">
        <f>IFERROR('Data Sheet'!I69,0)</f>
        <v>1526</v>
      </c>
      <c r="K63" s="28">
        <f>IFERROR('Data Sheet'!J69,0)</f>
        <v>1584</v>
      </c>
      <c r="L63" s="28">
        <f>IFERROR('Data Sheet'!K69,0)</f>
        <v>1917</v>
      </c>
    </row>
    <row r="64" spans="2:12" x14ac:dyDescent="0.35">
      <c r="B64" s="39" t="s">
        <v>123</v>
      </c>
      <c r="C64" s="36">
        <f>IFERROR(SUM(C61:C63),0)</f>
        <v>5912.27</v>
      </c>
      <c r="D64" s="36">
        <f t="shared" ref="D64:L64" si="21">IFERROR(SUM(D61:D63),0)</f>
        <v>6838.44</v>
      </c>
      <c r="E64" s="36">
        <f t="shared" si="21"/>
        <v>8525.75</v>
      </c>
      <c r="F64" s="36">
        <f t="shared" si="21"/>
        <v>8796</v>
      </c>
      <c r="G64" s="36">
        <f t="shared" si="21"/>
        <v>9334</v>
      </c>
      <c r="H64" s="36">
        <f t="shared" si="21"/>
        <v>15747</v>
      </c>
      <c r="I64" s="36">
        <f t="shared" si="21"/>
        <v>18601</v>
      </c>
      <c r="J64" s="36">
        <f t="shared" si="21"/>
        <v>21595</v>
      </c>
      <c r="K64" s="36">
        <f t="shared" si="21"/>
        <v>30836</v>
      </c>
      <c r="L64" s="36">
        <f t="shared" si="21"/>
        <v>45576</v>
      </c>
    </row>
    <row r="66" spans="2:13" x14ac:dyDescent="0.35">
      <c r="B66" s="39" t="s">
        <v>121</v>
      </c>
      <c r="C66" s="36">
        <f>IFERROR(SUM(C59,C64),0)</f>
        <v>8407.57</v>
      </c>
      <c r="D66" s="36">
        <f t="shared" ref="D66:L66" si="22">IFERROR(SUM(D59,D64),0)</f>
        <v>9521.0400000000009</v>
      </c>
      <c r="E66" s="36">
        <f t="shared" si="22"/>
        <v>11709.84</v>
      </c>
      <c r="F66" s="36">
        <f t="shared" si="22"/>
        <v>13544</v>
      </c>
      <c r="G66" s="36">
        <f t="shared" si="22"/>
        <v>16444</v>
      </c>
      <c r="H66" s="36">
        <f t="shared" si="22"/>
        <v>21188</v>
      </c>
      <c r="I66" s="36">
        <f t="shared" si="22"/>
        <v>27020</v>
      </c>
      <c r="J66" s="36">
        <f t="shared" si="22"/>
        <v>31547</v>
      </c>
      <c r="K66" s="36">
        <f t="shared" si="22"/>
        <v>40645</v>
      </c>
      <c r="L66" s="36">
        <f t="shared" si="22"/>
        <v>60561</v>
      </c>
    </row>
    <row r="68" spans="2:13" x14ac:dyDescent="0.35">
      <c r="B68" s="35" t="s">
        <v>124</v>
      </c>
      <c r="C68" s="35" t="b">
        <f>C66=C53</f>
        <v>1</v>
      </c>
      <c r="D68" s="35" t="b">
        <f t="shared" ref="D68:L68" si="23">D66=D53</f>
        <v>1</v>
      </c>
      <c r="E68" s="35" t="b">
        <f t="shared" si="23"/>
        <v>1</v>
      </c>
      <c r="F68" s="35" t="b">
        <f t="shared" si="23"/>
        <v>1</v>
      </c>
      <c r="G68" s="35" t="b">
        <f t="shared" si="23"/>
        <v>1</v>
      </c>
      <c r="H68" s="35" t="b">
        <f t="shared" si="23"/>
        <v>1</v>
      </c>
      <c r="I68" s="35" t="b">
        <f t="shared" si="23"/>
        <v>1</v>
      </c>
      <c r="J68" s="35" t="b">
        <f t="shared" si="23"/>
        <v>1</v>
      </c>
      <c r="K68" s="35" t="b">
        <f t="shared" si="23"/>
        <v>1</v>
      </c>
      <c r="L68" s="35" t="b">
        <f t="shared" si="23"/>
        <v>1</v>
      </c>
    </row>
    <row r="70" spans="2:13" x14ac:dyDescent="0.35">
      <c r="B70" s="338" t="s">
        <v>151</v>
      </c>
      <c r="C70" s="338"/>
      <c r="D70" s="338"/>
      <c r="E70" s="338"/>
      <c r="F70" s="338"/>
      <c r="G70" s="338"/>
      <c r="H70" s="338"/>
      <c r="I70" s="338"/>
      <c r="J70" s="338"/>
      <c r="K70" s="338"/>
      <c r="L70" s="338"/>
    </row>
    <row r="71" spans="2:13" x14ac:dyDescent="0.35">
      <c r="B71" s="1"/>
      <c r="C71" s="30"/>
      <c r="D71" s="30"/>
      <c r="E71" s="30"/>
      <c r="F71" s="30"/>
      <c r="G71" s="30"/>
      <c r="H71" s="30"/>
      <c r="I71" s="30"/>
      <c r="J71" s="30"/>
      <c r="K71" s="30"/>
      <c r="L71" s="30"/>
      <c r="M71" s="32"/>
    </row>
    <row r="72" spans="2:13" x14ac:dyDescent="0.35">
      <c r="B72" s="71" t="s">
        <v>152</v>
      </c>
      <c r="C72" s="72"/>
      <c r="D72" s="72"/>
      <c r="E72" s="72"/>
      <c r="F72" s="72"/>
      <c r="G72" s="72"/>
      <c r="H72" s="72"/>
      <c r="I72" s="72"/>
      <c r="J72" s="72"/>
      <c r="K72" s="72"/>
      <c r="L72" s="72"/>
      <c r="M72" s="32"/>
    </row>
    <row r="73" spans="2:13" x14ac:dyDescent="0.35">
      <c r="B73" s="2" t="s">
        <v>126</v>
      </c>
      <c r="C73" s="30">
        <f>IFERROR('Cash Flow Data'!E6,0)</f>
        <v>1073</v>
      </c>
      <c r="D73" s="30">
        <f>IFERROR('Cash Flow Data'!F6,0)</f>
        <v>1642</v>
      </c>
      <c r="E73" s="30">
        <f>IFERROR('Cash Flow Data'!G6,0)</f>
        <v>2183</v>
      </c>
      <c r="F73" s="30">
        <f>IFERROR('Cash Flow Data'!H6,0)</f>
        <v>2481</v>
      </c>
      <c r="G73" s="30">
        <f>IFERROR('Cash Flow Data'!I6,0)</f>
        <v>1789</v>
      </c>
      <c r="H73" s="30">
        <f>IFERROR('Cash Flow Data'!J6,0)</f>
        <v>3298</v>
      </c>
      <c r="I73" s="30">
        <f>IFERROR('Cash Flow Data'!K6,0)</f>
        <v>4937</v>
      </c>
      <c r="J73" s="30">
        <f>IFERROR('Cash Flow Data'!L6,0)</f>
        <v>5404</v>
      </c>
      <c r="K73" s="30">
        <f>IFERROR('Cash Flow Data'!M6,0)</f>
        <v>5774</v>
      </c>
      <c r="L73" s="30">
        <f>IFERROR('Cash Flow Data'!N6,0)</f>
        <v>8447</v>
      </c>
      <c r="M73" s="32"/>
    </row>
    <row r="74" spans="2:13" x14ac:dyDescent="0.35">
      <c r="B74" s="2" t="s">
        <v>40</v>
      </c>
      <c r="C74" s="30">
        <f>IFERROR('Cash Flow Data'!E7,0)</f>
        <v>-12</v>
      </c>
      <c r="D74" s="30">
        <f>IFERROR('Cash Flow Data'!F7,0)</f>
        <v>-90</v>
      </c>
      <c r="E74" s="30">
        <f>IFERROR('Cash Flow Data'!G7,0)</f>
        <v>-139</v>
      </c>
      <c r="F74" s="30">
        <f>IFERROR('Cash Flow Data'!H7,0)</f>
        <v>109</v>
      </c>
      <c r="G74" s="30">
        <f>IFERROR('Cash Flow Data'!I7,0)</f>
        <v>-59</v>
      </c>
      <c r="H74" s="30">
        <f>IFERROR('Cash Flow Data'!J7,0)</f>
        <v>-207</v>
      </c>
      <c r="I74" s="30">
        <f>IFERROR('Cash Flow Data'!K7,0)</f>
        <v>-112</v>
      </c>
      <c r="J74" s="30">
        <f>IFERROR('Cash Flow Data'!L7,0)</f>
        <v>-348</v>
      </c>
      <c r="K74" s="30">
        <f>IFERROR('Cash Flow Data'!M7,0)</f>
        <v>-95</v>
      </c>
      <c r="L74" s="30">
        <f>IFERROR('Cash Flow Data'!N7,0)</f>
        <v>210</v>
      </c>
      <c r="M74" s="32"/>
    </row>
    <row r="75" spans="2:13" x14ac:dyDescent="0.35">
      <c r="B75" s="2" t="s">
        <v>41</v>
      </c>
      <c r="C75" s="30">
        <f>IFERROR('Cash Flow Data'!E8,0)</f>
        <v>-448</v>
      </c>
      <c r="D75" s="30">
        <f>IFERROR('Cash Flow Data'!F8,0)</f>
        <v>-996</v>
      </c>
      <c r="E75" s="30">
        <f>IFERROR('Cash Flow Data'!G8,0)</f>
        <v>-1120</v>
      </c>
      <c r="F75" s="30">
        <f>IFERROR('Cash Flow Data'!H8,0)</f>
        <v>-1057</v>
      </c>
      <c r="G75" s="30">
        <f>IFERROR('Cash Flow Data'!I8,0)</f>
        <v>-316</v>
      </c>
      <c r="H75" s="30">
        <f>IFERROR('Cash Flow Data'!J8,0)</f>
        <v>-5199</v>
      </c>
      <c r="I75" s="30">
        <f>IFERROR('Cash Flow Data'!K8,0)</f>
        <v>-2977</v>
      </c>
      <c r="J75" s="30">
        <f>IFERROR('Cash Flow Data'!L8,0)</f>
        <v>-2462</v>
      </c>
      <c r="K75" s="30">
        <f>IFERROR('Cash Flow Data'!M8,0)</f>
        <v>-9072</v>
      </c>
      <c r="L75" s="30">
        <f>IFERROR('Cash Flow Data'!N8,0)</f>
        <v>-11592</v>
      </c>
      <c r="M75" s="32"/>
    </row>
    <row r="76" spans="2:13" x14ac:dyDescent="0.35">
      <c r="B76" s="2" t="s">
        <v>127</v>
      </c>
      <c r="C76" s="30">
        <f>IFERROR('Cash Flow Data'!E9,0)</f>
        <v>238</v>
      </c>
      <c r="D76" s="30">
        <f>IFERROR('Cash Flow Data'!F9,0)</f>
        <v>95</v>
      </c>
      <c r="E76" s="30">
        <f>IFERROR('Cash Flow Data'!G9,0)</f>
        <v>32</v>
      </c>
      <c r="F76" s="30">
        <f>IFERROR('Cash Flow Data'!H9,0)</f>
        <v>-310</v>
      </c>
      <c r="G76" s="30">
        <f>IFERROR('Cash Flow Data'!I9,0)</f>
        <v>195</v>
      </c>
      <c r="H76" s="30">
        <f>IFERROR('Cash Flow Data'!J9,0)</f>
        <v>504</v>
      </c>
      <c r="I76" s="30">
        <f>IFERROR('Cash Flow Data'!K9,0)</f>
        <v>-89</v>
      </c>
      <c r="J76" s="30">
        <f>IFERROR('Cash Flow Data'!L9,0)</f>
        <v>196</v>
      </c>
      <c r="K76" s="30">
        <f>IFERROR('Cash Flow Data'!M9,0)</f>
        <v>564</v>
      </c>
      <c r="L76" s="30">
        <f>IFERROR('Cash Flow Data'!N9,0)</f>
        <v>472</v>
      </c>
      <c r="M76" s="32"/>
    </row>
    <row r="77" spans="2:13" x14ac:dyDescent="0.35">
      <c r="B77" s="2" t="s">
        <v>128</v>
      </c>
      <c r="C77" s="30">
        <f>IFERROR('Cash Flow Data'!E10,0)</f>
        <v>0</v>
      </c>
      <c r="D77" s="30">
        <f>IFERROR('Cash Flow Data'!F10,0)</f>
        <v>3</v>
      </c>
      <c r="E77" s="30">
        <f>IFERROR('Cash Flow Data'!G10,0)</f>
        <v>-24</v>
      </c>
      <c r="F77" s="30">
        <f>IFERROR('Cash Flow Data'!H10,0)</f>
        <v>-20</v>
      </c>
      <c r="G77" s="30">
        <f>IFERROR('Cash Flow Data'!I10,0)</f>
        <v>-8</v>
      </c>
      <c r="H77" s="30">
        <f>IFERROR('Cash Flow Data'!J10,0)</f>
        <v>-3</v>
      </c>
      <c r="I77" s="30">
        <f>IFERROR('Cash Flow Data'!K10,0)</f>
        <v>-18</v>
      </c>
      <c r="J77" s="30">
        <f>IFERROR('Cash Flow Data'!L10,0)</f>
        <v>-21</v>
      </c>
      <c r="K77" s="30">
        <f>IFERROR('Cash Flow Data'!M10,0)</f>
        <v>4</v>
      </c>
      <c r="L77" s="30">
        <f>IFERROR('Cash Flow Data'!N10,0)</f>
        <v>-8</v>
      </c>
      <c r="M77" s="32"/>
    </row>
    <row r="78" spans="2:13" x14ac:dyDescent="0.35">
      <c r="B78" s="2" t="s">
        <v>129</v>
      </c>
      <c r="C78" s="30">
        <f>IFERROR('Cash Flow Data'!E11,0)</f>
        <v>763</v>
      </c>
      <c r="D78" s="30">
        <f>IFERROR('Cash Flow Data'!F11,0)</f>
        <v>-270</v>
      </c>
      <c r="E78" s="30">
        <f>IFERROR('Cash Flow Data'!G11,0)</f>
        <v>741</v>
      </c>
      <c r="F78" s="30">
        <f>IFERROR('Cash Flow Data'!H11,0)</f>
        <v>-768</v>
      </c>
      <c r="G78" s="30">
        <f>IFERROR('Cash Flow Data'!I11,0)</f>
        <v>2625</v>
      </c>
      <c r="H78" s="30">
        <f>IFERROR('Cash Flow Data'!J11,0)</f>
        <v>1188</v>
      </c>
      <c r="I78" s="30">
        <f>IFERROR('Cash Flow Data'!K11,0)</f>
        <v>-99</v>
      </c>
      <c r="J78" s="30">
        <f>IFERROR('Cash Flow Data'!L11,0)</f>
        <v>42</v>
      </c>
      <c r="K78" s="30">
        <f>IFERROR('Cash Flow Data'!M11,0)</f>
        <v>2468</v>
      </c>
      <c r="L78" s="30">
        <f>IFERROR('Cash Flow Data'!N11,0)</f>
        <v>7304</v>
      </c>
      <c r="M78" s="32"/>
    </row>
    <row r="79" spans="2:13" x14ac:dyDescent="0.35">
      <c r="B79" s="2" t="s">
        <v>130</v>
      </c>
      <c r="C79" s="30">
        <f>IFERROR('Cash Flow Data'!E12,0)</f>
        <v>375</v>
      </c>
      <c r="D79" s="30">
        <f>IFERROR('Cash Flow Data'!F12,0)</f>
        <v>22</v>
      </c>
      <c r="E79" s="30">
        <f>IFERROR('Cash Flow Data'!G12,0)</f>
        <v>206</v>
      </c>
      <c r="F79" s="30">
        <f>IFERROR('Cash Flow Data'!H12,0)</f>
        <v>-226</v>
      </c>
      <c r="G79" s="30">
        <f>IFERROR('Cash Flow Data'!I12,0)</f>
        <v>184</v>
      </c>
      <c r="H79" s="30">
        <f>IFERROR('Cash Flow Data'!J12,0)</f>
        <v>497</v>
      </c>
      <c r="I79" s="30">
        <f>IFERROR('Cash Flow Data'!K12,0)</f>
        <v>882</v>
      </c>
      <c r="J79" s="30">
        <f>IFERROR('Cash Flow Data'!L12,0)</f>
        <v>57</v>
      </c>
      <c r="K79" s="30">
        <f>IFERROR('Cash Flow Data'!M12,0)</f>
        <v>905</v>
      </c>
      <c r="L79" s="30">
        <f>IFERROR('Cash Flow Data'!N12,0)</f>
        <v>2494</v>
      </c>
      <c r="M79" s="32"/>
    </row>
    <row r="80" spans="2:13" x14ac:dyDescent="0.35">
      <c r="B80" s="2" t="s">
        <v>131</v>
      </c>
      <c r="C80" s="30">
        <f>IFERROR('Cash Flow Data'!E13,0)</f>
        <v>916</v>
      </c>
      <c r="D80" s="30">
        <f>IFERROR('Cash Flow Data'!F13,0)</f>
        <v>-1237</v>
      </c>
      <c r="E80" s="30">
        <f>IFERROR('Cash Flow Data'!G13,0)</f>
        <v>-304</v>
      </c>
      <c r="F80" s="30">
        <f>IFERROR('Cash Flow Data'!H13,0)</f>
        <v>-2272</v>
      </c>
      <c r="G80" s="30">
        <f>IFERROR('Cash Flow Data'!I13,0)</f>
        <v>2621</v>
      </c>
      <c r="H80" s="30">
        <f>IFERROR('Cash Flow Data'!J13,0)</f>
        <v>-3220</v>
      </c>
      <c r="I80" s="30">
        <f>IFERROR('Cash Flow Data'!K13,0)</f>
        <v>-2413</v>
      </c>
      <c r="J80" s="30">
        <f>IFERROR('Cash Flow Data'!L13,0)</f>
        <v>-2536</v>
      </c>
      <c r="K80" s="30">
        <f>IFERROR('Cash Flow Data'!M13,0)</f>
        <v>-5226</v>
      </c>
      <c r="L80" s="30">
        <f>IFERROR('Cash Flow Data'!N13,0)</f>
        <v>-1120</v>
      </c>
      <c r="M80" s="32"/>
    </row>
    <row r="81" spans="2:13" x14ac:dyDescent="0.35">
      <c r="B81" s="2" t="s">
        <v>132</v>
      </c>
      <c r="C81" s="30">
        <f>IFERROR('Cash Flow Data'!E14,0)</f>
        <v>-277</v>
      </c>
      <c r="D81" s="30">
        <f>IFERROR('Cash Flow Data'!F14,0)</f>
        <v>-456</v>
      </c>
      <c r="E81" s="30">
        <f>IFERROR('Cash Flow Data'!G14,0)</f>
        <v>-636</v>
      </c>
      <c r="F81" s="30">
        <f>IFERROR('Cash Flow Data'!H14,0)</f>
        <v>-557</v>
      </c>
      <c r="G81" s="30">
        <f>IFERROR('Cash Flow Data'!I14,0)</f>
        <v>-271</v>
      </c>
      <c r="H81" s="30">
        <f>IFERROR('Cash Flow Data'!J14,0)</f>
        <v>-802</v>
      </c>
      <c r="I81" s="30">
        <f>IFERROR('Cash Flow Data'!K14,0)</f>
        <v>-1154</v>
      </c>
      <c r="J81" s="30">
        <f>IFERROR('Cash Flow Data'!L14,0)</f>
        <v>-1173</v>
      </c>
      <c r="K81" s="30">
        <f>IFERROR('Cash Flow Data'!M14,0)</f>
        <v>-1089</v>
      </c>
      <c r="L81" s="30">
        <f>IFERROR('Cash Flow Data'!N14,0)</f>
        <v>-1737</v>
      </c>
      <c r="M81" s="32"/>
    </row>
    <row r="82" spans="2:13" x14ac:dyDescent="0.35">
      <c r="B82" s="35" t="s">
        <v>153</v>
      </c>
      <c r="C82" s="36">
        <f>SUM(C73:C81)</f>
        <v>2628</v>
      </c>
      <c r="D82" s="36">
        <f t="shared" ref="D82:L82" si="24">SUM(D73:D81)</f>
        <v>-1287</v>
      </c>
      <c r="E82" s="36">
        <f t="shared" si="24"/>
        <v>939</v>
      </c>
      <c r="F82" s="36">
        <f t="shared" si="24"/>
        <v>-2620</v>
      </c>
      <c r="G82" s="36">
        <f t="shared" si="24"/>
        <v>6760</v>
      </c>
      <c r="H82" s="36">
        <f t="shared" si="24"/>
        <v>-3944</v>
      </c>
      <c r="I82" s="36">
        <f t="shared" si="24"/>
        <v>-1043</v>
      </c>
      <c r="J82" s="36">
        <f t="shared" si="24"/>
        <v>-841</v>
      </c>
      <c r="K82" s="36">
        <f t="shared" si="24"/>
        <v>-5767</v>
      </c>
      <c r="L82" s="36">
        <f t="shared" si="24"/>
        <v>4470</v>
      </c>
    </row>
    <row r="83" spans="2:13" x14ac:dyDescent="0.35">
      <c r="C83" s="31"/>
      <c r="D83" s="31"/>
      <c r="E83" s="31"/>
      <c r="F83" s="31"/>
      <c r="G83" s="31"/>
      <c r="H83" s="31"/>
      <c r="I83" s="31"/>
      <c r="J83" s="31"/>
      <c r="K83" s="31"/>
      <c r="L83" s="31"/>
    </row>
    <row r="84" spans="2:13" x14ac:dyDescent="0.35">
      <c r="B84" s="73" t="s">
        <v>154</v>
      </c>
      <c r="C84" s="74"/>
      <c r="D84" s="74"/>
      <c r="E84" s="74"/>
      <c r="F84" s="74"/>
      <c r="G84" s="74"/>
      <c r="H84" s="74"/>
      <c r="I84" s="74"/>
      <c r="J84" s="74"/>
      <c r="K84" s="74"/>
      <c r="L84" s="74"/>
    </row>
    <row r="85" spans="2:13" x14ac:dyDescent="0.35">
      <c r="B85" s="34" t="s">
        <v>133</v>
      </c>
      <c r="C85" s="30">
        <f>IFERROR('Cash Flow Data'!E16,0)</f>
        <v>-256</v>
      </c>
      <c r="D85" s="30">
        <f>IFERROR('Cash Flow Data'!F16,0)</f>
        <v>-305</v>
      </c>
      <c r="E85" s="30">
        <f>IFERROR('Cash Flow Data'!G16,0)</f>
        <v>-265</v>
      </c>
      <c r="F85" s="30">
        <f>IFERROR('Cash Flow Data'!H16,0)</f>
        <v>-355</v>
      </c>
      <c r="G85" s="30">
        <f>IFERROR('Cash Flow Data'!I16,0)</f>
        <v>-146</v>
      </c>
      <c r="H85" s="30">
        <f>IFERROR('Cash Flow Data'!J16,0)</f>
        <v>-224</v>
      </c>
      <c r="I85" s="30">
        <f>IFERROR('Cash Flow Data'!K16,0)</f>
        <v>-432</v>
      </c>
      <c r="J85" s="30">
        <f>IFERROR('Cash Flow Data'!L16,0)</f>
        <v>-691</v>
      </c>
      <c r="K85" s="30">
        <f>IFERROR('Cash Flow Data'!M16,0)</f>
        <v>-494</v>
      </c>
      <c r="L85" s="30">
        <f>IFERROR('Cash Flow Data'!N16,0)</f>
        <v>-902</v>
      </c>
    </row>
    <row r="86" spans="2:13" x14ac:dyDescent="0.35">
      <c r="B86" s="34" t="s">
        <v>134</v>
      </c>
      <c r="C86" s="30">
        <f>IFERROR('Cash Flow Data'!E17,0)</f>
        <v>5</v>
      </c>
      <c r="D86" s="30">
        <f>IFERROR('Cash Flow Data'!F17,0)</f>
        <v>6</v>
      </c>
      <c r="E86" s="30">
        <f>IFERROR('Cash Flow Data'!G17,0)</f>
        <v>1</v>
      </c>
      <c r="F86" s="30">
        <f>IFERROR('Cash Flow Data'!H17,0)</f>
        <v>10</v>
      </c>
      <c r="G86" s="30">
        <f>IFERROR('Cash Flow Data'!I17,0)</f>
        <v>7</v>
      </c>
      <c r="H86" s="30">
        <f>IFERROR('Cash Flow Data'!J17,0)</f>
        <v>8</v>
      </c>
      <c r="I86" s="30">
        <f>IFERROR('Cash Flow Data'!K17,0)</f>
        <v>12</v>
      </c>
      <c r="J86" s="30">
        <f>IFERROR('Cash Flow Data'!L17,0)</f>
        <v>20</v>
      </c>
      <c r="K86" s="30">
        <f>IFERROR('Cash Flow Data'!M17,0)</f>
        <v>24</v>
      </c>
      <c r="L86" s="30">
        <f>IFERROR('Cash Flow Data'!N17,0)</f>
        <v>25</v>
      </c>
    </row>
    <row r="87" spans="2:13" x14ac:dyDescent="0.35">
      <c r="B87" s="34" t="s">
        <v>135</v>
      </c>
      <c r="C87" s="30">
        <f>IFERROR('Cash Flow Data'!E18,0)</f>
        <v>-325</v>
      </c>
      <c r="D87" s="30">
        <f>IFERROR('Cash Flow Data'!F18,0)</f>
        <v>0</v>
      </c>
      <c r="E87" s="30">
        <f>IFERROR('Cash Flow Data'!G18,0)</f>
        <v>-36</v>
      </c>
      <c r="F87" s="30">
        <f>IFERROR('Cash Flow Data'!H18,0)</f>
        <v>-13</v>
      </c>
      <c r="G87" s="30">
        <f>IFERROR('Cash Flow Data'!I18,0)</f>
        <v>-2656</v>
      </c>
      <c r="H87" s="30">
        <f>IFERROR('Cash Flow Data'!J18,0)</f>
        <v>-253</v>
      </c>
      <c r="I87" s="30">
        <f>IFERROR('Cash Flow Data'!K18,0)</f>
        <v>-2104</v>
      </c>
      <c r="J87" s="30">
        <f>IFERROR('Cash Flow Data'!L18,0)</f>
        <v>-21893</v>
      </c>
      <c r="K87" s="30">
        <f>IFERROR('Cash Flow Data'!M18,0)</f>
        <v>-15342</v>
      </c>
      <c r="L87" s="30">
        <f>IFERROR('Cash Flow Data'!N18,0)</f>
        <v>-22035</v>
      </c>
    </row>
    <row r="88" spans="2:13" x14ac:dyDescent="0.35">
      <c r="B88" s="34" t="s">
        <v>136</v>
      </c>
      <c r="C88" s="30">
        <f>IFERROR('Cash Flow Data'!E19,0)</f>
        <v>0</v>
      </c>
      <c r="D88" s="30">
        <f>IFERROR('Cash Flow Data'!F19,0)</f>
        <v>412</v>
      </c>
      <c r="E88" s="30">
        <f>IFERROR('Cash Flow Data'!G19,0)</f>
        <v>18</v>
      </c>
      <c r="F88" s="30">
        <f>IFERROR('Cash Flow Data'!H19,0)</f>
        <v>0</v>
      </c>
      <c r="G88" s="30">
        <f>IFERROR('Cash Flow Data'!I19,0)</f>
        <v>43</v>
      </c>
      <c r="H88" s="30">
        <f>IFERROR('Cash Flow Data'!J19,0)</f>
        <v>2870</v>
      </c>
      <c r="I88" s="30">
        <f>IFERROR('Cash Flow Data'!K19,0)</f>
        <v>0</v>
      </c>
      <c r="J88" s="30">
        <f>IFERROR('Cash Flow Data'!L19,0)</f>
        <v>22213</v>
      </c>
      <c r="K88" s="30">
        <f>IFERROR('Cash Flow Data'!M19,0)</f>
        <v>15747</v>
      </c>
      <c r="L88" s="30">
        <f>IFERROR('Cash Flow Data'!N19,0)</f>
        <v>20797</v>
      </c>
    </row>
    <row r="89" spans="2:13" x14ac:dyDescent="0.35">
      <c r="B89" s="34" t="s">
        <v>137</v>
      </c>
      <c r="C89" s="30">
        <f>IFERROR('Cash Flow Data'!E20,0)</f>
        <v>41</v>
      </c>
      <c r="D89" s="30">
        <f>IFERROR('Cash Flow Data'!F20,0)</f>
        <v>64</v>
      </c>
      <c r="E89" s="30">
        <f>IFERROR('Cash Flow Data'!G20,0)</f>
        <v>85</v>
      </c>
      <c r="F89" s="30">
        <f>IFERROR('Cash Flow Data'!H20,0)</f>
        <v>73</v>
      </c>
      <c r="G89" s="30">
        <f>IFERROR('Cash Flow Data'!I20,0)</f>
        <v>49</v>
      </c>
      <c r="H89" s="30">
        <f>IFERROR('Cash Flow Data'!J20,0)</f>
        <v>56</v>
      </c>
      <c r="I89" s="30">
        <f>IFERROR('Cash Flow Data'!K20,0)</f>
        <v>143</v>
      </c>
      <c r="J89" s="30">
        <f>IFERROR('Cash Flow Data'!L20,0)</f>
        <v>249</v>
      </c>
      <c r="K89" s="30">
        <f>IFERROR('Cash Flow Data'!M20,0)</f>
        <v>288</v>
      </c>
      <c r="L89" s="30">
        <f>IFERROR('Cash Flow Data'!N20,0)</f>
        <v>227</v>
      </c>
    </row>
    <row r="90" spans="2:13" x14ac:dyDescent="0.35">
      <c r="B90" s="34" t="s">
        <v>138</v>
      </c>
      <c r="C90" s="30">
        <f>IFERROR('Cash Flow Data'!E21,0)</f>
        <v>0</v>
      </c>
      <c r="D90" s="30">
        <f>IFERROR('Cash Flow Data'!F21,0)</f>
        <v>0</v>
      </c>
      <c r="E90" s="30">
        <f>IFERROR('Cash Flow Data'!G21,0)</f>
        <v>0</v>
      </c>
      <c r="F90" s="30">
        <f>IFERROR('Cash Flow Data'!H21,0)</f>
        <v>-39</v>
      </c>
      <c r="G90" s="30">
        <f>IFERROR('Cash Flow Data'!I21,0)</f>
        <v>0</v>
      </c>
      <c r="H90" s="30">
        <f>IFERROR('Cash Flow Data'!J21,0)</f>
        <v>0</v>
      </c>
      <c r="I90" s="30">
        <f>IFERROR('Cash Flow Data'!K21,0)</f>
        <v>0</v>
      </c>
      <c r="J90" s="30">
        <f>IFERROR('Cash Flow Data'!L21,0)</f>
        <v>0</v>
      </c>
      <c r="K90" s="30">
        <f>IFERROR('Cash Flow Data'!M21,0)</f>
        <v>0</v>
      </c>
      <c r="L90" s="30">
        <f>IFERROR('Cash Flow Data'!N21,0)</f>
        <v>0</v>
      </c>
    </row>
    <row r="91" spans="2:13" x14ac:dyDescent="0.35">
      <c r="B91" s="34" t="s">
        <v>139</v>
      </c>
      <c r="C91" s="30">
        <f>IFERROR('Cash Flow Data'!E22,0)</f>
        <v>0</v>
      </c>
      <c r="D91" s="30">
        <f>IFERROR('Cash Flow Data'!F22,0)</f>
        <v>0</v>
      </c>
      <c r="E91" s="30">
        <f>IFERROR('Cash Flow Data'!G22,0)</f>
        <v>0</v>
      </c>
      <c r="F91" s="30">
        <f>IFERROR('Cash Flow Data'!H22,0)</f>
        <v>0</v>
      </c>
      <c r="G91" s="30">
        <f>IFERROR('Cash Flow Data'!I22,0)</f>
        <v>0</v>
      </c>
      <c r="H91" s="30">
        <f>IFERROR('Cash Flow Data'!J22,0)</f>
        <v>0</v>
      </c>
      <c r="I91" s="30">
        <f>IFERROR('Cash Flow Data'!K22,0)</f>
        <v>0</v>
      </c>
      <c r="J91" s="30">
        <f>IFERROR('Cash Flow Data'!L22,0)</f>
        <v>0</v>
      </c>
      <c r="K91" s="30">
        <f>IFERROR('Cash Flow Data'!M22,0)</f>
        <v>0</v>
      </c>
      <c r="L91" s="30">
        <f>IFERROR('Cash Flow Data'!N22,0)</f>
        <v>0</v>
      </c>
    </row>
    <row r="92" spans="2:13" x14ac:dyDescent="0.35">
      <c r="B92" s="34" t="s">
        <v>140</v>
      </c>
      <c r="C92" s="30">
        <f>IFERROR('Cash Flow Data'!E23,0)</f>
        <v>-385</v>
      </c>
      <c r="D92" s="30">
        <f>IFERROR('Cash Flow Data'!F23,0)</f>
        <v>0</v>
      </c>
      <c r="E92" s="30">
        <f>IFERROR('Cash Flow Data'!G23,0)</f>
        <v>0</v>
      </c>
      <c r="F92" s="30">
        <f>IFERROR('Cash Flow Data'!H23,0)</f>
        <v>0</v>
      </c>
      <c r="G92" s="30">
        <f>IFERROR('Cash Flow Data'!I23,0)</f>
        <v>0</v>
      </c>
      <c r="H92" s="30">
        <f>IFERROR('Cash Flow Data'!J23,0)</f>
        <v>0</v>
      </c>
      <c r="I92" s="30">
        <f>IFERROR('Cash Flow Data'!K23,0)</f>
        <v>0</v>
      </c>
      <c r="J92" s="30">
        <f>IFERROR('Cash Flow Data'!L23,0)</f>
        <v>0</v>
      </c>
      <c r="K92" s="30">
        <f>IFERROR('Cash Flow Data'!M23,0)</f>
        <v>0</v>
      </c>
      <c r="L92" s="30">
        <f>IFERROR('Cash Flow Data'!N23,0)</f>
        <v>0</v>
      </c>
    </row>
    <row r="93" spans="2:13" x14ac:dyDescent="0.35">
      <c r="B93" s="34" t="s">
        <v>141</v>
      </c>
      <c r="C93" s="30">
        <f>IFERROR('Cash Flow Data'!E24,0)</f>
        <v>5</v>
      </c>
      <c r="D93" s="30">
        <f>IFERROR('Cash Flow Data'!F24,0)</f>
        <v>-35</v>
      </c>
      <c r="E93" s="30">
        <f>IFERROR('Cash Flow Data'!G24,0)</f>
        <v>-115</v>
      </c>
      <c r="F93" s="30">
        <f>IFERROR('Cash Flow Data'!H24,0)</f>
        <v>200</v>
      </c>
      <c r="G93" s="30">
        <f>IFERROR('Cash Flow Data'!I24,0)</f>
        <v>-50</v>
      </c>
      <c r="H93" s="30">
        <f>IFERROR('Cash Flow Data'!J24,0)</f>
        <v>-344</v>
      </c>
      <c r="I93" s="30">
        <f>IFERROR('Cash Flow Data'!K24,0)</f>
        <v>294</v>
      </c>
      <c r="J93" s="30">
        <f>IFERROR('Cash Flow Data'!L24,0)</f>
        <v>-143</v>
      </c>
      <c r="K93" s="30">
        <f>IFERROR('Cash Flow Data'!M24,0)</f>
        <v>243</v>
      </c>
      <c r="L93" s="30">
        <f>IFERROR('Cash Flow Data'!N24,0)</f>
        <v>0</v>
      </c>
    </row>
    <row r="94" spans="2:13" x14ac:dyDescent="0.35">
      <c r="B94" s="34" t="s">
        <v>142</v>
      </c>
      <c r="C94" s="30">
        <f>IFERROR('Cash Flow Data'!E25,0)</f>
        <v>-38</v>
      </c>
      <c r="D94" s="30">
        <f>IFERROR('Cash Flow Data'!F25,0)</f>
        <v>-43</v>
      </c>
      <c r="E94" s="30">
        <f>IFERROR('Cash Flow Data'!G25,0)</f>
        <v>-485</v>
      </c>
      <c r="F94" s="30">
        <f>IFERROR('Cash Flow Data'!H25,0)</f>
        <v>359</v>
      </c>
      <c r="G94" s="30">
        <f>IFERROR('Cash Flow Data'!I25,0)</f>
        <v>-46</v>
      </c>
      <c r="H94" s="30">
        <f>IFERROR('Cash Flow Data'!J25,0)</f>
        <v>-948</v>
      </c>
      <c r="I94" s="30">
        <f>IFERROR('Cash Flow Data'!K25,0)</f>
        <v>273</v>
      </c>
      <c r="J94" s="30">
        <f>IFERROR('Cash Flow Data'!L25,0)</f>
        <v>56</v>
      </c>
      <c r="K94" s="30">
        <f>IFERROR('Cash Flow Data'!M25,0)</f>
        <v>80</v>
      </c>
      <c r="L94" s="30">
        <f>IFERROR('Cash Flow Data'!N25,0)</f>
        <v>-1077</v>
      </c>
    </row>
    <row r="95" spans="2:13" x14ac:dyDescent="0.35">
      <c r="B95" s="35" t="s">
        <v>155</v>
      </c>
      <c r="C95" s="37">
        <f>SUM(C85:C94)</f>
        <v>-953</v>
      </c>
      <c r="D95" s="37">
        <f t="shared" ref="D95:L95" si="25">SUM(D85:D94)</f>
        <v>99</v>
      </c>
      <c r="E95" s="37">
        <f t="shared" si="25"/>
        <v>-797</v>
      </c>
      <c r="F95" s="37">
        <f t="shared" si="25"/>
        <v>235</v>
      </c>
      <c r="G95" s="37">
        <f t="shared" si="25"/>
        <v>-2799</v>
      </c>
      <c r="H95" s="37">
        <f t="shared" si="25"/>
        <v>1165</v>
      </c>
      <c r="I95" s="37">
        <f t="shared" si="25"/>
        <v>-1814</v>
      </c>
      <c r="J95" s="37">
        <f t="shared" si="25"/>
        <v>-189</v>
      </c>
      <c r="K95" s="37">
        <f t="shared" si="25"/>
        <v>546</v>
      </c>
      <c r="L95" s="37">
        <f t="shared" si="25"/>
        <v>-2965</v>
      </c>
    </row>
    <row r="97" spans="2:12" x14ac:dyDescent="0.35">
      <c r="B97" s="75" t="s">
        <v>156</v>
      </c>
      <c r="C97" s="11"/>
      <c r="D97" s="11"/>
      <c r="E97" s="11"/>
      <c r="F97" s="11"/>
      <c r="G97" s="11"/>
      <c r="H97" s="11"/>
      <c r="I97" s="11"/>
      <c r="J97" s="11"/>
      <c r="K97" s="11"/>
      <c r="L97" s="11"/>
    </row>
    <row r="98" spans="2:12" x14ac:dyDescent="0.35">
      <c r="B98" s="33" t="s">
        <v>143</v>
      </c>
      <c r="C98" s="30">
        <f>IFERROR('Cash Flow Data'!E27,0)</f>
        <v>0</v>
      </c>
      <c r="D98" s="30">
        <f>IFERROR('Cash Flow Data'!F27,0)</f>
        <v>0</v>
      </c>
      <c r="E98" s="30">
        <f>IFERROR('Cash Flow Data'!G27,0)</f>
        <v>0</v>
      </c>
      <c r="F98" s="30">
        <f>IFERROR('Cash Flow Data'!H27,0)</f>
        <v>693</v>
      </c>
      <c r="G98" s="30">
        <f>IFERROR('Cash Flow Data'!I27,0)</f>
        <v>0</v>
      </c>
      <c r="H98" s="30">
        <f>IFERROR('Cash Flow Data'!J27,0)</f>
        <v>349</v>
      </c>
      <c r="I98" s="30">
        <f>IFERROR('Cash Flow Data'!K27,0)</f>
        <v>1684</v>
      </c>
      <c r="J98" s="30">
        <f>IFERROR('Cash Flow Data'!L27,0)</f>
        <v>5629</v>
      </c>
      <c r="K98" s="30">
        <f>IFERROR('Cash Flow Data'!M27,0)</f>
        <v>2599</v>
      </c>
      <c r="L98" s="30">
        <f>IFERROR('Cash Flow Data'!N27,0)</f>
        <v>3314</v>
      </c>
    </row>
    <row r="99" spans="2:12" x14ac:dyDescent="0.35">
      <c r="B99" s="33" t="s">
        <v>144</v>
      </c>
      <c r="C99" s="30">
        <f>IFERROR('Cash Flow Data'!E28,0)</f>
        <v>0</v>
      </c>
      <c r="D99" s="30">
        <f>IFERROR('Cash Flow Data'!F28,0)</f>
        <v>0</v>
      </c>
      <c r="E99" s="30">
        <f>IFERROR('Cash Flow Data'!G28,0)</f>
        <v>-39</v>
      </c>
      <c r="F99" s="30">
        <f>IFERROR('Cash Flow Data'!H28,0)</f>
        <v>0</v>
      </c>
      <c r="G99" s="30">
        <f>IFERROR('Cash Flow Data'!I28,0)</f>
        <v>-562</v>
      </c>
      <c r="H99" s="30">
        <f>IFERROR('Cash Flow Data'!J28,0)</f>
        <v>-7</v>
      </c>
      <c r="I99" s="30">
        <f>IFERROR('Cash Flow Data'!K28,0)</f>
        <v>-7</v>
      </c>
      <c r="J99" s="30">
        <f>IFERROR('Cash Flow Data'!L28,0)</f>
        <v>0</v>
      </c>
      <c r="K99" s="30">
        <f>IFERROR('Cash Flow Data'!M28,0)</f>
        <v>-378</v>
      </c>
      <c r="L99" s="30">
        <f>IFERROR('Cash Flow Data'!N28,0)</f>
        <v>-2632</v>
      </c>
    </row>
    <row r="100" spans="2:12" x14ac:dyDescent="0.35">
      <c r="B100" s="33" t="s">
        <v>145</v>
      </c>
      <c r="C100" s="30">
        <f>IFERROR('Cash Flow Data'!E29,0)</f>
        <v>-38</v>
      </c>
      <c r="D100" s="30">
        <f>IFERROR('Cash Flow Data'!F29,0)</f>
        <v>-54</v>
      </c>
      <c r="E100" s="30">
        <f>IFERROR('Cash Flow Data'!G29,0)</f>
        <v>-53</v>
      </c>
      <c r="F100" s="30">
        <f>IFERROR('Cash Flow Data'!H29,0)</f>
        <v>-399</v>
      </c>
      <c r="G100" s="30">
        <f>IFERROR('Cash Flow Data'!I29,0)</f>
        <v>-317</v>
      </c>
      <c r="H100" s="30">
        <f>IFERROR('Cash Flow Data'!J29,0)</f>
        <v>-218</v>
      </c>
      <c r="I100" s="30">
        <f>IFERROR('Cash Flow Data'!K29,0)</f>
        <v>-300</v>
      </c>
      <c r="J100" s="30">
        <f>IFERROR('Cash Flow Data'!L29,0)</f>
        <v>-619</v>
      </c>
      <c r="K100" s="30">
        <f>IFERROR('Cash Flow Data'!M29,0)</f>
        <v>-538</v>
      </c>
      <c r="L100" s="30">
        <f>IFERROR('Cash Flow Data'!N29,0)</f>
        <v>-1000</v>
      </c>
    </row>
    <row r="101" spans="2:12" x14ac:dyDescent="0.35">
      <c r="B101" s="33" t="s">
        <v>146</v>
      </c>
      <c r="C101" s="30">
        <f>IFERROR('Cash Flow Data'!E30,0)</f>
        <v>-4</v>
      </c>
      <c r="D101" s="30">
        <f>IFERROR('Cash Flow Data'!F30,0)</f>
        <v>-277</v>
      </c>
      <c r="E101" s="30">
        <f>IFERROR('Cash Flow Data'!G30,0)</f>
        <v>-397</v>
      </c>
      <c r="F101" s="30">
        <f>IFERROR('Cash Flow Data'!H30,0)</f>
        <v>-536</v>
      </c>
      <c r="G101" s="30">
        <f>IFERROR('Cash Flow Data'!I30,0)</f>
        <v>-355</v>
      </c>
      <c r="H101" s="30">
        <f>IFERROR('Cash Flow Data'!J30,0)</f>
        <v>-355</v>
      </c>
      <c r="I101" s="30">
        <f>IFERROR('Cash Flow Data'!K30,0)</f>
        <v>-666</v>
      </c>
      <c r="J101" s="30">
        <f>IFERROR('Cash Flow Data'!L30,0)</f>
        <v>-888</v>
      </c>
      <c r="K101" s="30">
        <f>IFERROR('Cash Flow Data'!M30,0)</f>
        <v>-976</v>
      </c>
      <c r="L101" s="30">
        <f>IFERROR('Cash Flow Data'!N30,0)</f>
        <v>-976</v>
      </c>
    </row>
    <row r="102" spans="2:12" x14ac:dyDescent="0.35">
      <c r="B102" s="33" t="s">
        <v>147</v>
      </c>
      <c r="C102" s="30">
        <f>IFERROR('Cash Flow Data'!E31,0)</f>
        <v>0</v>
      </c>
      <c r="D102" s="30">
        <f>IFERROR('Cash Flow Data'!F31,0)</f>
        <v>0</v>
      </c>
      <c r="E102" s="30">
        <f>IFERROR('Cash Flow Data'!G31,0)</f>
        <v>0</v>
      </c>
      <c r="F102" s="30">
        <f>IFERROR('Cash Flow Data'!H31,0)</f>
        <v>0</v>
      </c>
      <c r="G102" s="30">
        <f>IFERROR('Cash Flow Data'!I31,0)</f>
        <v>0</v>
      </c>
      <c r="H102" s="30">
        <f>IFERROR('Cash Flow Data'!J31,0)</f>
        <v>-172</v>
      </c>
      <c r="I102" s="30">
        <f>IFERROR('Cash Flow Data'!K31,0)</f>
        <v>-254</v>
      </c>
      <c r="J102" s="30">
        <f>IFERROR('Cash Flow Data'!L31,0)</f>
        <v>-318</v>
      </c>
      <c r="K102" s="30">
        <f>IFERROR('Cash Flow Data'!M31,0)</f>
        <v>-700</v>
      </c>
      <c r="L102" s="30">
        <f>IFERROR('Cash Flow Data'!N31,0)</f>
        <v>-865</v>
      </c>
    </row>
    <row r="103" spans="2:12" x14ac:dyDescent="0.35">
      <c r="B103" s="33" t="s">
        <v>148</v>
      </c>
      <c r="C103" s="30">
        <f>IFERROR('Cash Flow Data'!E32,0)</f>
        <v>-124</v>
      </c>
      <c r="D103" s="30">
        <f>IFERROR('Cash Flow Data'!F32,0)</f>
        <v>79</v>
      </c>
      <c r="E103" s="30">
        <f>IFERROR('Cash Flow Data'!G32,0)</f>
        <v>0</v>
      </c>
      <c r="F103" s="30">
        <f>IFERROR('Cash Flow Data'!H32,0)</f>
        <v>0</v>
      </c>
      <c r="G103" s="30">
        <f>IFERROR('Cash Flow Data'!I32,0)</f>
        <v>0</v>
      </c>
      <c r="H103" s="30">
        <f>IFERROR('Cash Flow Data'!J32,0)</f>
        <v>0</v>
      </c>
      <c r="I103" s="30">
        <f>IFERROR('Cash Flow Data'!K32,0)</f>
        <v>0</v>
      </c>
      <c r="J103" s="30">
        <f>IFERROR('Cash Flow Data'!L32,0)</f>
        <v>-5133</v>
      </c>
      <c r="K103" s="30">
        <f>IFERROR('Cash Flow Data'!M32,0)</f>
        <v>-14</v>
      </c>
      <c r="L103" s="30">
        <f>IFERROR('Cash Flow Data'!N32,0)</f>
        <v>0</v>
      </c>
    </row>
    <row r="104" spans="2:12" x14ac:dyDescent="0.35">
      <c r="B104" s="38" t="s">
        <v>157</v>
      </c>
      <c r="C104" s="37">
        <f>SUM(C98:C103)</f>
        <v>-166</v>
      </c>
      <c r="D104" s="37">
        <f t="shared" ref="D104:L104" si="26">SUM(D98:D103)</f>
        <v>-252</v>
      </c>
      <c r="E104" s="37">
        <f t="shared" si="26"/>
        <v>-489</v>
      </c>
      <c r="F104" s="37">
        <f t="shared" si="26"/>
        <v>-242</v>
      </c>
      <c r="G104" s="37">
        <f t="shared" si="26"/>
        <v>-1234</v>
      </c>
      <c r="H104" s="37">
        <f t="shared" si="26"/>
        <v>-403</v>
      </c>
      <c r="I104" s="37">
        <f t="shared" si="26"/>
        <v>457</v>
      </c>
      <c r="J104" s="37">
        <f t="shared" si="26"/>
        <v>-1329</v>
      </c>
      <c r="K104" s="37">
        <f t="shared" si="26"/>
        <v>-7</v>
      </c>
      <c r="L104" s="37">
        <f t="shared" si="26"/>
        <v>-2159</v>
      </c>
    </row>
    <row r="106" spans="2:12" x14ac:dyDescent="0.35">
      <c r="B106" s="38" t="s">
        <v>50</v>
      </c>
      <c r="C106" s="36">
        <f>IFERROR(SUM(C82,C95,C104),0)</f>
        <v>1509</v>
      </c>
      <c r="D106" s="36">
        <f t="shared" ref="D106:L106" si="27">IFERROR(SUM(D82,D95,D104),0)</f>
        <v>-1440</v>
      </c>
      <c r="E106" s="36">
        <f t="shared" si="27"/>
        <v>-347</v>
      </c>
      <c r="F106" s="36">
        <f t="shared" si="27"/>
        <v>-2627</v>
      </c>
      <c r="G106" s="36">
        <f t="shared" si="27"/>
        <v>2727</v>
      </c>
      <c r="H106" s="36">
        <f t="shared" si="27"/>
        <v>-3182</v>
      </c>
      <c r="I106" s="36">
        <f t="shared" si="27"/>
        <v>-2400</v>
      </c>
      <c r="J106" s="36">
        <f t="shared" si="27"/>
        <v>-2359</v>
      </c>
      <c r="K106" s="36">
        <f t="shared" si="27"/>
        <v>-5228</v>
      </c>
      <c r="L106" s="36">
        <f t="shared" si="27"/>
        <v>-654</v>
      </c>
    </row>
  </sheetData>
  <mergeCells count="5">
    <mergeCell ref="B1:L1"/>
    <mergeCell ref="B2:L2"/>
    <mergeCell ref="B5:L5"/>
    <mergeCell ref="B47:L47"/>
    <mergeCell ref="B70:L7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3" sqref="K13"/>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3"/>
  <sheetViews>
    <sheetView showGridLines="0" zoomScale="76" zoomScaleNormal="100" workbookViewId="0">
      <selection activeCell="N22" sqref="N22"/>
    </sheetView>
  </sheetViews>
  <sheetFormatPr defaultRowHeight="14.5" x14ac:dyDescent="0.35"/>
  <cols>
    <col min="1" max="1" width="2.1796875" customWidth="1"/>
    <col min="2" max="2" width="38.08984375" customWidth="1"/>
    <col min="3" max="3" width="11.7265625" bestFit="1" customWidth="1"/>
    <col min="4" max="4" width="9.08984375" bestFit="1" customWidth="1"/>
    <col min="7" max="7" width="8.7265625" customWidth="1"/>
  </cols>
  <sheetData>
    <row r="1" spans="1:9" x14ac:dyDescent="0.35">
      <c r="A1" s="14"/>
      <c r="B1" s="290"/>
      <c r="C1" s="290"/>
      <c r="D1" s="290"/>
      <c r="E1" s="290"/>
      <c r="F1" s="290"/>
      <c r="G1" s="290"/>
      <c r="H1" s="290"/>
      <c r="I1" s="289"/>
    </row>
    <row r="3" spans="1:9" ht="42" customHeight="1" x14ac:dyDescent="0.65">
      <c r="B3" s="276" t="str">
        <f>'Data Sheet'!B1</f>
        <v>TITAN COMPANY LTD</v>
      </c>
    </row>
    <row r="4" spans="1:9" x14ac:dyDescent="0.35">
      <c r="B4" t="s">
        <v>500</v>
      </c>
    </row>
    <row r="5" spans="1:9" x14ac:dyDescent="0.35">
      <c r="B5" s="287" t="str">
        <f>CONCATENATE(" ","INR "&amp;'Data Sheet'!B8)</f>
        <v xml:space="preserve"> INR 4515.7</v>
      </c>
    </row>
    <row r="6" spans="1:9" ht="15" thickBot="1" x14ac:dyDescent="0.4">
      <c r="B6" t="s">
        <v>497</v>
      </c>
    </row>
    <row r="7" spans="1:9" s="8" customFormat="1" ht="5.5" customHeight="1" x14ac:dyDescent="0.35">
      <c r="B7" s="277"/>
      <c r="C7" s="278"/>
      <c r="D7" s="277"/>
      <c r="E7" s="277"/>
      <c r="F7" s="277"/>
      <c r="G7" s="277"/>
      <c r="H7" s="277"/>
      <c r="I7" s="277"/>
    </row>
    <row r="8" spans="1:9" ht="15.5" x14ac:dyDescent="0.35">
      <c r="B8" s="288" t="s">
        <v>498</v>
      </c>
    </row>
    <row r="9" spans="1:9" ht="83.5" customHeight="1" x14ac:dyDescent="0.35">
      <c r="B9" s="339" t="s">
        <v>499</v>
      </c>
      <c r="C9" s="339"/>
      <c r="D9" s="339"/>
      <c r="E9" s="339"/>
      <c r="F9" s="339"/>
    </row>
    <row r="10" spans="1:9" ht="7" customHeight="1" x14ac:dyDescent="0.35"/>
    <row r="11" spans="1:9" ht="15.5" x14ac:dyDescent="0.35">
      <c r="B11" s="288" t="s">
        <v>510</v>
      </c>
    </row>
    <row r="12" spans="1:9" ht="3.5" customHeight="1" x14ac:dyDescent="0.35">
      <c r="B12" s="287"/>
    </row>
    <row r="34" spans="1:9" x14ac:dyDescent="0.35">
      <c r="A34" s="14"/>
      <c r="B34" s="289"/>
      <c r="C34" s="289"/>
      <c r="D34" s="289"/>
      <c r="E34" s="289"/>
      <c r="F34" s="289"/>
      <c r="G34" s="289"/>
      <c r="H34" s="289"/>
      <c r="I34" s="289"/>
    </row>
    <row r="36" spans="1:9" ht="15.5" x14ac:dyDescent="0.35">
      <c r="B36" s="340" t="s">
        <v>512</v>
      </c>
      <c r="C36" s="340"/>
      <c r="D36" s="340"/>
      <c r="E36" s="340"/>
      <c r="F36" s="340"/>
      <c r="G36" s="340"/>
      <c r="H36" s="340"/>
      <c r="I36" s="340"/>
    </row>
    <row r="38" spans="1:9" x14ac:dyDescent="0.35">
      <c r="B38" s="336" t="s">
        <v>171</v>
      </c>
      <c r="C38" s="336"/>
      <c r="D38" s="336"/>
      <c r="E38" s="336"/>
      <c r="F38" s="336"/>
      <c r="G38" s="336"/>
      <c r="H38" s="336"/>
      <c r="I38" s="336"/>
    </row>
    <row r="39" spans="1:9" x14ac:dyDescent="0.35">
      <c r="C39" s="281">
        <f>Historical_FS!F3</f>
        <v>43921</v>
      </c>
      <c r="D39" s="281">
        <f>Historical_FS!G3</f>
        <v>44286</v>
      </c>
      <c r="E39" s="281">
        <f>Historical_FS!H3</f>
        <v>44651</v>
      </c>
      <c r="F39" s="281">
        <f>Historical_FS!I3</f>
        <v>45016</v>
      </c>
      <c r="G39" s="281">
        <f>Historical_FS!J3</f>
        <v>45382</v>
      </c>
      <c r="H39" s="281">
        <f>Historical_FS!K3</f>
        <v>45747</v>
      </c>
      <c r="I39" s="281">
        <f>Historical_FS!L3</f>
        <v>46112</v>
      </c>
    </row>
    <row r="40" spans="1:9" x14ac:dyDescent="0.35">
      <c r="B40" t="s">
        <v>110</v>
      </c>
      <c r="C40" s="282">
        <f>'Data Sheet'!E30</f>
        <v>1501</v>
      </c>
      <c r="D40" s="282">
        <f>'Data Sheet'!F30</f>
        <v>973</v>
      </c>
      <c r="E40" s="282">
        <f>'Data Sheet'!G30</f>
        <v>2173</v>
      </c>
      <c r="F40" s="282">
        <f>'Data Sheet'!H30</f>
        <v>3250</v>
      </c>
      <c r="G40" s="282">
        <f>'Data Sheet'!I30</f>
        <v>3496</v>
      </c>
      <c r="H40" s="282">
        <f>'Data Sheet'!J30</f>
        <v>3337</v>
      </c>
      <c r="I40" s="282">
        <f>'Data Sheet'!K30</f>
        <v>5073</v>
      </c>
    </row>
    <row r="41" spans="1:9" x14ac:dyDescent="0.35">
      <c r="B41" t="s">
        <v>501</v>
      </c>
      <c r="C41" s="282">
        <f>(('Data Sheet'!E57+'Data Sheet'!E58)+('Data Sheet'!D57+'Data Sheet'!D58))/2</f>
        <v>6369.5749999999998</v>
      </c>
      <c r="D41" s="282">
        <f>(('Data Sheet'!F57+'Data Sheet'!F58)+('Data Sheet'!E57+'Data Sheet'!E58))/2</f>
        <v>7083</v>
      </c>
      <c r="E41" s="282">
        <f>(('Data Sheet'!G57+'Data Sheet'!G58)+('Data Sheet'!F57+'Data Sheet'!F58))/2</f>
        <v>8400</v>
      </c>
      <c r="F41" s="282">
        <f>(('Data Sheet'!H57+'Data Sheet'!H58)+('Data Sheet'!G57+'Data Sheet'!G58))/2</f>
        <v>10577</v>
      </c>
      <c r="G41" s="282">
        <f>(('Data Sheet'!I57+'Data Sheet'!I58)+('Data Sheet'!H57+'Data Sheet'!H58))/2</f>
        <v>10622</v>
      </c>
      <c r="H41" s="282">
        <f>(('Data Sheet'!J57+'Data Sheet'!J58)+('Data Sheet'!I57+'Data Sheet'!I58))/2</f>
        <v>10508.5</v>
      </c>
      <c r="I41" s="282">
        <f>(('Data Sheet'!K57+'Data Sheet'!K58)+('Data Sheet'!J57+'Data Sheet'!J58))/2</f>
        <v>13663.5</v>
      </c>
    </row>
    <row r="42" spans="1:9" x14ac:dyDescent="0.35">
      <c r="B42" s="283" t="s">
        <v>171</v>
      </c>
      <c r="C42" s="284">
        <f>C40/C41</f>
        <v>0.23565151521098346</v>
      </c>
      <c r="D42" s="284">
        <f t="shared" ref="D42:I42" si="0">D40/D41</f>
        <v>0.13737117040801919</v>
      </c>
      <c r="E42" s="284">
        <f t="shared" si="0"/>
        <v>0.25869047619047619</v>
      </c>
      <c r="F42" s="284">
        <f t="shared" si="0"/>
        <v>0.3072704925782358</v>
      </c>
      <c r="G42" s="284">
        <f t="shared" si="0"/>
        <v>0.32912822443984185</v>
      </c>
      <c r="H42" s="284">
        <f t="shared" si="0"/>
        <v>0.31755245753437694</v>
      </c>
      <c r="I42" s="284">
        <f t="shared" si="0"/>
        <v>0.37128115051048416</v>
      </c>
    </row>
    <row r="44" spans="1:9" x14ac:dyDescent="0.35">
      <c r="B44" s="336" t="s">
        <v>502</v>
      </c>
      <c r="C44" s="336"/>
      <c r="D44" s="336"/>
      <c r="E44" s="336"/>
      <c r="F44" s="336"/>
      <c r="G44" s="336"/>
      <c r="H44" s="336"/>
      <c r="I44" s="336"/>
    </row>
    <row r="45" spans="1:9" x14ac:dyDescent="0.35">
      <c r="C45" s="281">
        <f>C39</f>
        <v>43921</v>
      </c>
      <c r="D45" s="281">
        <f t="shared" ref="D45:I45" si="1">D39</f>
        <v>44286</v>
      </c>
      <c r="E45" s="281">
        <f t="shared" si="1"/>
        <v>44651</v>
      </c>
      <c r="F45" s="281">
        <f t="shared" si="1"/>
        <v>45016</v>
      </c>
      <c r="G45" s="281">
        <f t="shared" si="1"/>
        <v>45382</v>
      </c>
      <c r="H45" s="281">
        <f t="shared" si="1"/>
        <v>45747</v>
      </c>
      <c r="I45" s="281">
        <f t="shared" si="1"/>
        <v>46112</v>
      </c>
    </row>
    <row r="46" spans="1:9" x14ac:dyDescent="0.35">
      <c r="B46" t="s">
        <v>110</v>
      </c>
      <c r="C46" s="282">
        <f>C40</f>
        <v>1501</v>
      </c>
      <c r="D46" s="282">
        <f t="shared" ref="D46:I46" si="2">D40</f>
        <v>973</v>
      </c>
      <c r="E46" s="282">
        <f t="shared" si="2"/>
        <v>2173</v>
      </c>
      <c r="F46" s="282">
        <f t="shared" si="2"/>
        <v>3250</v>
      </c>
      <c r="G46" s="282">
        <f t="shared" si="2"/>
        <v>3496</v>
      </c>
      <c r="H46" s="282">
        <f t="shared" si="2"/>
        <v>3337</v>
      </c>
      <c r="I46" s="282">
        <f t="shared" si="2"/>
        <v>5073</v>
      </c>
    </row>
    <row r="47" spans="1:9" x14ac:dyDescent="0.35">
      <c r="B47" t="s">
        <v>426</v>
      </c>
      <c r="C47" s="282">
        <f>'Data Sheet'!E17</f>
        <v>21052</v>
      </c>
      <c r="D47" s="282">
        <f>'Data Sheet'!F17</f>
        <v>21644</v>
      </c>
      <c r="E47" s="282">
        <f>'Data Sheet'!G17</f>
        <v>28799</v>
      </c>
      <c r="F47" s="282">
        <f>'Data Sheet'!H17</f>
        <v>40575</v>
      </c>
      <c r="G47" s="282">
        <f>'Data Sheet'!I17</f>
        <v>51084</v>
      </c>
      <c r="H47" s="282">
        <f>'Data Sheet'!J17</f>
        <v>60456</v>
      </c>
      <c r="I47" s="282">
        <f>'Data Sheet'!K17</f>
        <v>87584</v>
      </c>
    </row>
    <row r="48" spans="1:9" x14ac:dyDescent="0.35">
      <c r="B48" s="283" t="s">
        <v>504</v>
      </c>
      <c r="C48" s="284">
        <f>C46/C47</f>
        <v>7.1299638989169675E-2</v>
      </c>
      <c r="D48" s="284">
        <f t="shared" ref="D48" si="3">D46/D47</f>
        <v>4.495472186287193E-2</v>
      </c>
      <c r="E48" s="284">
        <f t="shared" ref="E48" si="4">E46/E47</f>
        <v>7.5454008819750687E-2</v>
      </c>
      <c r="F48" s="284">
        <f t="shared" ref="F48" si="5">F46/F47</f>
        <v>8.0098582871226121E-2</v>
      </c>
      <c r="G48" s="284">
        <f t="shared" ref="G48" si="6">G46/G47</f>
        <v>6.8436300994440535E-2</v>
      </c>
      <c r="H48" s="284">
        <f t="shared" ref="H48" si="7">H46/H47</f>
        <v>5.5197168188434564E-2</v>
      </c>
      <c r="I48" s="284">
        <f t="shared" ref="I48" si="8">I46/I47</f>
        <v>5.792153818048959E-2</v>
      </c>
    </row>
    <row r="50" spans="2:9" x14ac:dyDescent="0.35">
      <c r="B50" t="s">
        <v>426</v>
      </c>
      <c r="C50" s="282">
        <f>C47</f>
        <v>21052</v>
      </c>
      <c r="D50" s="282">
        <f t="shared" ref="D50:I50" si="9">D47</f>
        <v>21644</v>
      </c>
      <c r="E50" s="282">
        <f t="shared" si="9"/>
        <v>28799</v>
      </c>
      <c r="F50" s="282">
        <f t="shared" si="9"/>
        <v>40575</v>
      </c>
      <c r="G50" s="282">
        <f t="shared" si="9"/>
        <v>51084</v>
      </c>
      <c r="H50" s="282">
        <f t="shared" si="9"/>
        <v>60456</v>
      </c>
      <c r="I50" s="282">
        <f t="shared" si="9"/>
        <v>87584</v>
      </c>
    </row>
    <row r="51" spans="2:9" x14ac:dyDescent="0.35">
      <c r="B51" t="s">
        <v>503</v>
      </c>
      <c r="C51" s="282">
        <f>('Data Sheet'!E66+'Data Sheet'!D66)/2</f>
        <v>12626.92</v>
      </c>
      <c r="D51" s="282">
        <f>('Data Sheet'!F66+'Data Sheet'!E66)/2</f>
        <v>14994</v>
      </c>
      <c r="E51" s="282">
        <f>('Data Sheet'!G66+'Data Sheet'!F66)/2</f>
        <v>18816</v>
      </c>
      <c r="F51" s="282">
        <f>('Data Sheet'!H66+'Data Sheet'!G66)/2</f>
        <v>24104</v>
      </c>
      <c r="G51" s="282">
        <f>('Data Sheet'!I66+'Data Sheet'!H66)/2</f>
        <v>29283.5</v>
      </c>
      <c r="H51" s="282">
        <f>('Data Sheet'!J66+'Data Sheet'!I66)/2</f>
        <v>36096</v>
      </c>
      <c r="I51" s="282">
        <f>('Data Sheet'!K66+'Data Sheet'!J66)/2</f>
        <v>50603</v>
      </c>
    </row>
    <row r="52" spans="2:9" x14ac:dyDescent="0.35">
      <c r="B52" s="283" t="s">
        <v>505</v>
      </c>
      <c r="C52" s="285">
        <f t="shared" ref="C52:H52" si="10">C50/C51</f>
        <v>1.6672315972541205</v>
      </c>
      <c r="D52" s="285">
        <f t="shared" si="10"/>
        <v>1.4435107376283847</v>
      </c>
      <c r="E52" s="285">
        <f t="shared" si="10"/>
        <v>1.5305590986394557</v>
      </c>
      <c r="F52" s="285">
        <f t="shared" si="10"/>
        <v>1.6833305675406571</v>
      </c>
      <c r="G52" s="285">
        <f t="shared" si="10"/>
        <v>1.7444636057848277</v>
      </c>
      <c r="H52" s="285">
        <f t="shared" si="10"/>
        <v>1.6748670212765957</v>
      </c>
      <c r="I52" s="285">
        <f>I50/I51</f>
        <v>1.7308064739244708</v>
      </c>
    </row>
    <row r="54" spans="2:9" x14ac:dyDescent="0.35">
      <c r="B54" t="str">
        <f>B51</f>
        <v>Average Total Assets</v>
      </c>
      <c r="C54" s="282">
        <f>C51</f>
        <v>12626.92</v>
      </c>
      <c r="D54" s="282">
        <f t="shared" ref="D54:I54" si="11">D51</f>
        <v>14994</v>
      </c>
      <c r="E54" s="282">
        <f t="shared" si="11"/>
        <v>18816</v>
      </c>
      <c r="F54" s="282">
        <f t="shared" si="11"/>
        <v>24104</v>
      </c>
      <c r="G54" s="282">
        <f t="shared" si="11"/>
        <v>29283.5</v>
      </c>
      <c r="H54" s="282">
        <f t="shared" si="11"/>
        <v>36096</v>
      </c>
      <c r="I54" s="282">
        <f t="shared" si="11"/>
        <v>50603</v>
      </c>
    </row>
    <row r="55" spans="2:9" x14ac:dyDescent="0.35">
      <c r="B55" t="str">
        <f>B41</f>
        <v>Average Shareholder Equity</v>
      </c>
      <c r="C55" s="282">
        <f>C41</f>
        <v>6369.5749999999998</v>
      </c>
      <c r="D55" s="282">
        <f t="shared" ref="D55:I55" si="12">D41</f>
        <v>7083</v>
      </c>
      <c r="E55" s="282">
        <f t="shared" si="12"/>
        <v>8400</v>
      </c>
      <c r="F55" s="282">
        <f t="shared" si="12"/>
        <v>10577</v>
      </c>
      <c r="G55" s="282">
        <f t="shared" si="12"/>
        <v>10622</v>
      </c>
      <c r="H55" s="282">
        <f t="shared" si="12"/>
        <v>10508.5</v>
      </c>
      <c r="I55" s="282">
        <f t="shared" si="12"/>
        <v>13663.5</v>
      </c>
    </row>
    <row r="56" spans="2:9" x14ac:dyDescent="0.35">
      <c r="B56" s="283" t="s">
        <v>511</v>
      </c>
      <c r="C56" s="285">
        <f t="shared" ref="C56" si="13">C54/C55</f>
        <v>1.9823803000985152</v>
      </c>
      <c r="D56" s="285">
        <f t="shared" ref="D56" si="14">D54/D55</f>
        <v>2.1168996188055909</v>
      </c>
      <c r="E56" s="285">
        <f t="shared" ref="E56" si="15">E54/E55</f>
        <v>2.2400000000000002</v>
      </c>
      <c r="F56" s="285">
        <f t="shared" ref="F56" si="16">F54/F55</f>
        <v>2.278907062494091</v>
      </c>
      <c r="G56" s="285">
        <f t="shared" ref="G56" si="17">G54/G55</f>
        <v>2.7568725287139899</v>
      </c>
      <c r="H56" s="285">
        <f t="shared" ref="H56" si="18">H54/H55</f>
        <v>3.4349336251605842</v>
      </c>
      <c r="I56" s="285">
        <f>I54/I55</f>
        <v>3.7035166684963587</v>
      </c>
    </row>
    <row r="58" spans="2:9" x14ac:dyDescent="0.35">
      <c r="B58" s="283" t="s">
        <v>507</v>
      </c>
      <c r="C58" s="284">
        <f>C48*C52*C56</f>
        <v>0.23565151521098346</v>
      </c>
      <c r="D58" s="284">
        <f t="shared" ref="D58:I58" si="19">D48*D52*D56</f>
        <v>0.13737117040801922</v>
      </c>
      <c r="E58" s="284">
        <f t="shared" si="19"/>
        <v>0.25869047619047619</v>
      </c>
      <c r="F58" s="284">
        <f t="shared" si="19"/>
        <v>0.3072704925782358</v>
      </c>
      <c r="G58" s="284">
        <f t="shared" si="19"/>
        <v>0.32912822443984191</v>
      </c>
      <c r="H58" s="284">
        <f t="shared" si="19"/>
        <v>0.31755245753437694</v>
      </c>
      <c r="I58" s="284">
        <f t="shared" si="19"/>
        <v>0.37128115051048416</v>
      </c>
    </row>
    <row r="59" spans="2:9" x14ac:dyDescent="0.35">
      <c r="B59" s="324"/>
      <c r="C59" s="325"/>
      <c r="D59" s="325"/>
      <c r="E59" s="325"/>
      <c r="F59" s="325"/>
      <c r="G59" s="325"/>
      <c r="H59" s="325"/>
      <c r="I59" s="325"/>
    </row>
    <row r="60" spans="2:9" x14ac:dyDescent="0.35">
      <c r="B60" s="336" t="s">
        <v>513</v>
      </c>
      <c r="C60" s="336"/>
      <c r="D60" s="336"/>
      <c r="E60" s="336"/>
      <c r="F60" s="336"/>
      <c r="G60" s="336"/>
      <c r="H60" s="336"/>
      <c r="I60" s="336"/>
    </row>
    <row r="61" spans="2:9" x14ac:dyDescent="0.35">
      <c r="B61" s="324"/>
      <c r="C61" s="326">
        <f>C39</f>
        <v>43921</v>
      </c>
      <c r="D61" s="326">
        <f t="shared" ref="D61:I61" si="20">D39</f>
        <v>44286</v>
      </c>
      <c r="E61" s="326">
        <f t="shared" si="20"/>
        <v>44651</v>
      </c>
      <c r="F61" s="326">
        <f t="shared" si="20"/>
        <v>45016</v>
      </c>
      <c r="G61" s="326">
        <f t="shared" si="20"/>
        <v>45382</v>
      </c>
      <c r="H61" s="326">
        <f t="shared" si="20"/>
        <v>45747</v>
      </c>
      <c r="I61" s="326">
        <f t="shared" si="20"/>
        <v>46112</v>
      </c>
    </row>
    <row r="62" spans="2:9" x14ac:dyDescent="0.35">
      <c r="B62" s="327" t="s">
        <v>110</v>
      </c>
      <c r="C62" s="328">
        <f>C46</f>
        <v>1501</v>
      </c>
      <c r="D62" s="328">
        <f t="shared" ref="D62:I62" si="21">D46</f>
        <v>973</v>
      </c>
      <c r="E62" s="328">
        <f t="shared" si="21"/>
        <v>2173</v>
      </c>
      <c r="F62" s="328">
        <f t="shared" si="21"/>
        <v>3250</v>
      </c>
      <c r="G62" s="328">
        <f t="shared" si="21"/>
        <v>3496</v>
      </c>
      <c r="H62" s="328">
        <f t="shared" si="21"/>
        <v>3337</v>
      </c>
      <c r="I62" s="328">
        <f t="shared" si="21"/>
        <v>5073</v>
      </c>
    </row>
    <row r="63" spans="2:9" x14ac:dyDescent="0.35">
      <c r="B63" s="327" t="s">
        <v>506</v>
      </c>
      <c r="C63" s="328">
        <f>C54</f>
        <v>12626.92</v>
      </c>
      <c r="D63" s="328">
        <f t="shared" ref="D63:I63" si="22">D54</f>
        <v>14994</v>
      </c>
      <c r="E63" s="328">
        <f t="shared" si="22"/>
        <v>18816</v>
      </c>
      <c r="F63" s="328">
        <f t="shared" si="22"/>
        <v>24104</v>
      </c>
      <c r="G63" s="328">
        <f t="shared" si="22"/>
        <v>29283.5</v>
      </c>
      <c r="H63" s="328">
        <f t="shared" si="22"/>
        <v>36096</v>
      </c>
      <c r="I63" s="328">
        <f t="shared" si="22"/>
        <v>50603</v>
      </c>
    </row>
    <row r="64" spans="2:9" x14ac:dyDescent="0.35">
      <c r="B64" s="283" t="s">
        <v>513</v>
      </c>
      <c r="C64" s="284">
        <f>C62/C63</f>
        <v>0.11887301099555553</v>
      </c>
      <c r="D64" s="284">
        <f t="shared" ref="D64:I64" si="23">D62/D63</f>
        <v>6.4892623716153133E-2</v>
      </c>
      <c r="E64" s="284">
        <f t="shared" si="23"/>
        <v>0.11548681972789115</v>
      </c>
      <c r="F64" s="284">
        <f t="shared" si="23"/>
        <v>0.13483239296382343</v>
      </c>
      <c r="G64" s="284">
        <f t="shared" si="23"/>
        <v>0.11938463639933751</v>
      </c>
      <c r="H64" s="284">
        <f t="shared" si="23"/>
        <v>9.2447916666666671E-2</v>
      </c>
      <c r="I64" s="284">
        <f t="shared" si="23"/>
        <v>0.1002509732624548</v>
      </c>
    </row>
    <row r="65" spans="2:9" ht="13" customHeight="1" x14ac:dyDescent="0.35"/>
    <row r="66" spans="2:9" x14ac:dyDescent="0.35">
      <c r="B66" s="336" t="s">
        <v>508</v>
      </c>
      <c r="C66" s="336"/>
      <c r="D66" s="336"/>
      <c r="E66" s="336"/>
      <c r="F66" s="336"/>
      <c r="G66" s="336"/>
      <c r="H66" s="336"/>
      <c r="I66" s="336"/>
    </row>
    <row r="67" spans="2:9" x14ac:dyDescent="0.35">
      <c r="C67" s="281">
        <f>C45</f>
        <v>43921</v>
      </c>
      <c r="D67" s="281">
        <f t="shared" ref="D67:I67" si="24">D45</f>
        <v>44286</v>
      </c>
      <c r="E67" s="281">
        <f t="shared" si="24"/>
        <v>44651</v>
      </c>
      <c r="F67" s="281">
        <f t="shared" si="24"/>
        <v>45016</v>
      </c>
      <c r="G67" s="281">
        <f t="shared" si="24"/>
        <v>45382</v>
      </c>
      <c r="H67" s="281">
        <f t="shared" si="24"/>
        <v>45747</v>
      </c>
      <c r="I67" s="281">
        <f t="shared" si="24"/>
        <v>46112</v>
      </c>
    </row>
    <row r="68" spans="2:9" x14ac:dyDescent="0.35">
      <c r="B68" t="s">
        <v>110</v>
      </c>
      <c r="C68" s="282">
        <f>C46</f>
        <v>1501</v>
      </c>
      <c r="D68" s="282">
        <f t="shared" ref="D68:I68" si="25">D46</f>
        <v>973</v>
      </c>
      <c r="E68" s="282">
        <f t="shared" si="25"/>
        <v>2173</v>
      </c>
      <c r="F68" s="282">
        <f t="shared" si="25"/>
        <v>3250</v>
      </c>
      <c r="G68" s="282">
        <f t="shared" si="25"/>
        <v>3496</v>
      </c>
      <c r="H68" s="282">
        <f t="shared" si="25"/>
        <v>3337</v>
      </c>
      <c r="I68" s="282">
        <f t="shared" si="25"/>
        <v>5073</v>
      </c>
    </row>
    <row r="69" spans="2:9" x14ac:dyDescent="0.35">
      <c r="B69" t="s">
        <v>426</v>
      </c>
      <c r="C69" s="282">
        <f>C50</f>
        <v>21052</v>
      </c>
      <c r="D69" s="282">
        <f t="shared" ref="D69:I69" si="26">D50</f>
        <v>21644</v>
      </c>
      <c r="E69" s="282">
        <f t="shared" si="26"/>
        <v>28799</v>
      </c>
      <c r="F69" s="282">
        <f t="shared" si="26"/>
        <v>40575</v>
      </c>
      <c r="G69" s="282">
        <f t="shared" si="26"/>
        <v>51084</v>
      </c>
      <c r="H69" s="282">
        <f t="shared" si="26"/>
        <v>60456</v>
      </c>
      <c r="I69" s="282">
        <f t="shared" si="26"/>
        <v>87584</v>
      </c>
    </row>
    <row r="70" spans="2:9" x14ac:dyDescent="0.35">
      <c r="B70" s="283" t="str">
        <f>B48</f>
        <v>Net Profit Margin (A)</v>
      </c>
      <c r="C70" s="284">
        <f>C68/C69</f>
        <v>7.1299638989169675E-2</v>
      </c>
      <c r="D70" s="284">
        <f t="shared" ref="D70" si="27">D68/D69</f>
        <v>4.495472186287193E-2</v>
      </c>
      <c r="E70" s="284">
        <f t="shared" ref="E70" si="28">E68/E69</f>
        <v>7.5454008819750687E-2</v>
      </c>
      <c r="F70" s="284">
        <f t="shared" ref="F70" si="29">F68/F69</f>
        <v>8.0098582871226121E-2</v>
      </c>
      <c r="G70" s="284">
        <f t="shared" ref="G70" si="30">G68/G69</f>
        <v>6.8436300994440535E-2</v>
      </c>
      <c r="H70" s="284">
        <f t="shared" ref="H70" si="31">H68/H69</f>
        <v>5.5197168188434564E-2</v>
      </c>
      <c r="I70" s="284">
        <f t="shared" ref="I70" si="32">I68/I69</f>
        <v>5.792153818048959E-2</v>
      </c>
    </row>
    <row r="72" spans="2:9" x14ac:dyDescent="0.35">
      <c r="B72" t="s">
        <v>426</v>
      </c>
      <c r="C72" s="282">
        <f>C50</f>
        <v>21052</v>
      </c>
      <c r="D72" s="282">
        <f t="shared" ref="D72:I72" si="33">D50</f>
        <v>21644</v>
      </c>
      <c r="E72" s="282">
        <f t="shared" si="33"/>
        <v>28799</v>
      </c>
      <c r="F72" s="282">
        <f t="shared" si="33"/>
        <v>40575</v>
      </c>
      <c r="G72" s="282">
        <f t="shared" si="33"/>
        <v>51084</v>
      </c>
      <c r="H72" s="282">
        <f t="shared" si="33"/>
        <v>60456</v>
      </c>
      <c r="I72" s="282">
        <f t="shared" si="33"/>
        <v>87584</v>
      </c>
    </row>
    <row r="73" spans="2:9" x14ac:dyDescent="0.35">
      <c r="B73" t="s">
        <v>503</v>
      </c>
      <c r="C73" s="282">
        <f>C63</f>
        <v>12626.92</v>
      </c>
      <c r="D73" s="282">
        <f t="shared" ref="D73:I73" si="34">D63</f>
        <v>14994</v>
      </c>
      <c r="E73" s="282">
        <f t="shared" si="34"/>
        <v>18816</v>
      </c>
      <c r="F73" s="282">
        <f t="shared" si="34"/>
        <v>24104</v>
      </c>
      <c r="G73" s="282">
        <f t="shared" si="34"/>
        <v>29283.5</v>
      </c>
      <c r="H73" s="282">
        <f t="shared" si="34"/>
        <v>36096</v>
      </c>
      <c r="I73" s="282">
        <f t="shared" si="34"/>
        <v>50603</v>
      </c>
    </row>
    <row r="74" spans="2:9" x14ac:dyDescent="0.35">
      <c r="B74" s="283" t="s">
        <v>505</v>
      </c>
      <c r="C74" s="285">
        <f t="shared" ref="C74" si="35">C72/C73</f>
        <v>1.6672315972541205</v>
      </c>
      <c r="D74" s="285">
        <f t="shared" ref="D74" si="36">D72/D73</f>
        <v>1.4435107376283847</v>
      </c>
      <c r="E74" s="285">
        <f t="shared" ref="E74" si="37">E72/E73</f>
        <v>1.5305590986394557</v>
      </c>
      <c r="F74" s="285">
        <f t="shared" ref="F74" si="38">F72/F73</f>
        <v>1.6833305675406571</v>
      </c>
      <c r="G74" s="285">
        <f t="shared" ref="G74" si="39">G72/G73</f>
        <v>1.7444636057848277</v>
      </c>
      <c r="H74" s="285">
        <f t="shared" ref="H74" si="40">H72/H73</f>
        <v>1.6748670212765957</v>
      </c>
      <c r="I74" s="285">
        <f>I72/I73</f>
        <v>1.7308064739244708</v>
      </c>
    </row>
    <row r="76" spans="2:9" x14ac:dyDescent="0.35">
      <c r="B76" s="283" t="s">
        <v>509</v>
      </c>
      <c r="C76" s="284">
        <f t="shared" ref="C76:I76" si="41">C70*C74</f>
        <v>0.11887301099555553</v>
      </c>
      <c r="D76" s="284">
        <f t="shared" si="41"/>
        <v>6.4892623716153133E-2</v>
      </c>
      <c r="E76" s="284">
        <f t="shared" si="41"/>
        <v>0.11548681972789115</v>
      </c>
      <c r="F76" s="284">
        <f t="shared" si="41"/>
        <v>0.13483239296382343</v>
      </c>
      <c r="G76" s="284">
        <f t="shared" si="41"/>
        <v>0.11938463639933752</v>
      </c>
      <c r="H76" s="284">
        <f t="shared" si="41"/>
        <v>9.2447916666666671E-2</v>
      </c>
      <c r="I76" s="284">
        <f t="shared" si="41"/>
        <v>0.1002509732624548</v>
      </c>
    </row>
    <row r="78" spans="2:9" ht="21" x14ac:dyDescent="0.5">
      <c r="B78" s="329"/>
      <c r="C78" s="330"/>
      <c r="D78" s="330"/>
      <c r="E78" s="330"/>
      <c r="F78" s="330"/>
      <c r="G78" s="330"/>
      <c r="H78" s="330"/>
      <c r="I78" s="330"/>
    </row>
    <row r="93" spans="2:2" x14ac:dyDescent="0.35">
      <c r="B93" s="331" t="s">
        <v>514</v>
      </c>
    </row>
  </sheetData>
  <mergeCells count="6">
    <mergeCell ref="B9:F9"/>
    <mergeCell ref="B38:I38"/>
    <mergeCell ref="B44:I44"/>
    <mergeCell ref="B66:I66"/>
    <mergeCell ref="B36:I36"/>
    <mergeCell ref="B60:I60"/>
  </mergeCells>
  <pageMargins left="0.25" right="0.25"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0"/>
  <sheetViews>
    <sheetView showGridLines="0" tabSelected="1" topLeftCell="A22" zoomScale="62" zoomScaleNormal="100" workbookViewId="0">
      <selection activeCell="L65" sqref="L65"/>
    </sheetView>
  </sheetViews>
  <sheetFormatPr defaultRowHeight="14.5" x14ac:dyDescent="0.35"/>
  <cols>
    <col min="1" max="1" width="2.1796875" customWidth="1"/>
    <col min="2" max="2" width="38.08984375" customWidth="1"/>
    <col min="3" max="3" width="11.90625" bestFit="1" customWidth="1"/>
    <col min="4" max="4" width="10.81640625" bestFit="1" customWidth="1"/>
    <col min="5" max="6" width="12.26953125" bestFit="1" customWidth="1"/>
    <col min="7" max="7" width="11.54296875" customWidth="1"/>
    <col min="8" max="9" width="12.26953125" bestFit="1" customWidth="1"/>
  </cols>
  <sheetData>
    <row r="1" spans="1:9" x14ac:dyDescent="0.35">
      <c r="A1" s="14"/>
      <c r="B1" s="290"/>
      <c r="C1" s="290"/>
      <c r="D1" s="290"/>
      <c r="E1" s="290"/>
      <c r="F1" s="290"/>
      <c r="G1" s="290"/>
      <c r="H1" s="290"/>
      <c r="I1" s="289"/>
    </row>
    <row r="3" spans="1:9" ht="42" customHeight="1" x14ac:dyDescent="0.65">
      <c r="B3" s="276" t="str">
        <f>'Data Sheet'!B1</f>
        <v>TITAN COMPANY LTD</v>
      </c>
    </row>
    <row r="4" spans="1:9" x14ac:dyDescent="0.35">
      <c r="B4" t="s">
        <v>500</v>
      </c>
    </row>
    <row r="5" spans="1:9" x14ac:dyDescent="0.35">
      <c r="B5" s="287" t="str">
        <f>CONCATENATE(" ","INR "&amp;'Data Sheet'!B8)</f>
        <v xml:space="preserve"> INR 4515.7</v>
      </c>
    </row>
    <row r="6" spans="1:9" ht="15" thickBot="1" x14ac:dyDescent="0.4">
      <c r="B6" t="s">
        <v>497</v>
      </c>
    </row>
    <row r="7" spans="1:9" s="8" customFormat="1" ht="5.5" customHeight="1" x14ac:dyDescent="0.35">
      <c r="B7" s="277"/>
      <c r="C7" s="278"/>
      <c r="D7" s="277"/>
      <c r="E7" s="277"/>
      <c r="F7" s="277"/>
      <c r="G7" s="277"/>
      <c r="H7" s="277"/>
      <c r="I7" s="277"/>
    </row>
    <row r="8" spans="1:9" ht="7" customHeight="1" x14ac:dyDescent="0.35"/>
    <row r="9" spans="1:9" ht="15.5" x14ac:dyDescent="0.35">
      <c r="B9" s="288" t="s">
        <v>510</v>
      </c>
    </row>
    <row r="10" spans="1:9" ht="3.5" customHeight="1" x14ac:dyDescent="0.35">
      <c r="B10" s="287"/>
    </row>
    <row r="31" spans="1:9" x14ac:dyDescent="0.35">
      <c r="A31" s="14"/>
      <c r="B31" s="289"/>
      <c r="C31" s="289"/>
      <c r="D31" s="289"/>
      <c r="E31" s="289"/>
      <c r="F31" s="289"/>
      <c r="G31" s="289"/>
      <c r="H31" s="289"/>
      <c r="I31" s="289"/>
    </row>
    <row r="33" spans="2:9" ht="23.5" x14ac:dyDescent="0.55000000000000004">
      <c r="B33" s="357" t="s">
        <v>515</v>
      </c>
      <c r="C33" s="357"/>
      <c r="D33" s="357"/>
      <c r="E33" s="357"/>
      <c r="F33" s="357"/>
      <c r="G33" s="357"/>
      <c r="H33" s="357"/>
      <c r="I33" s="357"/>
    </row>
    <row r="35" spans="2:9" x14ac:dyDescent="0.35">
      <c r="B35" s="336" t="s">
        <v>517</v>
      </c>
      <c r="C35" s="336"/>
      <c r="D35" s="336"/>
      <c r="E35" s="336"/>
      <c r="F35" s="336"/>
      <c r="G35" s="336"/>
      <c r="H35" s="336"/>
      <c r="I35" s="336"/>
    </row>
    <row r="36" spans="2:9" x14ac:dyDescent="0.35">
      <c r="C36" s="281">
        <f>Historical_FS!F3</f>
        <v>43921</v>
      </c>
      <c r="D36" s="281">
        <f>Historical_FS!G3</f>
        <v>44286</v>
      </c>
      <c r="E36" s="281">
        <f>Historical_FS!H3</f>
        <v>44651</v>
      </c>
      <c r="F36" s="281">
        <f>Historical_FS!I3</f>
        <v>45016</v>
      </c>
      <c r="G36" s="281">
        <f>Historical_FS!J3</f>
        <v>45382</v>
      </c>
      <c r="H36" s="281">
        <f>Historical_FS!K3</f>
        <v>45747</v>
      </c>
      <c r="I36" s="281">
        <f>Historical_FS!L3</f>
        <v>46112</v>
      </c>
    </row>
    <row r="37" spans="2:9" x14ac:dyDescent="0.35">
      <c r="B37" t="s">
        <v>516</v>
      </c>
      <c r="C37" s="282">
        <f>'Data Sheet'!E65-'Data Sheet'!E60</f>
        <v>7422</v>
      </c>
      <c r="D37" s="282">
        <f>'Data Sheet'!F65-'Data Sheet'!F60</f>
        <v>7756</v>
      </c>
      <c r="E37" s="282">
        <f>'Data Sheet'!G65-'Data Sheet'!G60</f>
        <v>13655</v>
      </c>
      <c r="F37" s="282">
        <f>'Data Sheet'!H65-'Data Sheet'!H60</f>
        <v>15561</v>
      </c>
      <c r="G37" s="282">
        <f>'Data Sheet'!I65-'Data Sheet'!I60</f>
        <v>18770</v>
      </c>
      <c r="H37" s="282">
        <f>'Data Sheet'!J65-'Data Sheet'!J60</f>
        <v>26246</v>
      </c>
      <c r="I37" s="282">
        <f>'Data Sheet'!K65-'Data Sheet'!K60</f>
        <v>35777</v>
      </c>
    </row>
    <row r="38" spans="2:9" x14ac:dyDescent="0.35">
      <c r="B38" t="s">
        <v>121</v>
      </c>
      <c r="C38" s="282">
        <f>'Data Sheet'!E66</f>
        <v>13544</v>
      </c>
      <c r="D38" s="282">
        <f>'Data Sheet'!F66</f>
        <v>16444</v>
      </c>
      <c r="E38" s="282">
        <f>'Data Sheet'!G66</f>
        <v>21188</v>
      </c>
      <c r="F38" s="282">
        <f>'Data Sheet'!H66</f>
        <v>27020</v>
      </c>
      <c r="G38" s="282">
        <f>'Data Sheet'!I66</f>
        <v>31547</v>
      </c>
      <c r="H38" s="282">
        <f>'Data Sheet'!J66</f>
        <v>40645</v>
      </c>
      <c r="I38" s="282">
        <f>'Data Sheet'!K66</f>
        <v>60561</v>
      </c>
    </row>
    <row r="39" spans="2:9" x14ac:dyDescent="0.35">
      <c r="B39" s="283" t="s">
        <v>523</v>
      </c>
      <c r="C39" s="284">
        <f>C37/C38</f>
        <v>0.54799173065564089</v>
      </c>
      <c r="D39" s="284">
        <f t="shared" ref="D39:I39" si="0">D37/D38</f>
        <v>0.47166139625395281</v>
      </c>
      <c r="E39" s="284">
        <f t="shared" si="0"/>
        <v>0.64446856711346046</v>
      </c>
      <c r="F39" s="284">
        <f t="shared" si="0"/>
        <v>0.57590673575129536</v>
      </c>
      <c r="G39" s="284">
        <f t="shared" si="0"/>
        <v>0.59498526008812247</v>
      </c>
      <c r="H39" s="284">
        <f t="shared" si="0"/>
        <v>0.64573748308525036</v>
      </c>
      <c r="I39" s="284">
        <f t="shared" si="0"/>
        <v>0.59075972985915026</v>
      </c>
    </row>
    <row r="41" spans="2:9" x14ac:dyDescent="0.35">
      <c r="B41" s="336" t="s">
        <v>518</v>
      </c>
      <c r="C41" s="336"/>
      <c r="D41" s="336"/>
      <c r="E41" s="336"/>
      <c r="F41" s="336"/>
      <c r="G41" s="336"/>
      <c r="H41" s="336"/>
      <c r="I41" s="336"/>
    </row>
    <row r="42" spans="2:9" x14ac:dyDescent="0.35">
      <c r="C42" s="281">
        <f>C36</f>
        <v>43921</v>
      </c>
      <c r="D42" s="281">
        <f t="shared" ref="D42:I42" si="1">D36</f>
        <v>44286</v>
      </c>
      <c r="E42" s="281">
        <f t="shared" si="1"/>
        <v>44651</v>
      </c>
      <c r="F42" s="281">
        <f t="shared" si="1"/>
        <v>45016</v>
      </c>
      <c r="G42" s="281">
        <f t="shared" si="1"/>
        <v>45382</v>
      </c>
      <c r="H42" s="281">
        <f t="shared" si="1"/>
        <v>45747</v>
      </c>
      <c r="I42" s="281">
        <f t="shared" si="1"/>
        <v>46112</v>
      </c>
    </row>
    <row r="43" spans="2:9" x14ac:dyDescent="0.35">
      <c r="B43" t="s">
        <v>117</v>
      </c>
      <c r="C43" s="282">
        <f>'Data Sheet'!E58</f>
        <v>6580</v>
      </c>
      <c r="D43" s="282">
        <f>'Data Sheet'!F58</f>
        <v>7408</v>
      </c>
      <c r="E43" s="282">
        <f>'Data Sheet'!G58</f>
        <v>9214</v>
      </c>
      <c r="F43" s="282">
        <f>'Data Sheet'!H58</f>
        <v>11762</v>
      </c>
      <c r="G43" s="282">
        <f>'Data Sheet'!I58</f>
        <v>9304</v>
      </c>
      <c r="H43" s="282">
        <f>'Data Sheet'!J58</f>
        <v>11535</v>
      </c>
      <c r="I43" s="282">
        <f>'Data Sheet'!K58</f>
        <v>15614</v>
      </c>
    </row>
    <row r="44" spans="2:9" x14ac:dyDescent="0.35">
      <c r="B44" t="s">
        <v>121</v>
      </c>
      <c r="C44" s="282">
        <f>C38</f>
        <v>13544</v>
      </c>
      <c r="D44" s="282">
        <f t="shared" ref="D44:I44" si="2">D38</f>
        <v>16444</v>
      </c>
      <c r="E44" s="282">
        <f t="shared" si="2"/>
        <v>21188</v>
      </c>
      <c r="F44" s="282">
        <f t="shared" si="2"/>
        <v>27020</v>
      </c>
      <c r="G44" s="282">
        <f t="shared" si="2"/>
        <v>31547</v>
      </c>
      <c r="H44" s="282">
        <f t="shared" si="2"/>
        <v>40645</v>
      </c>
      <c r="I44" s="282">
        <f t="shared" si="2"/>
        <v>60561</v>
      </c>
    </row>
    <row r="45" spans="2:9" x14ac:dyDescent="0.35">
      <c r="B45" s="283" t="s">
        <v>524</v>
      </c>
      <c r="C45" s="284">
        <f>C43/C44</f>
        <v>0.48582398109864144</v>
      </c>
      <c r="D45" s="284">
        <f t="shared" ref="D45:I45" si="3">D43/D44</f>
        <v>0.45049866212600342</v>
      </c>
      <c r="E45" s="284">
        <f t="shared" si="3"/>
        <v>0.43486879365678688</v>
      </c>
      <c r="F45" s="284">
        <f t="shared" si="3"/>
        <v>0.43530717986676537</v>
      </c>
      <c r="G45" s="284">
        <f t="shared" si="3"/>
        <v>0.29492503249120361</v>
      </c>
      <c r="H45" s="284">
        <f t="shared" si="3"/>
        <v>0.28379874523311599</v>
      </c>
      <c r="I45" s="284">
        <f t="shared" si="3"/>
        <v>0.25782269117088558</v>
      </c>
    </row>
    <row r="47" spans="2:9" x14ac:dyDescent="0.35">
      <c r="B47" s="336" t="s">
        <v>519</v>
      </c>
      <c r="C47" s="336"/>
      <c r="D47" s="336"/>
      <c r="E47" s="336"/>
      <c r="F47" s="336"/>
      <c r="G47" s="336"/>
      <c r="H47" s="336"/>
      <c r="I47" s="336"/>
    </row>
    <row r="48" spans="2:9" x14ac:dyDescent="0.35">
      <c r="C48" s="281">
        <f>C42</f>
        <v>43921</v>
      </c>
      <c r="D48" s="281">
        <f t="shared" ref="D48:I48" si="4">D42</f>
        <v>44286</v>
      </c>
      <c r="E48" s="281">
        <f t="shared" si="4"/>
        <v>44651</v>
      </c>
      <c r="F48" s="281">
        <f t="shared" si="4"/>
        <v>45016</v>
      </c>
      <c r="G48" s="281">
        <f t="shared" si="4"/>
        <v>45382</v>
      </c>
      <c r="H48" s="281">
        <f t="shared" si="4"/>
        <v>45747</v>
      </c>
      <c r="I48" s="281">
        <f t="shared" si="4"/>
        <v>46112</v>
      </c>
    </row>
    <row r="49" spans="2:9" x14ac:dyDescent="0.35">
      <c r="B49" t="s">
        <v>334</v>
      </c>
      <c r="C49" s="282">
        <f>Historical_FS!F28+Historical_FS!F22</f>
        <v>2268</v>
      </c>
      <c r="D49" s="282">
        <f>Historical_FS!G28+Historical_FS!G22</f>
        <v>1530</v>
      </c>
      <c r="E49" s="282">
        <f>Historical_FS!H28+Historical_FS!H22</f>
        <v>3122</v>
      </c>
      <c r="F49" s="282">
        <f>Historical_FS!I28+Historical_FS!I22</f>
        <v>4747</v>
      </c>
      <c r="G49" s="282">
        <f>Historical_FS!J28+Historical_FS!J22</f>
        <v>5242</v>
      </c>
      <c r="H49" s="282">
        <f>Historical_FS!K28+Historical_FS!K22</f>
        <v>5488</v>
      </c>
      <c r="I49" s="282">
        <f>Historical_FS!L28+Historical_FS!L22</f>
        <v>7981</v>
      </c>
    </row>
    <row r="50" spans="2:9" x14ac:dyDescent="0.35">
      <c r="B50" t="s">
        <v>121</v>
      </c>
      <c r="C50" s="282">
        <f>C44</f>
        <v>13544</v>
      </c>
      <c r="D50" s="282">
        <f t="shared" ref="D50:I50" si="5">D44</f>
        <v>16444</v>
      </c>
      <c r="E50" s="282">
        <f t="shared" si="5"/>
        <v>21188</v>
      </c>
      <c r="F50" s="282">
        <f t="shared" si="5"/>
        <v>27020</v>
      </c>
      <c r="G50" s="282">
        <f t="shared" si="5"/>
        <v>31547</v>
      </c>
      <c r="H50" s="282">
        <f t="shared" si="5"/>
        <v>40645</v>
      </c>
      <c r="I50" s="282">
        <f t="shared" si="5"/>
        <v>60561</v>
      </c>
    </row>
    <row r="51" spans="2:9" x14ac:dyDescent="0.35">
      <c r="B51" s="283" t="s">
        <v>525</v>
      </c>
      <c r="C51" s="284">
        <f t="shared" ref="C51:H51" si="6">C49/C50</f>
        <v>0.1674542232722977</v>
      </c>
      <c r="D51" s="284">
        <f t="shared" si="6"/>
        <v>9.3043055217708587E-2</v>
      </c>
      <c r="E51" s="284">
        <f t="shared" si="6"/>
        <v>0.14734755521993581</v>
      </c>
      <c r="F51" s="284">
        <f t="shared" si="6"/>
        <v>0.17568467801628423</v>
      </c>
      <c r="G51" s="284">
        <f t="shared" si="6"/>
        <v>0.16616477002567598</v>
      </c>
      <c r="H51" s="284">
        <f t="shared" si="6"/>
        <v>0.13502275802681757</v>
      </c>
      <c r="I51" s="284">
        <f>I49/I50</f>
        <v>0.13178448176219018</v>
      </c>
    </row>
    <row r="53" spans="2:9" x14ac:dyDescent="0.35">
      <c r="B53" s="336" t="s">
        <v>520</v>
      </c>
      <c r="C53" s="336"/>
      <c r="D53" s="336"/>
      <c r="E53" s="336"/>
      <c r="F53" s="336"/>
      <c r="G53" s="336"/>
      <c r="H53" s="336"/>
      <c r="I53" s="336"/>
    </row>
    <row r="54" spans="2:9" x14ac:dyDescent="0.35">
      <c r="C54" s="281">
        <f>C48</f>
        <v>43921</v>
      </c>
      <c r="D54" s="281">
        <f t="shared" ref="D54:I54" si="7">D48</f>
        <v>44286</v>
      </c>
      <c r="E54" s="281">
        <f t="shared" si="7"/>
        <v>44651</v>
      </c>
      <c r="F54" s="281">
        <f t="shared" si="7"/>
        <v>45016</v>
      </c>
      <c r="G54" s="281">
        <f t="shared" si="7"/>
        <v>45382</v>
      </c>
      <c r="H54" s="281">
        <f t="shared" si="7"/>
        <v>45747</v>
      </c>
      <c r="I54" s="281">
        <f t="shared" si="7"/>
        <v>46112</v>
      </c>
    </row>
    <row r="55" spans="2:9" x14ac:dyDescent="0.35">
      <c r="B55" t="s">
        <v>450</v>
      </c>
      <c r="C55" s="282">
        <f>'Data Sheet'!E90*'Data Sheet'!E93</f>
        <v>82893.885999999999</v>
      </c>
      <c r="D55" s="282">
        <f>'Data Sheet'!F90*'Data Sheet'!F93</f>
        <v>138323.679</v>
      </c>
      <c r="E55" s="282">
        <f>'Data Sheet'!G90*'Data Sheet'!G93</f>
        <v>225159.397</v>
      </c>
      <c r="F55" s="282">
        <f>'Data Sheet'!H90*'Data Sheet'!H93</f>
        <v>223272.82200000001</v>
      </c>
      <c r="G55" s="282">
        <f>'Data Sheet'!I90*'Data Sheet'!I93</f>
        <v>337523.804</v>
      </c>
      <c r="H55" s="282">
        <f>'Data Sheet'!J90*'Data Sheet'!J93</f>
        <v>271964.21299999999</v>
      </c>
      <c r="I55" s="282">
        <f>'Data Sheet'!K90*'Data Sheet'!K93</f>
        <v>350805.29200000002</v>
      </c>
    </row>
    <row r="56" spans="2:9" x14ac:dyDescent="0.35">
      <c r="B56" t="s">
        <v>521</v>
      </c>
      <c r="C56" s="282">
        <f>'Data Sheet'!E59</f>
        <v>3562</v>
      </c>
      <c r="D56" s="282">
        <f>'Data Sheet'!F59</f>
        <v>5638</v>
      </c>
      <c r="E56" s="282">
        <f>'Data Sheet'!G59</f>
        <v>7275</v>
      </c>
      <c r="F56" s="282">
        <f>'Data Sheet'!H59</f>
        <v>9367</v>
      </c>
      <c r="G56" s="282">
        <f>'Data Sheet'!I59</f>
        <v>15528</v>
      </c>
      <c r="H56" s="282">
        <f>'Data Sheet'!J59</f>
        <v>20777</v>
      </c>
      <c r="I56" s="282">
        <f>'Data Sheet'!K59</f>
        <v>30621</v>
      </c>
    </row>
    <row r="57" spans="2:9" x14ac:dyDescent="0.35">
      <c r="B57" s="283" t="s">
        <v>526</v>
      </c>
      <c r="C57" s="358">
        <f t="shared" ref="C57:H57" si="8">C55/C56</f>
        <v>23.271725435148792</v>
      </c>
      <c r="D57" s="358">
        <f t="shared" si="8"/>
        <v>24.534175062078752</v>
      </c>
      <c r="E57" s="358">
        <f t="shared" si="8"/>
        <v>30.949745292096221</v>
      </c>
      <c r="F57" s="358">
        <f t="shared" si="8"/>
        <v>23.836107825344296</v>
      </c>
      <c r="G57" s="358">
        <f t="shared" si="8"/>
        <v>21.736463420917055</v>
      </c>
      <c r="H57" s="358">
        <f t="shared" si="8"/>
        <v>13.089676709823362</v>
      </c>
      <c r="I57" s="358">
        <f>I55/I56</f>
        <v>11.456363018843279</v>
      </c>
    </row>
    <row r="59" spans="2:9" x14ac:dyDescent="0.35">
      <c r="B59" s="336" t="s">
        <v>522</v>
      </c>
      <c r="C59" s="336"/>
      <c r="D59" s="336"/>
      <c r="E59" s="336"/>
      <c r="F59" s="336"/>
      <c r="G59" s="336"/>
      <c r="H59" s="336"/>
      <c r="I59" s="336"/>
    </row>
    <row r="60" spans="2:9" x14ac:dyDescent="0.35">
      <c r="B60" s="324"/>
      <c r="C60" s="326">
        <f>C36</f>
        <v>43921</v>
      </c>
      <c r="D60" s="326">
        <f>D36</f>
        <v>44286</v>
      </c>
      <c r="E60" s="326">
        <f>E36</f>
        <v>44651</v>
      </c>
      <c r="F60" s="326">
        <f>F36</f>
        <v>45016</v>
      </c>
      <c r="G60" s="326">
        <f>G36</f>
        <v>45382</v>
      </c>
      <c r="H60" s="326">
        <f>H36</f>
        <v>45747</v>
      </c>
      <c r="I60" s="326">
        <f>I36</f>
        <v>46112</v>
      </c>
    </row>
    <row r="61" spans="2:9" x14ac:dyDescent="0.35">
      <c r="B61" s="327" t="s">
        <v>12</v>
      </c>
      <c r="C61" s="328">
        <f>'Data Sheet'!E17</f>
        <v>21052</v>
      </c>
      <c r="D61" s="328">
        <f>'Data Sheet'!F17</f>
        <v>21644</v>
      </c>
      <c r="E61" s="328">
        <f>'Data Sheet'!G17</f>
        <v>28799</v>
      </c>
      <c r="F61" s="328">
        <f>'Data Sheet'!H17</f>
        <v>40575</v>
      </c>
      <c r="G61" s="328">
        <f>'Data Sheet'!I17</f>
        <v>51084</v>
      </c>
      <c r="H61" s="328">
        <f>'Data Sheet'!J17</f>
        <v>60456</v>
      </c>
      <c r="I61" s="328">
        <f>'Data Sheet'!K17</f>
        <v>87584</v>
      </c>
    </row>
    <row r="62" spans="2:9" x14ac:dyDescent="0.35">
      <c r="B62" s="327" t="s">
        <v>121</v>
      </c>
      <c r="C62" s="328">
        <f>C44</f>
        <v>13544</v>
      </c>
      <c r="D62" s="328">
        <f t="shared" ref="D62:I62" si="9">D44</f>
        <v>16444</v>
      </c>
      <c r="E62" s="328">
        <f t="shared" si="9"/>
        <v>21188</v>
      </c>
      <c r="F62" s="328">
        <f t="shared" si="9"/>
        <v>27020</v>
      </c>
      <c r="G62" s="328">
        <f t="shared" si="9"/>
        <v>31547</v>
      </c>
      <c r="H62" s="328">
        <f t="shared" si="9"/>
        <v>40645</v>
      </c>
      <c r="I62" s="328">
        <f t="shared" si="9"/>
        <v>60561</v>
      </c>
    </row>
    <row r="63" spans="2:9" x14ac:dyDescent="0.35">
      <c r="B63" s="283" t="s">
        <v>527</v>
      </c>
      <c r="C63" s="284">
        <f>C61/C62</f>
        <v>1.554341405788541</v>
      </c>
      <c r="D63" s="284">
        <f t="shared" ref="D63:I63" si="10">D61/D62</f>
        <v>1.3162247628314279</v>
      </c>
      <c r="E63" s="284">
        <f t="shared" si="10"/>
        <v>1.3592127619407213</v>
      </c>
      <c r="F63" s="284">
        <f t="shared" si="10"/>
        <v>1.5016654330125834</v>
      </c>
      <c r="G63" s="284">
        <f t="shared" si="10"/>
        <v>1.619298190002219</v>
      </c>
      <c r="H63" s="284">
        <f t="shared" si="10"/>
        <v>1.4874154262516914</v>
      </c>
      <c r="I63" s="284">
        <f t="shared" si="10"/>
        <v>1.4462112580703754</v>
      </c>
    </row>
    <row r="64" spans="2:9" ht="13" customHeight="1" x14ac:dyDescent="0.35"/>
    <row r="65" spans="2:9" x14ac:dyDescent="0.35">
      <c r="B65" s="336" t="s">
        <v>528</v>
      </c>
      <c r="C65" s="336"/>
      <c r="D65" s="336"/>
      <c r="E65" s="336"/>
      <c r="F65" s="336"/>
      <c r="G65" s="336"/>
      <c r="H65" s="336"/>
      <c r="I65" s="336"/>
    </row>
    <row r="66" spans="2:9" x14ac:dyDescent="0.35">
      <c r="C66" s="281">
        <f>C42</f>
        <v>43921</v>
      </c>
      <c r="D66" s="281">
        <f>D42</f>
        <v>44286</v>
      </c>
      <c r="E66" s="281">
        <f>E42</f>
        <v>44651</v>
      </c>
      <c r="F66" s="281">
        <f>F42</f>
        <v>45016</v>
      </c>
      <c r="G66" s="281">
        <f>G42</f>
        <v>45382</v>
      </c>
      <c r="H66" s="281">
        <f>H42</f>
        <v>45747</v>
      </c>
      <c r="I66" s="281">
        <f>I42</f>
        <v>46112</v>
      </c>
    </row>
    <row r="67" spans="2:9" x14ac:dyDescent="0.35">
      <c r="B67" s="283" t="s">
        <v>529</v>
      </c>
      <c r="C67" s="359">
        <f>(C39*1.2)+(C45*1.4)+(C51*3.3)+(C57*0.6)+(C63*1)</f>
        <v>17.407719254001265</v>
      </c>
      <c r="D67" s="359">
        <f t="shared" ref="D67:I67" si="11">(D39*1.2)+(D45*1.4)+(D51*3.3)+(D57*0.6)+(D63*1)</f>
        <v>17.540463684778263</v>
      </c>
      <c r="E67" s="359">
        <f t="shared" si="11"/>
        <v>21.797485461079894</v>
      </c>
      <c r="F67" s="359">
        <f t="shared" si="11"/>
        <v>17.683607700387924</v>
      </c>
      <c r="G67" s="359">
        <f t="shared" si="11"/>
        <v>16.336397341230615</v>
      </c>
      <c r="H67" s="359">
        <f t="shared" si="11"/>
        <v>10.95899977666287</v>
      </c>
      <c r="I67" s="359">
        <f t="shared" si="11"/>
        <v>9.8247813026617905</v>
      </c>
    </row>
    <row r="68" spans="2:9" x14ac:dyDescent="0.35">
      <c r="B68" s="360" t="s">
        <v>530</v>
      </c>
      <c r="C68" s="361" t="str">
        <f>IF(C67&lt;1.8, "Distressed",IF(C67&gt;3,"Strong","Grey Zone"))</f>
        <v>Strong</v>
      </c>
      <c r="D68" s="361" t="str">
        <f t="shared" ref="D68:I68" si="12">IF(D67&lt;1.8, "Distressed",IF(D67&gt;3,"Strong","Grey Zone"))</f>
        <v>Strong</v>
      </c>
      <c r="E68" s="361" t="str">
        <f t="shared" si="12"/>
        <v>Strong</v>
      </c>
      <c r="F68" s="361" t="str">
        <f t="shared" si="12"/>
        <v>Strong</v>
      </c>
      <c r="G68" s="361" t="str">
        <f t="shared" si="12"/>
        <v>Strong</v>
      </c>
      <c r="H68" s="361" t="str">
        <f t="shared" si="12"/>
        <v>Strong</v>
      </c>
      <c r="I68" s="361" t="str">
        <f t="shared" si="12"/>
        <v>Strong</v>
      </c>
    </row>
    <row r="69" spans="2:9" ht="9" customHeight="1" thickBot="1" x14ac:dyDescent="0.55000000000000004">
      <c r="B69" s="362"/>
      <c r="C69" s="363"/>
      <c r="D69" s="363"/>
      <c r="E69" s="363"/>
      <c r="F69" s="363"/>
      <c r="G69" s="363"/>
      <c r="H69" s="363"/>
      <c r="I69" s="363"/>
    </row>
    <row r="70" spans="2:9" x14ac:dyDescent="0.35">
      <c r="B70" s="331" t="s">
        <v>514</v>
      </c>
    </row>
  </sheetData>
  <mergeCells count="7">
    <mergeCell ref="B33:I33"/>
    <mergeCell ref="B35:I35"/>
    <mergeCell ref="B41:I41"/>
    <mergeCell ref="B59:I59"/>
    <mergeCell ref="B65:I65"/>
    <mergeCell ref="B47:I47"/>
    <mergeCell ref="B53:I53"/>
  </mergeCells>
  <pageMargins left="0.25" right="0.25" top="0.75" bottom="0.75" header="0.3" footer="0.3"/>
  <pageSetup scale="6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1"/>
  <sheetViews>
    <sheetView showGridLines="0" topLeftCell="A4" workbookViewId="0">
      <selection activeCell="B4" sqref="B4"/>
    </sheetView>
  </sheetViews>
  <sheetFormatPr defaultRowHeight="14.5" x14ac:dyDescent="0.35"/>
  <cols>
    <col min="1" max="1" width="4.36328125" customWidth="1"/>
    <col min="2" max="2" width="24.26953125" bestFit="1" customWidth="1"/>
    <col min="3" max="12" width="9.36328125" bestFit="1" customWidth="1"/>
    <col min="13" max="13" width="13.54296875" customWidth="1"/>
  </cols>
  <sheetData>
    <row r="1" spans="2:15" x14ac:dyDescent="0.35">
      <c r="B1" s="336" t="str">
        <f>"Ratio Analysis: " &amp; 'Data Sheet'!B1</f>
        <v>Ratio Analysis: TITAN COMPANY LTD</v>
      </c>
      <c r="C1" s="336"/>
      <c r="D1" s="336"/>
      <c r="E1" s="336"/>
      <c r="F1" s="336"/>
      <c r="G1" s="336"/>
      <c r="H1" s="336"/>
      <c r="I1" s="336"/>
      <c r="J1" s="336"/>
      <c r="K1" s="336"/>
      <c r="L1" s="336"/>
      <c r="M1" s="336"/>
      <c r="N1" s="336"/>
      <c r="O1" s="336"/>
    </row>
    <row r="2" spans="2:15" x14ac:dyDescent="0.35">
      <c r="B2" s="337" t="s">
        <v>93</v>
      </c>
      <c r="C2" s="337"/>
      <c r="D2" s="337"/>
      <c r="E2" s="337"/>
      <c r="F2" s="337"/>
      <c r="G2" s="337"/>
      <c r="H2" s="337"/>
      <c r="I2" s="337"/>
      <c r="J2" s="337"/>
      <c r="K2" s="337"/>
      <c r="L2" s="337"/>
      <c r="M2" s="337"/>
      <c r="N2" s="337"/>
      <c r="O2" s="337"/>
    </row>
    <row r="3" spans="2:15" x14ac:dyDescent="0.35">
      <c r="B3" s="291" t="s">
        <v>319</v>
      </c>
      <c r="C3" s="292">
        <v>42825</v>
      </c>
      <c r="D3" s="292">
        <v>43190</v>
      </c>
      <c r="E3" s="292">
        <v>43555</v>
      </c>
      <c r="F3" s="292">
        <v>43921</v>
      </c>
      <c r="G3" s="292">
        <v>44286</v>
      </c>
      <c r="H3" s="292">
        <v>44651</v>
      </c>
      <c r="I3" s="292">
        <v>45016</v>
      </c>
      <c r="J3" s="292">
        <v>45382</v>
      </c>
      <c r="K3" s="292">
        <v>45747</v>
      </c>
      <c r="L3" s="292">
        <v>46112</v>
      </c>
      <c r="M3" s="292" t="s">
        <v>190</v>
      </c>
      <c r="N3" s="292" t="s">
        <v>187</v>
      </c>
      <c r="O3" s="292" t="s">
        <v>188</v>
      </c>
    </row>
    <row r="5" spans="2:15" x14ac:dyDescent="0.35">
      <c r="B5" s="46" t="s">
        <v>159</v>
      </c>
      <c r="C5" s="47" t="str">
        <f>IFERROR(Historical_FS!C8,0)</f>
        <v>-</v>
      </c>
      <c r="D5" s="48">
        <f>IFERROR(Historical_FS!D8,0)</f>
        <v>0.21559283996552248</v>
      </c>
      <c r="E5" s="48">
        <f>IFERROR(Historical_FS!E8,0)</f>
        <v>0.22697284142391605</v>
      </c>
      <c r="F5" s="48">
        <f>IFERROR(Historical_FS!F8,0)</f>
        <v>6.4387021880302431E-2</v>
      </c>
      <c r="G5" s="48">
        <f>IFERROR(Historical_FS!G8,0)</f>
        <v>2.8120843625308867E-2</v>
      </c>
      <c r="H5" s="48">
        <f>IFERROR(Historical_FS!H8,0)</f>
        <v>0.33057660321567184</v>
      </c>
      <c r="I5" s="48">
        <f>IFERROR(Historical_FS!I8,0)</f>
        <v>0.40890308691274013</v>
      </c>
      <c r="J5" s="48">
        <f>IFERROR(Historical_FS!J8,0)</f>
        <v>0.25900184842883545</v>
      </c>
      <c r="K5" s="48">
        <f>IFERROR(Historical_FS!K8,0)</f>
        <v>0.18346253229974163</v>
      </c>
      <c r="L5" s="48">
        <f>IFERROR(Historical_FS!L8,0)</f>
        <v>0.448723038242689</v>
      </c>
      <c r="M5" s="46"/>
      <c r="N5" s="64">
        <f>AVERAGE(D5:L5)</f>
        <v>0.24063785066608087</v>
      </c>
      <c r="O5" s="64">
        <f>MEDIAN(D5:L5)</f>
        <v>0.22697284142391605</v>
      </c>
    </row>
    <row r="6" spans="2:15" x14ac:dyDescent="0.35">
      <c r="B6" s="8" t="s">
        <v>160</v>
      </c>
      <c r="C6" s="43" t="s">
        <v>97</v>
      </c>
      <c r="D6" s="44">
        <f>IFERROR(Historical_FS!D19/Historical_FS!C19-1,0)</f>
        <v>0.41266431824040062</v>
      </c>
      <c r="E6" s="44">
        <f>IFERROR(Historical_FS!E19/Historical_FS!D19-1,0)</f>
        <v>0.21262011920690771</v>
      </c>
      <c r="F6" s="44">
        <f>IFERROR(Historical_FS!F19/Historical_FS!E19-1,0)</f>
        <v>0.23533571740253523</v>
      </c>
      <c r="G6" s="44">
        <f>IFERROR(Historical_FS!G19/Historical_FS!F19-1,0)</f>
        <v>-0.29963459196102316</v>
      </c>
      <c r="H6" s="44">
        <f>IFERROR(Historical_FS!H19/Historical_FS!G19-1,0)</f>
        <v>0.93855072463768119</v>
      </c>
      <c r="I6" s="44">
        <f>IFERROR(Historical_FS!I19/Historical_FS!H19-1,0)</f>
        <v>0.45992822966507174</v>
      </c>
      <c r="J6" s="44">
        <f>IFERROR(Historical_FS!J19/Historical_FS!I19-1,0)</f>
        <v>8.3981974600573439E-2</v>
      </c>
      <c r="K6" s="44">
        <f>IFERROR(Historical_FS!K19/Historical_FS!J19-1,0)</f>
        <v>7.5963718820861725E-2</v>
      </c>
      <c r="L6" s="44">
        <f>IFERROR(Historical_FS!L19/Historical_FS!K19-1,0)</f>
        <v>0.46768528275377586</v>
      </c>
      <c r="M6" s="8"/>
      <c r="N6" s="65">
        <f t="shared" ref="N6:N9" si="0">AVERAGE(D6:L6)</f>
        <v>0.28745505481853162</v>
      </c>
      <c r="O6" s="65">
        <f t="shared" ref="O6:O9" si="1">MEDIAN(D6:L6)</f>
        <v>0.23533571740253523</v>
      </c>
    </row>
    <row r="7" spans="2:15" x14ac:dyDescent="0.35">
      <c r="B7" s="8" t="s">
        <v>186</v>
      </c>
      <c r="C7" s="43" t="s">
        <v>97</v>
      </c>
      <c r="D7" s="44">
        <f>IFERROR(Historical_FS!D28/Historical_FS!C28-1,0)</f>
        <v>0.57182635499614931</v>
      </c>
      <c r="E7" s="44">
        <f>IFERROR(Historical_FS!E28/Historical_FS!D28-1,0)</f>
        <v>0.27919700872020647</v>
      </c>
      <c r="F7" s="44">
        <f>IFERROR(Historical_FS!F28/Historical_FS!E28-1,0)</f>
        <v>7.4153376020113848E-2</v>
      </c>
      <c r="G7" s="44">
        <f>IFERROR(Historical_FS!G28/Historical_FS!F28-1,0)</f>
        <v>-0.3686964795432921</v>
      </c>
      <c r="H7" s="44">
        <f>IFERROR(Historical_FS!H28/Historical_FS!G28-1,0)</f>
        <v>1.1883948756593821</v>
      </c>
      <c r="I7" s="44">
        <f>IFERROR(Historical_FS!I28/Historical_FS!H28-1,0)</f>
        <v>0.53133608815426991</v>
      </c>
      <c r="J7" s="44">
        <f>IFERROR(Historical_FS!J28/Historical_FS!I28-1,0)</f>
        <v>3.9577243085225922E-2</v>
      </c>
      <c r="K7" s="44">
        <f>IFERROR(Historical_FS!K28/Historical_FS!J28-1,0)</f>
        <v>-1.9035258490157858E-2</v>
      </c>
      <c r="L7" s="44">
        <f>IFERROR(Historical_FS!L28/Historical_FS!K28-1,0)</f>
        <v>0.49966923925027573</v>
      </c>
      <c r="M7" s="8"/>
      <c r="N7" s="65">
        <f t="shared" si="0"/>
        <v>0.31071360531690811</v>
      </c>
      <c r="O7" s="65">
        <f t="shared" si="1"/>
        <v>0.27919700872020647</v>
      </c>
    </row>
    <row r="8" spans="2:15" x14ac:dyDescent="0.35">
      <c r="B8" s="8" t="s">
        <v>161</v>
      </c>
      <c r="C8" s="43" t="s">
        <v>97</v>
      </c>
      <c r="D8" s="44">
        <f>IFERROR(Historical_FS!D34/Historical_FS!C34-1,0)</f>
        <v>0.58029772831574467</v>
      </c>
      <c r="E8" s="44">
        <f>IFERROR(Historical_FS!E34/Historical_FS!D34-1,0)</f>
        <v>0.26022088918332464</v>
      </c>
      <c r="F8" s="44">
        <f>IFERROR(Historical_FS!F34/Historical_FS!E34-1,0)</f>
        <v>7.5144924927087908E-2</v>
      </c>
      <c r="G8" s="44">
        <f>IFERROR(Historical_FS!G34/Historical_FS!F34-1,0)</f>
        <v>-0.34762223710649698</v>
      </c>
      <c r="H8" s="44">
        <f>IFERROR(Historical_FS!H34/Historical_FS!G34-1,0)</f>
        <v>1.2566735112936347</v>
      </c>
      <c r="I8" s="44">
        <f>IFERROR(Historical_FS!I34/Historical_FS!H34-1,0)</f>
        <v>0.48953594176524118</v>
      </c>
      <c r="J8" s="44">
        <f>IFERROR(Historical_FS!J34/Historical_FS!I34-1,0)</f>
        <v>6.7806963958460642E-2</v>
      </c>
      <c r="K8" s="44">
        <f>IFERROR(Historical_FS!K34/Historical_FS!J34-1,0)</f>
        <v>-4.5480549199084619E-2</v>
      </c>
      <c r="L8" s="44">
        <f>IFERROR(Historical_FS!L34/Historical_FS!K34-1,0)</f>
        <v>0.52022774947557693</v>
      </c>
      <c r="M8" s="8"/>
      <c r="N8" s="65">
        <f t="shared" si="0"/>
        <v>0.31742276917927659</v>
      </c>
      <c r="O8" s="65">
        <f t="shared" si="1"/>
        <v>0.26022088918332464</v>
      </c>
    </row>
    <row r="9" spans="2:15" x14ac:dyDescent="0.35">
      <c r="B9" s="49" t="s">
        <v>162</v>
      </c>
      <c r="C9" s="50" t="s">
        <v>97</v>
      </c>
      <c r="D9" s="51">
        <f>IFERROR(Historical_FS!D42/Historical_FS!C42-1,0)</f>
        <v>0.44227353463587948</v>
      </c>
      <c r="E9" s="51">
        <f>IFERROR(Historical_FS!E42/Historical_FS!D42-1,0)</f>
        <v>0.33335335816412348</v>
      </c>
      <c r="F9" s="51">
        <f>IFERROR(Historical_FS!F42/Historical_FS!E42-1,0)</f>
        <v>-0.19801757152511834</v>
      </c>
      <c r="G9" s="51">
        <f>IFERROR(Historical_FS!G42/Historical_FS!F42-1,0)</f>
        <v>0</v>
      </c>
      <c r="H9" s="51">
        <f>IFERROR(Historical_FS!H42/Historical_FS!G42-1,0)</f>
        <v>0.87500000000000022</v>
      </c>
      <c r="I9" s="51">
        <f>IFERROR(Historical_FS!I42/Historical_FS!H42-1,0)</f>
        <v>0.33333333333333348</v>
      </c>
      <c r="J9" s="51">
        <f>IFERROR(Historical_FS!J42/Historical_FS!I42-1,0)</f>
        <v>0.10000000000000009</v>
      </c>
      <c r="K9" s="51">
        <f>IFERROR(Historical_FS!K42/Historical_FS!J42-1,0)</f>
        <v>0</v>
      </c>
      <c r="L9" s="51">
        <f>IFERROR(Historical_FS!L42/Historical_FS!K42-1,0)</f>
        <v>0.36363636363636354</v>
      </c>
      <c r="M9" s="49"/>
      <c r="N9" s="66">
        <f t="shared" si="0"/>
        <v>0.24995322424939795</v>
      </c>
      <c r="O9" s="66">
        <f t="shared" si="1"/>
        <v>0.33333333333333348</v>
      </c>
    </row>
    <row r="10" spans="2:15" x14ac:dyDescent="0.35">
      <c r="C10" s="42"/>
      <c r="L10" s="8"/>
      <c r="M10" s="8"/>
    </row>
    <row r="11" spans="2:15" x14ac:dyDescent="0.35">
      <c r="B11" s="46" t="s">
        <v>163</v>
      </c>
      <c r="C11" s="48">
        <f>IFERROR(Historical_FS!C14,0)</f>
        <v>0.26764086410880761</v>
      </c>
      <c r="D11" s="48">
        <f>IFERROR(Historical_FS!D14,0)</f>
        <v>0.26448268182486484</v>
      </c>
      <c r="E11" s="48">
        <f>IFERROR(Historical_FS!E14,0)</f>
        <v>0.26000327628154174</v>
      </c>
      <c r="F11" s="48">
        <f>IFERROR(Historical_FS!F14,0)</f>
        <v>0.26743302299068972</v>
      </c>
      <c r="G11" s="48">
        <f>IFERROR(Historical_FS!G14,0)</f>
        <v>0.23341341711328775</v>
      </c>
      <c r="H11" s="48">
        <f>IFERROR(Historical_FS!H14,0)</f>
        <v>0.24063335532483768</v>
      </c>
      <c r="I11" s="48">
        <f>IFERROR(Historical_FS!I14,0)</f>
        <v>0.24487985212569316</v>
      </c>
      <c r="J11" s="48">
        <f>IFERROR(Historical_FS!J14,0)</f>
        <v>0.22110641296687808</v>
      </c>
      <c r="K11" s="48">
        <f>IFERROR(Historical_FS!K14,0)</f>
        <v>0.20834987428873891</v>
      </c>
      <c r="L11" s="48">
        <f>IFERROR(Historical_FS!L14,0)</f>
        <v>0.19198712093533066</v>
      </c>
      <c r="M11" s="46"/>
      <c r="N11" s="64">
        <f>AVERAGE(C11:L11)</f>
        <v>0.23999298779606701</v>
      </c>
      <c r="O11" s="64">
        <f>MEDIAN(C11:L11)</f>
        <v>0.24275660372526542</v>
      </c>
    </row>
    <row r="12" spans="2:15" x14ac:dyDescent="0.35">
      <c r="B12" s="8" t="s">
        <v>106</v>
      </c>
      <c r="C12" s="45">
        <f>IFERROR(Historical_FS!C20,0)</f>
        <v>8.7769770067182798E-2</v>
      </c>
      <c r="D12" s="45">
        <f>IFERROR(Historical_FS!D20,0)</f>
        <v>0.10199897393076958</v>
      </c>
      <c r="E12" s="45">
        <f>IFERROR(Historical_FS!E20,0)</f>
        <v>0.10080582369156031</v>
      </c>
      <c r="F12" s="45">
        <f>IFERROR(Historical_FS!F20,0)</f>
        <v>0.1169960098802964</v>
      </c>
      <c r="G12" s="45">
        <f>IFERROR(Historical_FS!G20,0)</f>
        <v>7.9698761781556091E-2</v>
      </c>
      <c r="H12" s="45">
        <f>IFERROR(Historical_FS!H20,0)</f>
        <v>0.11611514288690579</v>
      </c>
      <c r="I12" s="45">
        <f>IFERROR(Historical_FS!I20,0)</f>
        <v>0.12032039433148491</v>
      </c>
      <c r="J12" s="45">
        <f>IFERROR(Historical_FS!J20,0)</f>
        <v>0.10359408033826638</v>
      </c>
      <c r="K12" s="45">
        <f>IFERROR(Historical_FS!K20,0)</f>
        <v>9.4184200079396582E-2</v>
      </c>
      <c r="L12" s="45">
        <f>IFERROR(Historical_FS!L20,0)</f>
        <v>9.5416971136280601E-2</v>
      </c>
      <c r="M12" s="8"/>
      <c r="N12" s="65">
        <f t="shared" ref="N12:N15" si="2">AVERAGE(C12:L12)</f>
        <v>0.10169001281236993</v>
      </c>
      <c r="O12" s="65">
        <f t="shared" ref="O12:O14" si="3">MEDIAN(C12:L12)</f>
        <v>0.10140239881116495</v>
      </c>
    </row>
    <row r="13" spans="2:15" x14ac:dyDescent="0.35">
      <c r="B13" s="8" t="s">
        <v>164</v>
      </c>
      <c r="C13" s="45">
        <f>IFERROR((Historical_FS!C19-Historical_FS!C25)/Historical_FS!C7,0)</f>
        <v>7.943469601827334E-2</v>
      </c>
      <c r="D13" s="45">
        <f>IFERROR((Historical_FS!D19-Historical_FS!D25)/Historical_FS!D7,0)</f>
        <v>9.3845631792513262E-2</v>
      </c>
      <c r="E13" s="45">
        <f>IFERROR((Historical_FS!E19-Historical_FS!E25)/Historical_FS!E7,0)</f>
        <v>9.2572649520793249E-2</v>
      </c>
      <c r="F13" s="45">
        <f>IFERROR((Historical_FS!F19-Historical_FS!F25)/Historical_FS!F7,0)</f>
        <v>0.10046551396541896</v>
      </c>
      <c r="G13" s="45">
        <f>IFERROR((Historical_FS!G19-Historical_FS!G25)/Historical_FS!G7,0)</f>
        <v>6.237294400295694E-2</v>
      </c>
      <c r="H13" s="45">
        <f>IFERROR((Historical_FS!H19-Historical_FS!H25)/Historical_FS!H7,0)</f>
        <v>0.10226049515608181</v>
      </c>
      <c r="I13" s="45">
        <f>IFERROR((Historical_FS!I19-Historical_FS!I25)/Historical_FS!I7,0)</f>
        <v>0.10945163277880468</v>
      </c>
      <c r="J13" s="45">
        <f>IFERROR((Historical_FS!J19-Historical_FS!J25)/Historical_FS!J7,0)</f>
        <v>9.2161929371231702E-2</v>
      </c>
      <c r="K13" s="45">
        <f>IFERROR((Historical_FS!K19-Historical_FS!K25)/Historical_FS!K7,0)</f>
        <v>8.2721317983326714E-2</v>
      </c>
      <c r="L13" s="45">
        <f>IFERROR((Historical_FS!L19-Historical_FS!L25)/Historical_FS!L7,0)</f>
        <v>8.5986024844720496E-2</v>
      </c>
      <c r="M13" s="8"/>
      <c r="N13" s="65">
        <f t="shared" si="2"/>
        <v>9.0127283543412123E-2</v>
      </c>
      <c r="O13" s="65">
        <f t="shared" si="3"/>
        <v>9.2367289446012468E-2</v>
      </c>
    </row>
    <row r="14" spans="2:15" x14ac:dyDescent="0.35">
      <c r="B14" s="8" t="s">
        <v>165</v>
      </c>
      <c r="C14" s="45">
        <f>IFERROR(Historical_FS!C29,0)</f>
        <v>7.3392841926184074E-2</v>
      </c>
      <c r="D14" s="45">
        <f>IFERROR(Historical_FS!D29,0)</f>
        <v>9.4900857766581137E-2</v>
      </c>
      <c r="E14" s="45">
        <f>IFERROR(Historical_FS!E29,0)</f>
        <v>9.894016336914993E-2</v>
      </c>
      <c r="F14" s="45">
        <f>IFERROR(Historical_FS!F29,0)</f>
        <v>9.9847995439863196E-2</v>
      </c>
      <c r="G14" s="45">
        <f>IFERROR(Historical_FS!G29,0)</f>
        <v>6.1310293845869522E-2</v>
      </c>
      <c r="H14" s="45">
        <f>IFERROR(Historical_FS!H29,0)</f>
        <v>0.10083683461231292</v>
      </c>
      <c r="I14" s="45">
        <f>IFERROR(Historical_FS!I29,0)</f>
        <v>0.10959950708564387</v>
      </c>
      <c r="J14" s="45">
        <f>IFERROR(Historical_FS!J29,0)</f>
        <v>9.0498003288700959E-2</v>
      </c>
      <c r="K14" s="45">
        <f>IFERROR(Historical_FS!K29,0)</f>
        <v>7.5013232764324464E-2</v>
      </c>
      <c r="L14" s="45">
        <f>IFERROR(Historical_FS!L29,0)</f>
        <v>7.7651169163317504E-2</v>
      </c>
      <c r="M14" s="8"/>
      <c r="N14" s="65">
        <f t="shared" si="2"/>
        <v>8.8199089926194754E-2</v>
      </c>
      <c r="O14" s="65">
        <f t="shared" si="3"/>
        <v>9.2699430527641041E-2</v>
      </c>
    </row>
    <row r="15" spans="2:15" x14ac:dyDescent="0.35">
      <c r="B15" s="49" t="s">
        <v>111</v>
      </c>
      <c r="C15" s="52">
        <f>IFERROR(Historical_FS!C35,0)</f>
        <v>5.2581927375586562E-2</v>
      </c>
      <c r="D15" s="52">
        <f>IFERROR(Historical_FS!D35,0)</f>
        <v>6.8357675078490679E-2</v>
      </c>
      <c r="E15" s="52">
        <f>IFERROR(Historical_FS!E35,0)</f>
        <v>7.0210005602036926E-2</v>
      </c>
      <c r="F15" s="52">
        <f>IFERROR(Historical_FS!F35,0)</f>
        <v>7.0919627588827666E-2</v>
      </c>
      <c r="G15" s="52">
        <f>IFERROR(Historical_FS!G35,0)</f>
        <v>4.5000924043614859E-2</v>
      </c>
      <c r="H15" s="52">
        <f>IFERROR(Historical_FS!H35,0)</f>
        <v>7.632209451717073E-2</v>
      </c>
      <c r="I15" s="52">
        <f>IFERROR(Historical_FS!I35,0)</f>
        <v>8.0690080098582875E-2</v>
      </c>
      <c r="J15" s="52">
        <f>IFERROR(Historical_FS!J35,0)</f>
        <v>6.8436300994440535E-2</v>
      </c>
      <c r="K15" s="52">
        <f>IFERROR(Historical_FS!K35,0)</f>
        <v>5.5197168188434564E-2</v>
      </c>
      <c r="L15" s="52">
        <f>IFERROR(Historical_FS!L35,0)</f>
        <v>5.792153818048959E-2</v>
      </c>
      <c r="M15" s="49"/>
      <c r="N15" s="66">
        <f t="shared" si="2"/>
        <v>6.45637341667675E-2</v>
      </c>
      <c r="O15" s="66">
        <f>MEDIAN(C15:L15)</f>
        <v>6.83969880364656E-2</v>
      </c>
    </row>
    <row r="16" spans="2:15" x14ac:dyDescent="0.35">
      <c r="C16" s="42"/>
      <c r="M16" s="8"/>
    </row>
    <row r="17" spans="2:15" x14ac:dyDescent="0.35">
      <c r="B17" s="46" t="s">
        <v>166</v>
      </c>
      <c r="C17" s="53">
        <f>IFERROR(Historical_FS!C17,0)</f>
        <v>0.17987109404162482</v>
      </c>
      <c r="D17" s="53">
        <f>IFERROR(Historical_FS!D17,0)</f>
        <v>0.16248370789409525</v>
      </c>
      <c r="E17" s="53">
        <f>IFERROR(Historical_FS!E17,0)</f>
        <v>0.15919745258998144</v>
      </c>
      <c r="F17" s="53">
        <f>IFERROR(Historical_FS!F17,0)</f>
        <v>0.15043701311039331</v>
      </c>
      <c r="G17" s="53">
        <f>IFERROR(Historical_FS!G17,0)</f>
        <v>0.15371465533173165</v>
      </c>
      <c r="H17" s="53">
        <f>IFERROR(Historical_FS!H17,0)</f>
        <v>0.12451821243793187</v>
      </c>
      <c r="I17" s="53">
        <f>IFERROR(Historical_FS!I17,0)</f>
        <v>0.12455945779420825</v>
      </c>
      <c r="J17" s="53">
        <f>IFERROR(Historical_FS!J17,0)</f>
        <v>0.1175123326286117</v>
      </c>
      <c r="K17" s="53">
        <f>IFERROR(Historical_FS!K17,0)</f>
        <v>0.11416567420934233</v>
      </c>
      <c r="L17" s="53">
        <f>IFERROR(Historical_FS!L17,0)</f>
        <v>9.6570149799050056E-2</v>
      </c>
      <c r="M17" s="46"/>
      <c r="N17" s="64">
        <f>AVERAGE(C17:L17)</f>
        <v>0.13830297498369706</v>
      </c>
      <c r="O17" s="64">
        <f>MEDIAN(C17:L17)</f>
        <v>0.13749823545230078</v>
      </c>
    </row>
    <row r="18" spans="2:15" x14ac:dyDescent="0.35">
      <c r="B18" s="8" t="s">
        <v>167</v>
      </c>
      <c r="C18" s="45">
        <f>IFERROR(Historical_FS!C25/Historical_FS!C7,0)</f>
        <v>8.3350740489094577E-3</v>
      </c>
      <c r="D18" s="45">
        <f>IFERROR(Historical_FS!D25/Historical_FS!D7,0)</f>
        <v>8.1533421382563153E-3</v>
      </c>
      <c r="E18" s="45">
        <f>IFERROR(Historical_FS!E25/Historical_FS!E7,0)</f>
        <v>8.2331741707670752E-3</v>
      </c>
      <c r="F18" s="45">
        <f>IFERROR(Historical_FS!F25/Historical_FS!F7,0)</f>
        <v>1.6530495914877447E-2</v>
      </c>
      <c r="G18" s="45">
        <f>IFERROR(Historical_FS!G25/Historical_FS!G7,0)</f>
        <v>1.7325817778599151E-2</v>
      </c>
      <c r="H18" s="45">
        <f>IFERROR(Historical_FS!H25/Historical_FS!H7,0)</f>
        <v>1.3854647730823988E-2</v>
      </c>
      <c r="I18" s="45">
        <f>IFERROR(Historical_FS!I25/Historical_FS!I7,0)</f>
        <v>1.0868761552680222E-2</v>
      </c>
      <c r="J18" s="45">
        <f>IFERROR(Historical_FS!J25/Historical_FS!J7,0)</f>
        <v>1.1432150967034689E-2</v>
      </c>
      <c r="K18" s="45">
        <f>IFERROR(Historical_FS!K25/Historical_FS!K7,0)</f>
        <v>1.146288209606987E-2</v>
      </c>
      <c r="L18" s="45">
        <f>IFERROR(Historical_FS!L25/Historical_FS!L7,0)</f>
        <v>9.4309462915601015E-3</v>
      </c>
      <c r="M18" s="8"/>
      <c r="N18" s="65">
        <f t="shared" ref="N18:N24" si="4">AVERAGE(C18:L18)</f>
        <v>1.1562729268957832E-2</v>
      </c>
      <c r="O18" s="65">
        <f t="shared" ref="O18:O24" si="5">MEDIAN(C18:L18)</f>
        <v>1.1150456259857455E-2</v>
      </c>
    </row>
    <row r="19" spans="2:15" x14ac:dyDescent="0.35">
      <c r="B19" s="49" t="s">
        <v>168</v>
      </c>
      <c r="C19" s="54">
        <f>C13</f>
        <v>7.943469601827334E-2</v>
      </c>
      <c r="D19" s="54">
        <f t="shared" ref="D19:L19" si="6">D13</f>
        <v>9.3845631792513262E-2</v>
      </c>
      <c r="E19" s="54">
        <f t="shared" si="6"/>
        <v>9.2572649520793249E-2</v>
      </c>
      <c r="F19" s="54">
        <f t="shared" si="6"/>
        <v>0.10046551396541896</v>
      </c>
      <c r="G19" s="54">
        <f t="shared" si="6"/>
        <v>6.237294400295694E-2</v>
      </c>
      <c r="H19" s="54">
        <f t="shared" si="6"/>
        <v>0.10226049515608181</v>
      </c>
      <c r="I19" s="54">
        <f t="shared" si="6"/>
        <v>0.10945163277880468</v>
      </c>
      <c r="J19" s="54">
        <f t="shared" si="6"/>
        <v>9.2161929371231702E-2</v>
      </c>
      <c r="K19" s="54">
        <f t="shared" si="6"/>
        <v>8.2721317983326714E-2</v>
      </c>
      <c r="L19" s="54">
        <f t="shared" si="6"/>
        <v>8.5986024844720496E-2</v>
      </c>
      <c r="M19" s="49"/>
      <c r="N19" s="66">
        <f t="shared" si="4"/>
        <v>9.0127283543412123E-2</v>
      </c>
      <c r="O19" s="66">
        <f t="shared" si="5"/>
        <v>9.2367289446012468E-2</v>
      </c>
    </row>
    <row r="20" spans="2:15" x14ac:dyDescent="0.35">
      <c r="C20" s="42"/>
      <c r="M20" s="8"/>
    </row>
    <row r="21" spans="2:15" x14ac:dyDescent="0.35">
      <c r="B21" s="46" t="s">
        <v>169</v>
      </c>
      <c r="C21" s="53">
        <f>IFERROR((Historical_FS!C19-Historical_FS!C26)/(Historical_FS!C49+Historical_FS!C50+Historical_FS!C51),0)</f>
        <v>0.19033979223000397</v>
      </c>
      <c r="D21" s="53">
        <f>IFERROR((Historical_FS!D19-Historical_FS!D26)/(Historical_FS!D49+Historical_FS!D50+Historical_FS!D51),0)</f>
        <v>0.24247434284553551</v>
      </c>
      <c r="E21" s="53">
        <f>IFERROR((Historical_FS!E19-Historical_FS!E26)/(Historical_FS!E49+Historical_FS!E50+Historical_FS!E51),0)</f>
        <v>0.23558444296918857</v>
      </c>
      <c r="F21" s="53">
        <f>IFERROR((Historical_FS!F19-Historical_FS!F26)/(Historical_FS!F49+Historical_FS!F50+Historical_FS!F51),0)</f>
        <v>0.2407373149744976</v>
      </c>
      <c r="G21" s="53">
        <f>IFERROR((Historical_FS!G19-Historical_FS!G26)/(Historical_FS!G49+Historical_FS!G50+Historical_FS!G51),0)</f>
        <v>0.13132719255289085</v>
      </c>
      <c r="H21" s="53">
        <f>IFERROR((Historical_FS!H19-Historical_FS!H26)/(Historical_FS!H49+Historical_FS!H50+Historical_FS!H51),0)</f>
        <v>0.20171227804031058</v>
      </c>
      <c r="I21" s="53">
        <f>IFERROR((Historical_FS!I19-Historical_FS!I26)/(Historical_FS!I49+Historical_FS!I50+Historical_FS!I51),0)</f>
        <v>0.23008714917704057</v>
      </c>
      <c r="J21" s="53">
        <f>IFERROR((Historical_FS!J19-Historical_FS!J26)/(Historical_FS!J49+Historical_FS!J50+Historical_FS!J51),0)</f>
        <v>0.21235057051679437</v>
      </c>
      <c r="K21" s="53">
        <f>IFERROR((Historical_FS!K19-Historical_FS!K26)/(Historical_FS!K49+Historical_FS!K50+Historical_FS!K51),0)</f>
        <v>0.17573496302947145</v>
      </c>
      <c r="L21" s="53">
        <f>IFERROR((Historical_FS!L19-Historical_FS!L26)/(Historical_FS!L49+Historical_FS!L50+Historical_FS!L51),0)</f>
        <v>0.18040304311056274</v>
      </c>
      <c r="M21" s="46"/>
      <c r="N21" s="64">
        <f t="shared" si="4"/>
        <v>0.20407510894462963</v>
      </c>
      <c r="O21" s="64">
        <f t="shared" si="5"/>
        <v>0.20703142427855248</v>
      </c>
    </row>
    <row r="22" spans="2:15" x14ac:dyDescent="0.35">
      <c r="B22" s="8" t="s">
        <v>170</v>
      </c>
      <c r="C22" s="55">
        <f>Historical_FS!C45</f>
        <v>0.66895651675080292</v>
      </c>
      <c r="D22" s="55">
        <f>Historical_FS!D45</f>
        <v>0.69787006198328405</v>
      </c>
      <c r="E22" s="55">
        <f>Historical_FS!E45</f>
        <v>0.68033701796709023</v>
      </c>
      <c r="F22" s="55">
        <f>Historical_FS!F45</f>
        <v>0.76155391828533159</v>
      </c>
      <c r="G22" s="55">
        <f>Historical_FS!G45</f>
        <v>0.6344969199178645</v>
      </c>
      <c r="H22" s="55">
        <f>Historical_FS!H45</f>
        <v>0.69631483166515018</v>
      </c>
      <c r="I22" s="55">
        <f>Historical_FS!I45</f>
        <v>0.72816127061698221</v>
      </c>
      <c r="J22" s="55">
        <f>Historical_FS!J45</f>
        <v>0.71996567505720821</v>
      </c>
      <c r="K22" s="55">
        <f>Historical_FS!K45</f>
        <v>0.70662271501348517</v>
      </c>
      <c r="L22" s="55">
        <f>Historical_FS!L45</f>
        <v>0.73684210526315796</v>
      </c>
      <c r="M22" s="8"/>
      <c r="N22" s="65">
        <f t="shared" si="4"/>
        <v>0.70311210325203566</v>
      </c>
      <c r="O22" s="65">
        <f t="shared" si="5"/>
        <v>0.70224638849838461</v>
      </c>
    </row>
    <row r="23" spans="2:15" x14ac:dyDescent="0.35">
      <c r="B23" s="8" t="s">
        <v>171</v>
      </c>
      <c r="C23" s="55">
        <f>IFERROR(Historical_FS!C34/SUM(Historical_FS!C49:C50),0)</f>
        <v>0.16474891195970104</v>
      </c>
      <c r="D23" s="55">
        <f>IFERROR(Historical_FS!D34/SUM(Historical_FS!D49:D50),0)</f>
        <v>0.21649036912461622</v>
      </c>
      <c r="E23" s="55">
        <f>IFERROR(Historical_FS!E34/SUM(Historical_FS!E49:E50),0)</f>
        <v>0.22876699916806001</v>
      </c>
      <c r="F23" s="55">
        <f>IFERROR(Historical_FS!F34/SUM(Historical_FS!F49:F50),0)</f>
        <v>0.2238716449242765</v>
      </c>
      <c r="G23" s="55">
        <f>IFERROR(Historical_FS!G34/SUM(Historical_FS!G49:G50),0)</f>
        <v>0.12991863412031479</v>
      </c>
      <c r="H23" s="55">
        <f>IFERROR(Historical_FS!H34/SUM(Historical_FS!H49:H50),0)</f>
        <v>0.236267870579383</v>
      </c>
      <c r="I23" s="55">
        <f>IFERROR(Historical_FS!I34/SUM(Historical_FS!I49:I50),0)</f>
        <v>0.27626360644671338</v>
      </c>
      <c r="J23" s="55">
        <f>IFERROR(Historical_FS!J34/SUM(Historical_FS!J49:J50),0)</f>
        <v>0.37219205791546894</v>
      </c>
      <c r="K23" s="55">
        <f>IFERROR(Historical_FS!K34/SUM(Historical_FS!K49:K50),0)</f>
        <v>0.28707845836200963</v>
      </c>
      <c r="L23" s="55">
        <f>IFERROR(Historical_FS!L34/SUM(Historical_FS!L49:L50),0)</f>
        <v>0.32305928803413358</v>
      </c>
      <c r="M23" s="8"/>
      <c r="N23" s="65">
        <f t="shared" si="4"/>
        <v>0.24586578406346771</v>
      </c>
      <c r="O23" s="65">
        <f t="shared" si="5"/>
        <v>0.23251743487372151</v>
      </c>
    </row>
    <row r="24" spans="2:15" x14ac:dyDescent="0.35">
      <c r="B24" s="8" t="s">
        <v>172</v>
      </c>
      <c r="C24" s="45">
        <f>IFERROR(C22*C23,0)</f>
        <v>0.1102098582830463</v>
      </c>
      <c r="D24" s="45">
        <f t="shared" ref="D24:L24" si="7">IFERROR(D22*D23,0)</f>
        <v>0.15108214731977998</v>
      </c>
      <c r="E24" s="45">
        <f t="shared" si="7"/>
        <v>0.15563865802327775</v>
      </c>
      <c r="F24" s="45">
        <f t="shared" si="7"/>
        <v>0.17049032838506523</v>
      </c>
      <c r="G24" s="45">
        <f t="shared" si="7"/>
        <v>8.2432973189275713E-2</v>
      </c>
      <c r="H24" s="45">
        <f t="shared" si="7"/>
        <v>0.16451682253036656</v>
      </c>
      <c r="I24" s="45">
        <f t="shared" si="7"/>
        <v>0.20116445869546873</v>
      </c>
      <c r="J24" s="45">
        <f t="shared" si="7"/>
        <v>0.26796550622804211</v>
      </c>
      <c r="K24" s="45">
        <f t="shared" si="7"/>
        <v>0.20285615966964898</v>
      </c>
      <c r="L24" s="45">
        <f t="shared" si="7"/>
        <v>0.23804368591988792</v>
      </c>
      <c r="M24" s="8"/>
      <c r="N24" s="65">
        <f t="shared" si="4"/>
        <v>0.17444005982438593</v>
      </c>
      <c r="O24" s="65">
        <f t="shared" si="5"/>
        <v>0.16750357545771588</v>
      </c>
    </row>
    <row r="25" spans="2:15" x14ac:dyDescent="0.35">
      <c r="B25" s="49" t="s">
        <v>173</v>
      </c>
      <c r="C25" s="56">
        <f>IFERROR((Historical_FS!C19-Historical_FS!C25)/Historical_FS!C22,0)</f>
        <v>27.91123476417593</v>
      </c>
      <c r="D25" s="56">
        <f>IFERROR((Historical_FS!D19-Historical_FS!D25)/Historical_FS!D22,0)</f>
        <v>28.585978835978864</v>
      </c>
      <c r="E25" s="56">
        <f>IFERROR((Historical_FS!E19-Historical_FS!E25)/Historical_FS!E22,0)</f>
        <v>34.84868671488389</v>
      </c>
      <c r="F25" s="56">
        <f>IFERROR((Historical_FS!F19-Historical_FS!F25)/Historical_FS!F22,0)</f>
        <v>12.740963855421686</v>
      </c>
      <c r="G25" s="56">
        <f>IFERROR((Historical_FS!G19-Historical_FS!G25)/Historical_FS!G22,0)</f>
        <v>6.6502463054187189</v>
      </c>
      <c r="H25" s="56">
        <f>IFERROR((Historical_FS!H19-Historical_FS!H25)/Historical_FS!H22,0)</f>
        <v>13.509174311926605</v>
      </c>
      <c r="I25" s="56">
        <f>IFERROR((Historical_FS!I19-Historical_FS!I25)/Historical_FS!I22,0)</f>
        <v>14.803333333333333</v>
      </c>
      <c r="J25" s="56">
        <f>IFERROR((Historical_FS!J19-Historical_FS!J25)/Historical_FS!J22,0)</f>
        <v>7.6058158319870763</v>
      </c>
      <c r="K25" s="56">
        <f>IFERROR((Historical_FS!K19-Historical_FS!K25)/Historical_FS!K22,0)</f>
        <v>5.2476390346274924</v>
      </c>
      <c r="L25" s="56">
        <f>IFERROR((Historical_FS!L19-Historical_FS!L25)/Historical_FS!L22,0)</f>
        <v>6.3822033898305088</v>
      </c>
      <c r="M25" s="49"/>
      <c r="N25" s="67">
        <f>AVERAGE(C25:L25)</f>
        <v>15.828527637758413</v>
      </c>
      <c r="O25" s="68">
        <f>MEDIAN(C25:L25)</f>
        <v>13.125069083674145</v>
      </c>
    </row>
    <row r="26" spans="2:15" x14ac:dyDescent="0.35">
      <c r="C26" s="42"/>
      <c r="M26" s="8"/>
    </row>
    <row r="27" spans="2:15" x14ac:dyDescent="0.35">
      <c r="B27" s="46" t="s">
        <v>174</v>
      </c>
      <c r="C27" s="57">
        <f>IFERROR(Historical_FS!C7/Historical_FS!C61,0)</f>
        <v>63.876830443159925</v>
      </c>
      <c r="D27" s="57">
        <f>IFERROR(Historical_FS!D7/Historical_FS!D61,0)</f>
        <v>54.515776657986407</v>
      </c>
      <c r="E27" s="57">
        <f>IFERROR(Historical_FS!E7/Historical_FS!E61,0)</f>
        <v>47.041312879058154</v>
      </c>
      <c r="F27" s="57">
        <f>IFERROR(Historical_FS!F7/Historical_FS!F61,0)</f>
        <v>67.474358974358978</v>
      </c>
      <c r="G27" s="57">
        <f>IFERROR(Historical_FS!G7/Historical_FS!G61,0)</f>
        <v>59.136612021857921</v>
      </c>
      <c r="H27" s="57">
        <f>IFERROR(Historical_FS!H7/Historical_FS!H61,0)</f>
        <v>50.971681415929204</v>
      </c>
      <c r="I27" s="57">
        <f>IFERROR(Historical_FS!I7/Historical_FS!I61,0)</f>
        <v>60.200296735905042</v>
      </c>
      <c r="J27" s="57">
        <f>IFERROR(Historical_FS!J7/Historical_FS!J61,0)</f>
        <v>50.180746561886053</v>
      </c>
      <c r="K27" s="57">
        <f>IFERROR(Historical_FS!K7/Historical_FS!K61,0)</f>
        <v>56.606741573033709</v>
      </c>
      <c r="L27" s="57">
        <f>IFERROR(Historical_FS!L7/Historical_FS!L61,0)</f>
        <v>95.615720524017462</v>
      </c>
      <c r="M27" s="46"/>
      <c r="N27" s="69">
        <f>AVERAGE(C27:L27)</f>
        <v>60.562007778719284</v>
      </c>
      <c r="O27" s="69">
        <f>MEDIAN(C27:L27)</f>
        <v>57.871676797445815</v>
      </c>
    </row>
    <row r="28" spans="2:15" x14ac:dyDescent="0.35">
      <c r="B28" s="8" t="s">
        <v>175</v>
      </c>
      <c r="C28" s="58">
        <f>IFERROR(Historical_FS!C7/Historical_FS!C52,0)</f>
        <v>5.7837846089429332</v>
      </c>
      <c r="D28" s="58">
        <f>IFERROR(Historical_FS!D7/Historical_FS!D52,0)</f>
        <v>5.8828056858201192</v>
      </c>
      <c r="E28" s="58">
        <f>IFERROR(Historical_FS!E7/Historical_FS!E52,0)</f>
        <v>6.0918653036458448</v>
      </c>
      <c r="F28" s="58">
        <f>IFERROR(Historical_FS!F7/Historical_FS!F52,0)</f>
        <v>6.3543616057953516</v>
      </c>
      <c r="G28" s="58">
        <f>IFERROR(Historical_FS!G7/Historical_FS!G52,0)</f>
        <v>6.540948927168329</v>
      </c>
      <c r="H28" s="58">
        <f>IFERROR(Historical_FS!H7/Historical_FS!H52,0)</f>
        <v>6.2470715835141002</v>
      </c>
      <c r="I28" s="58">
        <f>IFERROR(Historical_FS!I7/Historical_FS!I52,0)</f>
        <v>6.9932781799379526</v>
      </c>
      <c r="J28" s="58">
        <f>IFERROR(Historical_FS!J7/Historical_FS!J52,0)</f>
        <v>7.7096287352852402</v>
      </c>
      <c r="K28" s="58">
        <f>IFERROR(Historical_FS!K7/Historical_FS!K52,0)</f>
        <v>7.333333333333333</v>
      </c>
      <c r="L28" s="58">
        <f>IFERROR(Historical_FS!L7/Historical_FS!L52,0)</f>
        <v>6.1518578352180935</v>
      </c>
      <c r="M28" s="8"/>
      <c r="N28" s="70">
        <f t="shared" ref="N28:N31" si="8">AVERAGE(C28:L28)</f>
        <v>6.5088935798661298</v>
      </c>
      <c r="O28" s="70">
        <f t="shared" ref="O28:O31" si="9">MEDIAN(C28:L28)</f>
        <v>6.3007165946547259</v>
      </c>
    </row>
    <row r="29" spans="2:15" x14ac:dyDescent="0.35">
      <c r="B29" s="8" t="s">
        <v>176</v>
      </c>
      <c r="C29" s="58">
        <f>IFERROR(Historical_FS!C7/Historical_FS!C62,0)</f>
        <v>2.6921498089627143</v>
      </c>
      <c r="D29" s="58">
        <f>IFERROR(Historical_FS!D7/Historical_FS!D62,0)</f>
        <v>2.7207097575630734</v>
      </c>
      <c r="E29" s="58">
        <f>IFERROR(Historical_FS!E7/Historical_FS!E62,0)</f>
        <v>2.8099198445193942</v>
      </c>
      <c r="F29" s="58">
        <f>IFERROR(Historical_FS!F7/Historical_FS!F62,0)</f>
        <v>2.59805010489942</v>
      </c>
      <c r="G29" s="58">
        <f>IFERROR(Historical_FS!G7/Historical_FS!G62,0)</f>
        <v>2.5742150333016176</v>
      </c>
      <c r="H29" s="58">
        <f>IFERROR(Historical_FS!H7/Historical_FS!H62,0)</f>
        <v>2.1161731207289294</v>
      </c>
      <c r="I29" s="58">
        <f>IFERROR(Historical_FS!I7/Historical_FS!I62,0)</f>
        <v>2.4466353111432708</v>
      </c>
      <c r="J29" s="58">
        <f>IFERROR(Historical_FS!J7/Historical_FS!J62,0)</f>
        <v>2.6814340454569314</v>
      </c>
      <c r="K29" s="58">
        <f>IFERROR(Historical_FS!K7/Historical_FS!K62,0)</f>
        <v>2.1450468350837353</v>
      </c>
      <c r="L29" s="58">
        <f>IFERROR(Historical_FS!L7/Historical_FS!L62,0)</f>
        <v>2.0490840605479259</v>
      </c>
      <c r="M29" s="8"/>
      <c r="N29" s="70">
        <f t="shared" si="8"/>
        <v>2.4833417922207013</v>
      </c>
      <c r="O29" s="70">
        <f t="shared" si="9"/>
        <v>2.5861325691005188</v>
      </c>
    </row>
    <row r="30" spans="2:15" x14ac:dyDescent="0.35">
      <c r="B30" s="8" t="s">
        <v>177</v>
      </c>
      <c r="C30" s="58">
        <f>IFERROR(Historical_FS!C7/Historical_FS!C55,0)</f>
        <v>11.155553873073558</v>
      </c>
      <c r="D30" s="58">
        <f>IFERROR(Historical_FS!D7/Historical_FS!D55,0)</f>
        <v>10.93748176494935</v>
      </c>
      <c r="E30" s="58">
        <f>IFERROR(Historical_FS!E7/Historical_FS!E55,0)</f>
        <v>12.624882710020872</v>
      </c>
      <c r="F30" s="58">
        <f>IFERROR(Historical_FS!F7/Historical_FS!F55,0)</f>
        <v>7.995442461071022</v>
      </c>
      <c r="G30" s="58">
        <f>IFERROR(Historical_FS!G7/Historical_FS!G55,0)</f>
        <v>8.5786761791518042</v>
      </c>
      <c r="H30" s="58">
        <f>IFERROR(Historical_FS!H7/Historical_FS!H55,0)</f>
        <v>11.320361635220126</v>
      </c>
      <c r="I30" s="58">
        <f>IFERROR(Historical_FS!I7/Historical_FS!I55,0)</f>
        <v>13.534022681787858</v>
      </c>
      <c r="J30" s="58">
        <f>IFERROR(Historical_FS!J7/Historical_FS!J55,0)</f>
        <v>13.772984631976273</v>
      </c>
      <c r="K30" s="58">
        <f>IFERROR(Historical_FS!K7/Historical_FS!K55,0)</f>
        <v>14.883308714918758</v>
      </c>
      <c r="L30" s="58">
        <f>IFERROR(Historical_FS!L7/Historical_FS!L55,0)</f>
        <v>12.733934283221867</v>
      </c>
      <c r="M30" s="8"/>
      <c r="N30" s="70">
        <f t="shared" si="8"/>
        <v>11.753664893539149</v>
      </c>
      <c r="O30" s="70">
        <f t="shared" si="9"/>
        <v>11.972622172620499</v>
      </c>
    </row>
    <row r="31" spans="2:15" x14ac:dyDescent="0.35">
      <c r="B31" s="49" t="s">
        <v>178</v>
      </c>
      <c r="C31" s="56">
        <f>IFERROR(Historical_FS!C7/SUM(Historical_FS!C49:C50),0)</f>
        <v>3.1331851109777475</v>
      </c>
      <c r="D31" s="56">
        <f>IFERROR(Historical_FS!D7/SUM(Historical_FS!D49:D50),0)</f>
        <v>3.1670235840530623</v>
      </c>
      <c r="E31" s="56">
        <f>IFERROR(Historical_FS!E7/SUM(Historical_FS!E49:E50),0)</f>
        <v>3.2583247530950636</v>
      </c>
      <c r="F31" s="56">
        <f>IFERROR(Historical_FS!F7/SUM(Historical_FS!F49:F50),0)</f>
        <v>3.1566951566951569</v>
      </c>
      <c r="G31" s="56">
        <f>IFERROR(Historical_FS!G7/SUM(Historical_FS!G49:G50),0)</f>
        <v>2.8870214752567693</v>
      </c>
      <c r="H31" s="56">
        <f>IFERROR(Historical_FS!H7/SUM(Historical_FS!H49:H50),0)</f>
        <v>3.0956680640653551</v>
      </c>
      <c r="I31" s="56">
        <f>IFERROR(Historical_FS!I7/SUM(Historical_FS!I49:I50),0)</f>
        <v>3.4237617078727531</v>
      </c>
      <c r="J31" s="56">
        <f>IFERROR(Historical_FS!J7/SUM(Historical_FS!J49:J50),0)</f>
        <v>5.4385180453529225</v>
      </c>
      <c r="K31" s="56">
        <f>IFERROR(Historical_FS!K7/SUM(Historical_FS!K49:K50),0)</f>
        <v>5.2009635237439777</v>
      </c>
      <c r="L31" s="56">
        <f>IFERROR(Historical_FS!L7/SUM(Historical_FS!L49:L50),0)</f>
        <v>5.5775329554862125</v>
      </c>
      <c r="M31" s="49"/>
      <c r="N31" s="68">
        <f t="shared" si="8"/>
        <v>3.8338694376599021</v>
      </c>
      <c r="O31" s="68">
        <f t="shared" si="9"/>
        <v>3.212674168574063</v>
      </c>
    </row>
    <row r="32" spans="2:15" x14ac:dyDescent="0.35">
      <c r="M32" s="8"/>
    </row>
    <row r="33" spans="2:15" x14ac:dyDescent="0.35">
      <c r="B33" s="59" t="s">
        <v>189</v>
      </c>
      <c r="M33" s="8"/>
    </row>
    <row r="34" spans="2:15" x14ac:dyDescent="0.35">
      <c r="B34" s="46" t="s">
        <v>179</v>
      </c>
      <c r="C34" s="60">
        <f>IFERROR(365/C27,0)</f>
        <v>5.714121966724556</v>
      </c>
      <c r="D34" s="60">
        <f t="shared" ref="D34:L34" si="10">IFERROR(365/D27,0)</f>
        <v>6.6953095484612994</v>
      </c>
      <c r="E34" s="60">
        <f t="shared" si="10"/>
        <v>7.7591371851887798</v>
      </c>
      <c r="F34" s="60">
        <f t="shared" si="10"/>
        <v>5.4094622838685158</v>
      </c>
      <c r="G34" s="60">
        <f t="shared" si="10"/>
        <v>6.172149325448161</v>
      </c>
      <c r="H34" s="60">
        <f t="shared" si="10"/>
        <v>7.160838918017987</v>
      </c>
      <c r="I34" s="60">
        <f t="shared" si="10"/>
        <v>6.0630930375847196</v>
      </c>
      <c r="J34" s="60">
        <f t="shared" si="10"/>
        <v>7.2737060527758199</v>
      </c>
      <c r="K34" s="60">
        <f t="shared" si="10"/>
        <v>6.4479952362048429</v>
      </c>
      <c r="L34" s="60">
        <f t="shared" si="10"/>
        <v>3.8173639020825725</v>
      </c>
      <c r="M34" s="46"/>
      <c r="N34" s="60">
        <f>AVERAGE(C34:L34)</f>
        <v>6.2513177456357258</v>
      </c>
      <c r="O34" s="60">
        <f>MEDIAN(C34:L34)</f>
        <v>6.3100722808265015</v>
      </c>
    </row>
    <row r="35" spans="2:15" x14ac:dyDescent="0.35">
      <c r="B35" s="8" t="s">
        <v>180</v>
      </c>
      <c r="C35" s="61">
        <f>IFERROR(365/C28,0)</f>
        <v>63.107467632116546</v>
      </c>
      <c r="D35" s="61">
        <f t="shared" ref="D35:L35" si="11">IFERROR(365/D28,0)</f>
        <v>62.045224590673442</v>
      </c>
      <c r="E35" s="61">
        <f t="shared" si="11"/>
        <v>59.91596691764601</v>
      </c>
      <c r="F35" s="61">
        <f t="shared" si="11"/>
        <v>57.440860725821778</v>
      </c>
      <c r="G35" s="61">
        <f t="shared" si="11"/>
        <v>55.802300868600994</v>
      </c>
      <c r="H35" s="61">
        <f t="shared" si="11"/>
        <v>58.427375950553838</v>
      </c>
      <c r="I35" s="61">
        <f t="shared" si="11"/>
        <v>52.192975970425138</v>
      </c>
      <c r="J35" s="61">
        <f t="shared" si="11"/>
        <v>47.3433951922324</v>
      </c>
      <c r="K35" s="61">
        <f t="shared" si="11"/>
        <v>49.772727272727273</v>
      </c>
      <c r="L35" s="61">
        <f t="shared" si="11"/>
        <v>59.331670168067227</v>
      </c>
      <c r="M35" s="8"/>
      <c r="N35" s="61">
        <f t="shared" ref="N35:N37" si="12">AVERAGE(C35:L35)</f>
        <v>56.53799652888646</v>
      </c>
      <c r="O35" s="61">
        <f t="shared" ref="O35:O37" si="13">MEDIAN(C35:L35)</f>
        <v>57.934118338187808</v>
      </c>
    </row>
    <row r="36" spans="2:15" x14ac:dyDescent="0.35">
      <c r="B36" s="8" t="s">
        <v>181</v>
      </c>
      <c r="C36" s="61">
        <f>IFERROR(365/C29,0)</f>
        <v>135.57937926962339</v>
      </c>
      <c r="D36" s="61">
        <f t="shared" ref="D36:L36" si="14">IFERROR(365/D29,0)</f>
        <v>134.15616972202457</v>
      </c>
      <c r="E36" s="61">
        <f t="shared" si="14"/>
        <v>129.89694375514446</v>
      </c>
      <c r="F36" s="61">
        <f t="shared" si="14"/>
        <v>140.48997719931597</v>
      </c>
      <c r="G36" s="61">
        <f t="shared" si="14"/>
        <v>141.79079652559599</v>
      </c>
      <c r="H36" s="61">
        <f t="shared" si="14"/>
        <v>172.48116254036597</v>
      </c>
      <c r="I36" s="61">
        <f t="shared" si="14"/>
        <v>149.18447319778187</v>
      </c>
      <c r="J36" s="61">
        <f t="shared" si="14"/>
        <v>136.12119254561114</v>
      </c>
      <c r="K36" s="61">
        <f t="shared" si="14"/>
        <v>170.15945481010985</v>
      </c>
      <c r="L36" s="61">
        <f t="shared" si="14"/>
        <v>178.12836819510414</v>
      </c>
      <c r="M36" s="8"/>
      <c r="N36" s="61">
        <f t="shared" si="12"/>
        <v>148.79879177606773</v>
      </c>
      <c r="O36" s="61">
        <f t="shared" si="13"/>
        <v>141.14038686245598</v>
      </c>
    </row>
    <row r="37" spans="2:15" x14ac:dyDescent="0.35">
      <c r="B37" s="49" t="s">
        <v>182</v>
      </c>
      <c r="C37" s="62">
        <f>SUM(C34,C36)-C35</f>
        <v>78.186033604231397</v>
      </c>
      <c r="D37" s="62">
        <f t="shared" ref="D37:L37" si="15">SUM(D34,D36)-D35</f>
        <v>78.806254679812426</v>
      </c>
      <c r="E37" s="62">
        <f t="shared" si="15"/>
        <v>77.740114022687237</v>
      </c>
      <c r="F37" s="62">
        <f t="shared" si="15"/>
        <v>88.458578757362716</v>
      </c>
      <c r="G37" s="62">
        <f t="shared" si="15"/>
        <v>92.160644982443173</v>
      </c>
      <c r="H37" s="62">
        <f t="shared" si="15"/>
        <v>121.21462550783012</v>
      </c>
      <c r="I37" s="62">
        <f t="shared" si="15"/>
        <v>103.05459026494144</v>
      </c>
      <c r="J37" s="62">
        <f t="shared" si="15"/>
        <v>96.051503406154552</v>
      </c>
      <c r="K37" s="62">
        <f t="shared" si="15"/>
        <v>126.8347227735874</v>
      </c>
      <c r="L37" s="62">
        <f t="shared" si="15"/>
        <v>122.61406192911949</v>
      </c>
      <c r="M37" s="49"/>
      <c r="N37" s="62">
        <f t="shared" si="12"/>
        <v>98.512112992816995</v>
      </c>
      <c r="O37" s="62">
        <f t="shared" si="13"/>
        <v>94.106074194298856</v>
      </c>
    </row>
    <row r="38" spans="2:15" x14ac:dyDescent="0.35">
      <c r="M38" s="8"/>
    </row>
    <row r="39" spans="2:15" x14ac:dyDescent="0.35">
      <c r="B39" s="46" t="s">
        <v>183</v>
      </c>
      <c r="C39" s="48">
        <f>IFERROR(Historical_FS!C82/Historical_FS!C7,0)</f>
        <v>0.19817764046443548</v>
      </c>
      <c r="D39" s="48">
        <f>IFERROR(Historical_FS!D82/Historical_FS!D7,0)</f>
        <v>-7.9839848831590024E-2</v>
      </c>
      <c r="E39" s="48">
        <f>IFERROR(Historical_FS!E82/Historical_FS!E7,0)</f>
        <v>4.7475746415808665E-2</v>
      </c>
      <c r="F39" s="48">
        <f>IFERROR(Historical_FS!F82/Historical_FS!F7,0)</f>
        <v>-0.12445373361200836</v>
      </c>
      <c r="G39" s="48">
        <f>IFERROR(Historical_FS!G82/Historical_FS!G7,0)</f>
        <v>0.31232674182221398</v>
      </c>
      <c r="H39" s="48">
        <f>IFERROR(Historical_FS!H82/Historical_FS!H7,0)</f>
        <v>-0.13694919962498697</v>
      </c>
      <c r="I39" s="48">
        <f>IFERROR(Historical_FS!I82/Historical_FS!I7,0)</f>
        <v>-2.5705483672211954E-2</v>
      </c>
      <c r="J39" s="48">
        <f>IFERROR(Historical_FS!J82/Historical_FS!J7,0)</f>
        <v>-1.6463080416568788E-2</v>
      </c>
      <c r="K39" s="48">
        <f>IFERROR(Historical_FS!K82/Historical_FS!K7,0)</f>
        <v>-9.5391689824004228E-2</v>
      </c>
      <c r="L39" s="48">
        <f>IFERROR(Historical_FS!L82/Historical_FS!L7,0)</f>
        <v>5.1036719035440263E-2</v>
      </c>
      <c r="M39" s="46"/>
      <c r="N39" s="64">
        <f>AVERAGE(C39:L39)</f>
        <v>1.3021381175652807E-2</v>
      </c>
      <c r="O39" s="64">
        <f>MEDIAN(C39:L39)</f>
        <v>-2.1084282044390369E-2</v>
      </c>
    </row>
    <row r="40" spans="2:15" x14ac:dyDescent="0.35">
      <c r="B40" s="8" t="s">
        <v>184</v>
      </c>
      <c r="C40" s="44">
        <f>IFERROR(Historical_FS!C82/Historical_FS!C66,0)</f>
        <v>0.31257545283595617</v>
      </c>
      <c r="D40" s="44">
        <f>IFERROR(Historical_FS!D82/Historical_FS!D66,0)</f>
        <v>-0.13517430868896674</v>
      </c>
      <c r="E40" s="44">
        <f>IFERROR(Historical_FS!E82/Historical_FS!E66,0)</f>
        <v>8.0188969277120783E-2</v>
      </c>
      <c r="F40" s="44">
        <f>IFERROR(Historical_FS!F82/Historical_FS!F66,0)</f>
        <v>-0.19344359125812169</v>
      </c>
      <c r="G40" s="44">
        <f>IFERROR(Historical_FS!G82/Historical_FS!G66,0)</f>
        <v>0.41109219168085626</v>
      </c>
      <c r="H40" s="44">
        <f>IFERROR(Historical_FS!H82/Historical_FS!H66,0)</f>
        <v>-0.18614309986784972</v>
      </c>
      <c r="I40" s="44">
        <f>IFERROR(Historical_FS!I82/Historical_FS!I66,0)</f>
        <v>-3.8601036269430053E-2</v>
      </c>
      <c r="J40" s="44">
        <f>IFERROR(Historical_FS!J82/Historical_FS!J66,0)</f>
        <v>-2.6658636320410815E-2</v>
      </c>
      <c r="K40" s="44">
        <f>IFERROR(Historical_FS!K82/Historical_FS!K66,0)</f>
        <v>-0.1418870709804404</v>
      </c>
      <c r="L40" s="44">
        <f>IFERROR(Historical_FS!L82/Historical_FS!L66,0)</f>
        <v>7.3809877644028341E-2</v>
      </c>
      <c r="M40" s="8"/>
      <c r="N40" s="65">
        <f t="shared" ref="N40:N41" si="16">AVERAGE(C40:L40)</f>
        <v>1.5575874805274215E-2</v>
      </c>
      <c r="O40" s="65">
        <f t="shared" ref="O40:O41" si="17">MEDIAN(C40:L40)</f>
        <v>-3.2629836294920431E-2</v>
      </c>
    </row>
    <row r="41" spans="2:15" x14ac:dyDescent="0.35">
      <c r="B41" s="49" t="s">
        <v>185</v>
      </c>
      <c r="C41" s="51">
        <f>IFERROR(Historical_FS!C82/Historical_FS!C51,0)</f>
        <v>1.3960678484724531</v>
      </c>
      <c r="D41" s="51">
        <f>IFERROR(Historical_FS!D82/Historical_FS!D51,0)</f>
        <v>-0.7610836127521422</v>
      </c>
      <c r="E41" s="51">
        <f>IFERROR(Historical_FS!E82/Historical_FS!E51,0)</f>
        <v>0.392397763458115</v>
      </c>
      <c r="F41" s="51">
        <f>IFERROR(Historical_FS!F82/Historical_FS!F51,0)</f>
        <v>-0.73554183043234134</v>
      </c>
      <c r="G41" s="51">
        <f>IFERROR(Historical_FS!G82/Historical_FS!G51,0)</f>
        <v>1.1990067399787159</v>
      </c>
      <c r="H41" s="51">
        <f>IFERROR(Historical_FS!H82/Historical_FS!H51,0)</f>
        <v>-0.54213058419243987</v>
      </c>
      <c r="I41" s="51">
        <f>IFERROR(Historical_FS!I82/Historical_FS!I51,0)</f>
        <v>-0.1113483505925056</v>
      </c>
      <c r="J41" s="51">
        <f>IFERROR(Historical_FS!J82/Historical_FS!J51,0)</f>
        <v>-5.4160226687274604E-2</v>
      </c>
      <c r="K41" s="51">
        <f>IFERROR(Historical_FS!K82/Historical_FS!K51,0)</f>
        <v>-0.27756653992395436</v>
      </c>
      <c r="L41" s="51">
        <f>IFERROR(Historical_FS!L82/Historical_FS!L51,0)</f>
        <v>0.14597825022043695</v>
      </c>
      <c r="M41" s="49"/>
      <c r="N41" s="66">
        <f t="shared" si="16"/>
        <v>6.5161945754906303E-2</v>
      </c>
      <c r="O41" s="66">
        <f t="shared" si="17"/>
        <v>-8.2754288639890095E-2</v>
      </c>
    </row>
  </sheetData>
  <mergeCells count="2">
    <mergeCell ref="B1:O1"/>
    <mergeCell ref="B2:O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14:colorSeries rgb="FF115E6E"/>
          <x14:colorNegative rgb="FFD00000"/>
          <x14:colorAxis rgb="FF000000"/>
          <x14:colorMarkers rgb="FFD00000"/>
          <x14:colorFirst rgb="FFD00000"/>
          <x14:colorLast rgb="FFD00000"/>
          <x14:colorHigh rgb="FFD00000"/>
          <x14:colorLow rgb="FFD00000"/>
          <x14:sparklines>
            <x14:sparkline>
              <xm:f>'Financials&gt;'!C12:L12</xm:f>
              <xm:sqref>M12</xm:sqref>
            </x14:sparkline>
            <x14:sparkline>
              <xm:f>'Financials&gt;'!C13:L13</xm:f>
              <xm:sqref>M13</xm:sqref>
            </x14:sparkline>
            <x14:sparkline>
              <xm:f>'Financials&gt;'!C14:L14</xm:f>
              <xm:sqref>M14</xm:sqref>
            </x14:sparkline>
            <x14:sparkline>
              <xm:f>'Financials&gt;'!C15:L15</xm:f>
              <xm:sqref>M15</xm:sqref>
            </x14:sparkline>
            <x14:sparkline>
              <xm:f>'Financials&gt;'!C16:L16</xm:f>
              <xm:sqref>M16</xm:sqref>
            </x14:sparkline>
            <x14:sparkline>
              <xm:f>'Financials&gt;'!C17:L17</xm:f>
              <xm:sqref>M17</xm:sqref>
            </x14:sparkline>
            <x14:sparkline>
              <xm:f>'Financials&gt;'!C18:L18</xm:f>
              <xm:sqref>M18</xm:sqref>
            </x14:sparkline>
            <x14:sparkline>
              <xm:f>'Financials&gt;'!C19:L19</xm:f>
              <xm:sqref>M19</xm:sqref>
            </x14:sparkline>
            <x14:sparkline>
              <xm:f>'Financials&gt;'!C20:L20</xm:f>
              <xm:sqref>M20</xm:sqref>
            </x14:sparkline>
            <x14:sparkline>
              <xm:f>'Financials&gt;'!C21:L21</xm:f>
              <xm:sqref>M21</xm:sqref>
            </x14:sparkline>
            <x14:sparkline>
              <xm:f>'Financials&gt;'!C22:L22</xm:f>
              <xm:sqref>M22</xm:sqref>
            </x14:sparkline>
            <x14:sparkline>
              <xm:f>'Financials&gt;'!C23:L23</xm:f>
              <xm:sqref>M23</xm:sqref>
            </x14:sparkline>
            <x14:sparkline>
              <xm:f>'Financials&gt;'!C24:L24</xm:f>
              <xm:sqref>M24</xm:sqref>
            </x14:sparkline>
            <x14:sparkline>
              <xm:f>'Financials&gt;'!C25:L25</xm:f>
              <xm:sqref>M25</xm:sqref>
            </x14:sparkline>
            <x14:sparkline>
              <xm:f>'Financials&gt;'!C26:L26</xm:f>
              <xm:sqref>M26</xm:sqref>
            </x14:sparkline>
            <x14:sparkline>
              <xm:f>'Financials&gt;'!C27:L27</xm:f>
              <xm:sqref>M27</xm:sqref>
            </x14:sparkline>
            <x14:sparkline>
              <xm:f>'Financials&gt;'!C28:L28</xm:f>
              <xm:sqref>M28</xm:sqref>
            </x14:sparkline>
            <x14:sparkline>
              <xm:f>'Financials&gt;'!C29:L29</xm:f>
              <xm:sqref>M29</xm:sqref>
            </x14:sparkline>
            <x14:sparkline>
              <xm:f>'Financials&gt;'!C30:L30</xm:f>
              <xm:sqref>M30</xm:sqref>
            </x14:sparkline>
            <x14:sparkline>
              <xm:f>'Financials&gt;'!C31:L31</xm:f>
              <xm:sqref>M31</xm:sqref>
            </x14:sparkline>
            <x14:sparkline>
              <xm:f>'Financials&gt;'!C32:L32</xm:f>
              <xm:sqref>M32</xm:sqref>
            </x14:sparkline>
            <x14:sparkline>
              <xm:f>'Financials&gt;'!C33:L33</xm:f>
              <xm:sqref>M33</xm:sqref>
            </x14:sparkline>
            <x14:sparkline>
              <xm:f>'Financials&gt;'!C34:L34</xm:f>
              <xm:sqref>M34</xm:sqref>
            </x14:sparkline>
            <x14:sparkline>
              <xm:f>'Financials&gt;'!C35:L35</xm:f>
              <xm:sqref>M35</xm:sqref>
            </x14:sparkline>
            <x14:sparkline>
              <xm:f>'Financials&gt;'!C36:L36</xm:f>
              <xm:sqref>M36</xm:sqref>
            </x14:sparkline>
            <x14:sparkline>
              <xm:f>'Financials&gt;'!C37:L37</xm:f>
              <xm:sqref>M37</xm:sqref>
            </x14:sparkline>
            <x14:sparkline>
              <xm:f>'Financials&gt;'!C38:L38</xm:f>
              <xm:sqref>M38</xm:sqref>
            </x14:sparkline>
            <x14:sparkline>
              <xm:f>'Financials&gt;'!C39:L39</xm:f>
              <xm:sqref>M39</xm:sqref>
            </x14:sparkline>
            <x14:sparkline>
              <xm:f>'Financials&gt;'!C40:L40</xm:f>
              <xm:sqref>M40</xm:sqref>
            </x14:sparkline>
            <x14:sparkline>
              <xm:f>'Financials&gt;'!C41:L41</xm:f>
              <xm:sqref>M41</xm:sqref>
            </x14:sparkline>
          </x14:sparklines>
        </x14:sparklineGroup>
        <x14:sparklineGroup displayEmptyCellsAs="gap">
          <x14:colorSeries rgb="FF115E6E"/>
          <x14:colorNegative rgb="FFD00000"/>
          <x14:colorAxis rgb="FF000000"/>
          <x14:colorMarkers rgb="FFD00000"/>
          <x14:colorFirst rgb="FFD00000"/>
          <x14:colorLast rgb="FFD00000"/>
          <x14:colorHigh rgb="FFD00000"/>
          <x14:colorLow rgb="FFD00000"/>
          <x14:sparklines>
            <x14:sparkline>
              <xm:f>'Financials&gt;'!C11:L11</xm:f>
              <xm:sqref>M11</xm:sqref>
            </x14:sparkline>
          </x14:sparklines>
        </x14:sparklineGroup>
        <x14:sparklineGroup displayEmptyCellsAs="gap">
          <x14:colorSeries rgb="FF115E6E"/>
          <x14:colorNegative rgb="FFD00000"/>
          <x14:colorAxis rgb="FF000000"/>
          <x14:colorMarkers rgb="FFD00000"/>
          <x14:colorFirst rgb="FFD00000"/>
          <x14:colorLast rgb="FFD00000"/>
          <x14:colorHigh rgb="FFD00000"/>
          <x14:colorLow rgb="FFD00000"/>
          <x14:sparklines>
            <x14:sparkline>
              <xm:f>'Financials&gt;'!D5:L5</xm:f>
              <xm:sqref>M5</xm:sqref>
            </x14:sparkline>
            <x14:sparkline>
              <xm:f>'Financials&gt;'!D6:L6</xm:f>
              <xm:sqref>M6</xm:sqref>
            </x14:sparkline>
            <x14:sparkline>
              <xm:f>'Financials&gt;'!D7:L7</xm:f>
              <xm:sqref>M7</xm:sqref>
            </x14:sparkline>
            <x14:sparkline>
              <xm:f>'Financials&gt;'!D8:L8</xm:f>
              <xm:sqref>M8</xm:sqref>
            </x14:sparkline>
            <x14:sparkline>
              <xm:f>'Financials&gt;'!D9:L9</xm:f>
              <xm:sqref>M9</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E6E"/>
  </sheetPr>
  <dimension ref="A1:K93"/>
  <sheetViews>
    <sheetView topLeftCell="A55" workbookViewId="0">
      <selection activeCell="A58" sqref="A58"/>
    </sheetView>
  </sheetViews>
  <sheetFormatPr defaultColWidth="8.81640625" defaultRowHeight="14.5" x14ac:dyDescent="0.35"/>
  <cols>
    <col min="1" max="1" width="27.6328125" style="2" bestFit="1" customWidth="1"/>
    <col min="2" max="6" width="13.453125" style="2" customWidth="1"/>
    <col min="7" max="11" width="13.453125" style="2" bestFit="1" customWidth="1"/>
    <col min="12" max="16384" width="8.81640625" style="2"/>
  </cols>
  <sheetData>
    <row r="1" spans="1:11" s="1" customFormat="1" x14ac:dyDescent="0.35">
      <c r="A1" s="1" t="s">
        <v>0</v>
      </c>
      <c r="B1" s="1" t="s">
        <v>1</v>
      </c>
      <c r="E1" s="353" t="str">
        <f>IF(B2&lt;&gt;B3, "A NEW VERSION OF THE WORKSHEET IS AVAILABLE", "")</f>
        <v/>
      </c>
      <c r="F1" s="353"/>
      <c r="G1" s="353"/>
      <c r="H1" s="353"/>
      <c r="I1" s="353"/>
      <c r="J1" s="353"/>
      <c r="K1" s="353"/>
    </row>
    <row r="2" spans="1:11" x14ac:dyDescent="0.35">
      <c r="A2" s="1" t="s">
        <v>2</v>
      </c>
      <c r="B2" s="2">
        <v>2.1</v>
      </c>
      <c r="E2" s="354" t="s">
        <v>3</v>
      </c>
      <c r="F2" s="354"/>
      <c r="G2" s="354"/>
      <c r="H2" s="354"/>
      <c r="I2" s="354"/>
      <c r="J2" s="354"/>
      <c r="K2" s="354"/>
    </row>
    <row r="3" spans="1:11" x14ac:dyDescent="0.35">
      <c r="A3" s="1" t="s">
        <v>4</v>
      </c>
      <c r="B3" s="2">
        <v>2.1</v>
      </c>
    </row>
    <row r="4" spans="1:11" x14ac:dyDescent="0.35">
      <c r="A4" s="1"/>
    </row>
    <row r="5" spans="1:11" x14ac:dyDescent="0.35">
      <c r="A5" s="1" t="s">
        <v>5</v>
      </c>
    </row>
    <row r="6" spans="1:11" x14ac:dyDescent="0.35">
      <c r="A6" s="2" t="s">
        <v>6</v>
      </c>
      <c r="B6" s="2">
        <f>IF(B9&gt;0, B9/B8, 0)</f>
        <v>88.778616825741295</v>
      </c>
    </row>
    <row r="7" spans="1:11" x14ac:dyDescent="0.35">
      <c r="A7" s="2" t="s">
        <v>7</v>
      </c>
      <c r="B7">
        <v>1</v>
      </c>
    </row>
    <row r="8" spans="1:11" x14ac:dyDescent="0.35">
      <c r="A8" s="2" t="s">
        <v>8</v>
      </c>
      <c r="B8">
        <v>4515.7</v>
      </c>
    </row>
    <row r="9" spans="1:11" x14ac:dyDescent="0.35">
      <c r="A9" s="2" t="s">
        <v>9</v>
      </c>
      <c r="B9">
        <v>400897.6</v>
      </c>
    </row>
    <row r="15" spans="1:11" x14ac:dyDescent="0.35">
      <c r="A15" s="1" t="s">
        <v>10</v>
      </c>
    </row>
    <row r="16" spans="1:11" s="5" customFormat="1" x14ac:dyDescent="0.35">
      <c r="A16" s="3" t="s">
        <v>11</v>
      </c>
      <c r="B16" s="4">
        <v>42825</v>
      </c>
      <c r="C16" s="4">
        <v>43190</v>
      </c>
      <c r="D16" s="4">
        <v>43555</v>
      </c>
      <c r="E16" s="4">
        <v>43921</v>
      </c>
      <c r="F16" s="4">
        <v>44286</v>
      </c>
      <c r="G16" s="4">
        <v>44651</v>
      </c>
      <c r="H16" s="4">
        <v>45016</v>
      </c>
      <c r="I16" s="4">
        <v>45382</v>
      </c>
      <c r="J16" s="4">
        <v>45747</v>
      </c>
      <c r="K16" s="4">
        <v>46112</v>
      </c>
    </row>
    <row r="17" spans="1:11" s="6" customFormat="1" x14ac:dyDescent="0.35">
      <c r="A17" s="6" t="s">
        <v>12</v>
      </c>
      <c r="B17">
        <v>13260.83</v>
      </c>
      <c r="C17">
        <v>16119.77</v>
      </c>
      <c r="D17">
        <v>19778.52</v>
      </c>
      <c r="E17">
        <v>21052</v>
      </c>
      <c r="F17">
        <v>21644</v>
      </c>
      <c r="G17">
        <v>28799</v>
      </c>
      <c r="H17">
        <v>40575</v>
      </c>
      <c r="I17">
        <v>51084</v>
      </c>
      <c r="J17">
        <v>60456</v>
      </c>
      <c r="K17">
        <v>87584</v>
      </c>
    </row>
    <row r="18" spans="1:11" s="6" customFormat="1" x14ac:dyDescent="0.35">
      <c r="A18" s="2" t="s">
        <v>13</v>
      </c>
      <c r="B18">
        <v>9821.14</v>
      </c>
      <c r="C18">
        <v>12664.83</v>
      </c>
      <c r="D18">
        <v>15170.66</v>
      </c>
      <c r="E18">
        <v>16033</v>
      </c>
      <c r="F18">
        <v>16292</v>
      </c>
      <c r="G18">
        <v>26436</v>
      </c>
      <c r="H18">
        <v>32589</v>
      </c>
      <c r="I18">
        <v>42103</v>
      </c>
      <c r="J18">
        <v>55271</v>
      </c>
      <c r="K18">
        <v>80243</v>
      </c>
    </row>
    <row r="19" spans="1:11" s="6" customFormat="1" x14ac:dyDescent="0.35">
      <c r="A19" s="2" t="s">
        <v>14</v>
      </c>
      <c r="B19">
        <v>313.70999999999998</v>
      </c>
      <c r="C19">
        <v>978.61</v>
      </c>
      <c r="D19">
        <v>776.41</v>
      </c>
      <c r="E19">
        <v>878</v>
      </c>
      <c r="F19">
        <v>-122</v>
      </c>
      <c r="G19">
        <v>4795</v>
      </c>
      <c r="H19">
        <v>2234</v>
      </c>
      <c r="I19">
        <v>2671</v>
      </c>
      <c r="J19">
        <v>7815</v>
      </c>
      <c r="K19">
        <v>9936</v>
      </c>
    </row>
    <row r="20" spans="1:11" s="6" customFormat="1" x14ac:dyDescent="0.35">
      <c r="A20" s="2" t="s">
        <v>15</v>
      </c>
      <c r="B20">
        <v>43.84</v>
      </c>
      <c r="C20">
        <v>45.32</v>
      </c>
      <c r="D20">
        <v>48.51</v>
      </c>
      <c r="E20">
        <v>52</v>
      </c>
      <c r="F20">
        <v>37</v>
      </c>
      <c r="G20">
        <v>45</v>
      </c>
      <c r="H20">
        <v>59</v>
      </c>
      <c r="I20">
        <v>71</v>
      </c>
      <c r="J20">
        <v>78</v>
      </c>
      <c r="K20">
        <v>87</v>
      </c>
    </row>
    <row r="21" spans="1:11" s="6" customFormat="1" x14ac:dyDescent="0.35">
      <c r="A21" s="2" t="s">
        <v>16</v>
      </c>
      <c r="B21">
        <v>160.41999999999999</v>
      </c>
      <c r="C21">
        <v>124.83</v>
      </c>
      <c r="D21">
        <v>193.28</v>
      </c>
      <c r="E21">
        <v>215</v>
      </c>
      <c r="F21">
        <v>141</v>
      </c>
      <c r="G21">
        <v>183</v>
      </c>
      <c r="H21">
        <v>225</v>
      </c>
      <c r="I21">
        <v>286</v>
      </c>
      <c r="J21">
        <v>326</v>
      </c>
      <c r="K21">
        <v>375</v>
      </c>
    </row>
    <row r="22" spans="1:11" s="6" customFormat="1" x14ac:dyDescent="0.35">
      <c r="A22" s="2" t="s">
        <v>17</v>
      </c>
      <c r="B22">
        <v>894.32</v>
      </c>
      <c r="C22">
        <v>906.26</v>
      </c>
      <c r="D22">
        <v>1024.44</v>
      </c>
      <c r="E22">
        <v>1204</v>
      </c>
      <c r="F22">
        <v>1069</v>
      </c>
      <c r="G22">
        <v>1356</v>
      </c>
      <c r="H22">
        <v>1656</v>
      </c>
      <c r="I22">
        <v>1875</v>
      </c>
      <c r="J22">
        <v>2164</v>
      </c>
      <c r="K22">
        <v>2692</v>
      </c>
    </row>
    <row r="23" spans="1:11" s="6" customFormat="1" x14ac:dyDescent="0.35">
      <c r="A23" s="2" t="s">
        <v>18</v>
      </c>
      <c r="B23">
        <v>1211.1600000000001</v>
      </c>
      <c r="C23">
        <v>1277.81</v>
      </c>
      <c r="D23">
        <v>1454.32</v>
      </c>
      <c r="E23">
        <v>1470</v>
      </c>
      <c r="F23">
        <v>1029</v>
      </c>
      <c r="G23">
        <v>1697</v>
      </c>
      <c r="H23">
        <v>2715</v>
      </c>
      <c r="I23">
        <v>3249</v>
      </c>
      <c r="J23">
        <v>3494</v>
      </c>
      <c r="K23">
        <v>4185</v>
      </c>
    </row>
    <row r="24" spans="1:11" s="6" customFormat="1" x14ac:dyDescent="0.35">
      <c r="A24" s="2" t="s">
        <v>19</v>
      </c>
      <c r="B24">
        <v>279.76</v>
      </c>
      <c r="C24">
        <v>435.13</v>
      </c>
      <c r="D24">
        <v>669.93</v>
      </c>
      <c r="E24">
        <v>493</v>
      </c>
      <c r="F24">
        <v>1229</v>
      </c>
      <c r="G24">
        <v>533</v>
      </c>
      <c r="H24">
        <v>683</v>
      </c>
      <c r="I24">
        <v>879</v>
      </c>
      <c r="J24">
        <v>1244</v>
      </c>
      <c r="K24">
        <v>1581</v>
      </c>
    </row>
    <row r="25" spans="1:11" s="6" customFormat="1" x14ac:dyDescent="0.35">
      <c r="A25" s="6" t="s">
        <v>20</v>
      </c>
      <c r="B25">
        <v>-42.38</v>
      </c>
      <c r="C25">
        <v>69.930000000000007</v>
      </c>
      <c r="D25">
        <v>178.48</v>
      </c>
      <c r="E25">
        <v>153</v>
      </c>
      <c r="F25">
        <v>180</v>
      </c>
      <c r="G25">
        <v>177</v>
      </c>
      <c r="H25">
        <v>306</v>
      </c>
      <c r="I25">
        <v>534</v>
      </c>
      <c r="J25">
        <v>487</v>
      </c>
      <c r="K25">
        <v>450</v>
      </c>
    </row>
    <row r="26" spans="1:11" s="6" customFormat="1" x14ac:dyDescent="0.35">
      <c r="A26" s="6" t="s">
        <v>21</v>
      </c>
      <c r="B26">
        <v>110.53</v>
      </c>
      <c r="C26">
        <v>131.43</v>
      </c>
      <c r="D26">
        <v>162.84</v>
      </c>
      <c r="E26">
        <v>348</v>
      </c>
      <c r="F26">
        <v>375</v>
      </c>
      <c r="G26">
        <v>399</v>
      </c>
      <c r="H26">
        <v>441</v>
      </c>
      <c r="I26">
        <v>584</v>
      </c>
      <c r="J26">
        <v>693</v>
      </c>
      <c r="K26">
        <v>826</v>
      </c>
    </row>
    <row r="27" spans="1:11" s="6" customFormat="1" x14ac:dyDescent="0.35">
      <c r="A27" s="6" t="s">
        <v>22</v>
      </c>
      <c r="B27">
        <v>37.74</v>
      </c>
      <c r="C27">
        <v>52.92</v>
      </c>
      <c r="D27">
        <v>52.54</v>
      </c>
      <c r="E27">
        <v>166</v>
      </c>
      <c r="F27">
        <v>203</v>
      </c>
      <c r="G27">
        <v>218</v>
      </c>
      <c r="H27">
        <v>300</v>
      </c>
      <c r="I27">
        <v>619</v>
      </c>
      <c r="J27">
        <v>953</v>
      </c>
      <c r="K27">
        <v>1180</v>
      </c>
    </row>
    <row r="28" spans="1:11" s="6" customFormat="1" x14ac:dyDescent="0.35">
      <c r="A28" s="6" t="s">
        <v>23</v>
      </c>
      <c r="B28">
        <v>973.25</v>
      </c>
      <c r="C28">
        <v>1529.78</v>
      </c>
      <c r="D28">
        <v>1956.89</v>
      </c>
      <c r="E28">
        <v>2102</v>
      </c>
      <c r="F28">
        <v>1327</v>
      </c>
      <c r="G28">
        <v>2904</v>
      </c>
      <c r="H28">
        <v>4447</v>
      </c>
      <c r="I28">
        <v>4623</v>
      </c>
      <c r="J28">
        <v>4535</v>
      </c>
      <c r="K28">
        <v>6801</v>
      </c>
    </row>
    <row r="29" spans="1:11" s="6" customFormat="1" x14ac:dyDescent="0.35">
      <c r="A29" s="6" t="s">
        <v>24</v>
      </c>
      <c r="B29">
        <v>275.97000000000003</v>
      </c>
      <c r="C29">
        <v>427.87</v>
      </c>
      <c r="D29">
        <v>568.24</v>
      </c>
      <c r="E29">
        <v>609</v>
      </c>
      <c r="F29">
        <v>353</v>
      </c>
      <c r="G29">
        <v>706</v>
      </c>
      <c r="H29">
        <v>1173</v>
      </c>
      <c r="I29">
        <v>1127</v>
      </c>
      <c r="J29">
        <v>1198</v>
      </c>
      <c r="K29">
        <v>1728</v>
      </c>
    </row>
    <row r="30" spans="1:11" s="6" customFormat="1" x14ac:dyDescent="0.35">
      <c r="A30" s="6" t="s">
        <v>25</v>
      </c>
      <c r="B30">
        <v>711.47</v>
      </c>
      <c r="C30">
        <v>1130.0899999999999</v>
      </c>
      <c r="D30">
        <v>1404.15</v>
      </c>
      <c r="E30">
        <v>1501</v>
      </c>
      <c r="F30">
        <v>973</v>
      </c>
      <c r="G30">
        <v>2173</v>
      </c>
      <c r="H30">
        <v>3250</v>
      </c>
      <c r="I30">
        <v>3496</v>
      </c>
      <c r="J30">
        <v>3337</v>
      </c>
      <c r="K30">
        <v>5073</v>
      </c>
    </row>
    <row r="31" spans="1:11" s="6" customFormat="1" x14ac:dyDescent="0.35">
      <c r="A31" s="6" t="s">
        <v>26</v>
      </c>
      <c r="B31">
        <v>230.83</v>
      </c>
      <c r="C31">
        <v>332.92</v>
      </c>
      <c r="D31">
        <v>443.9</v>
      </c>
      <c r="E31">
        <v>356</v>
      </c>
      <c r="F31">
        <v>356</v>
      </c>
      <c r="G31">
        <v>667.5</v>
      </c>
      <c r="H31">
        <v>890</v>
      </c>
      <c r="I31">
        <v>979</v>
      </c>
      <c r="J31">
        <v>979</v>
      </c>
      <c r="K31">
        <v>1335</v>
      </c>
    </row>
    <row r="32" spans="1:11" s="6" customFormat="1" x14ac:dyDescent="0.35"/>
    <row r="33" spans="1:11" x14ac:dyDescent="0.35">
      <c r="A33" s="6"/>
    </row>
    <row r="34" spans="1:11" x14ac:dyDescent="0.35">
      <c r="A34" s="6"/>
    </row>
    <row r="35" spans="1:11" x14ac:dyDescent="0.35">
      <c r="A35" s="6"/>
    </row>
    <row r="36" spans="1:11" x14ac:dyDescent="0.35">
      <c r="A36" s="6"/>
    </row>
    <row r="37" spans="1:11" x14ac:dyDescent="0.35">
      <c r="A37" s="6"/>
    </row>
    <row r="38" spans="1:11" x14ac:dyDescent="0.35">
      <c r="A38" s="6"/>
    </row>
    <row r="39" spans="1:11" x14ac:dyDescent="0.35">
      <c r="A39" s="6"/>
    </row>
    <row r="40" spans="1:11" x14ac:dyDescent="0.35">
      <c r="A40" s="1" t="s">
        <v>27</v>
      </c>
    </row>
    <row r="41" spans="1:11" s="5" customFormat="1" x14ac:dyDescent="0.35">
      <c r="A41" s="3" t="s">
        <v>11</v>
      </c>
      <c r="B41" s="4">
        <v>45382</v>
      </c>
      <c r="C41" s="4">
        <v>45473</v>
      </c>
      <c r="D41" s="4">
        <v>45565</v>
      </c>
      <c r="E41" s="4">
        <v>45657</v>
      </c>
      <c r="F41" s="4">
        <v>45747</v>
      </c>
      <c r="G41" s="4">
        <v>45838</v>
      </c>
      <c r="H41" s="4">
        <v>45930</v>
      </c>
      <c r="I41" s="4">
        <v>46022</v>
      </c>
      <c r="J41" s="4">
        <v>46112</v>
      </c>
      <c r="K41" s="4">
        <v>46203</v>
      </c>
    </row>
    <row r="42" spans="1:11" s="6" customFormat="1" x14ac:dyDescent="0.35">
      <c r="A42" s="6" t="s">
        <v>12</v>
      </c>
      <c r="B42">
        <v>12494</v>
      </c>
      <c r="C42">
        <v>13266</v>
      </c>
      <c r="D42">
        <v>14534</v>
      </c>
      <c r="E42">
        <v>17740</v>
      </c>
      <c r="F42">
        <v>14916</v>
      </c>
      <c r="G42">
        <v>16523</v>
      </c>
      <c r="H42">
        <v>18725</v>
      </c>
      <c r="I42">
        <v>25416</v>
      </c>
      <c r="J42">
        <v>26920</v>
      </c>
      <c r="K42">
        <v>21356</v>
      </c>
    </row>
    <row r="43" spans="1:11" s="6" customFormat="1" x14ac:dyDescent="0.35">
      <c r="A43" s="6" t="s">
        <v>28</v>
      </c>
      <c r="B43">
        <v>11303</v>
      </c>
      <c r="C43">
        <v>12019</v>
      </c>
      <c r="D43">
        <v>13298</v>
      </c>
      <c r="E43">
        <v>16066</v>
      </c>
      <c r="F43">
        <v>13379</v>
      </c>
      <c r="G43">
        <v>14693</v>
      </c>
      <c r="H43">
        <v>16850</v>
      </c>
      <c r="I43">
        <v>22703</v>
      </c>
      <c r="J43">
        <v>24982</v>
      </c>
      <c r="K43">
        <v>18466</v>
      </c>
    </row>
    <row r="44" spans="1:11" s="6" customFormat="1" x14ac:dyDescent="0.35">
      <c r="A44" s="6" t="s">
        <v>20</v>
      </c>
      <c r="B44">
        <v>159</v>
      </c>
      <c r="C44">
        <v>120</v>
      </c>
      <c r="D44">
        <v>123</v>
      </c>
      <c r="E44">
        <v>128</v>
      </c>
      <c r="F44">
        <v>116</v>
      </c>
      <c r="G44">
        <v>105</v>
      </c>
      <c r="H44">
        <v>113</v>
      </c>
      <c r="I44">
        <v>-1</v>
      </c>
      <c r="J44">
        <v>235</v>
      </c>
      <c r="K44">
        <v>148</v>
      </c>
    </row>
    <row r="45" spans="1:11" s="6" customFormat="1" x14ac:dyDescent="0.35">
      <c r="A45" s="6" t="s">
        <v>21</v>
      </c>
      <c r="B45">
        <v>158</v>
      </c>
      <c r="C45">
        <v>164</v>
      </c>
      <c r="D45">
        <v>171</v>
      </c>
      <c r="E45">
        <v>175</v>
      </c>
      <c r="F45">
        <v>183</v>
      </c>
      <c r="G45">
        <v>184</v>
      </c>
      <c r="H45">
        <v>189</v>
      </c>
      <c r="I45">
        <v>207</v>
      </c>
      <c r="J45">
        <v>246</v>
      </c>
      <c r="K45">
        <v>256</v>
      </c>
    </row>
    <row r="46" spans="1:11" s="6" customFormat="1" x14ac:dyDescent="0.35">
      <c r="A46" s="6" t="s">
        <v>22</v>
      </c>
      <c r="B46">
        <v>201</v>
      </c>
      <c r="C46">
        <v>230</v>
      </c>
      <c r="D46">
        <v>240</v>
      </c>
      <c r="E46">
        <v>231</v>
      </c>
      <c r="F46">
        <v>252</v>
      </c>
      <c r="G46">
        <v>271</v>
      </c>
      <c r="H46">
        <v>277</v>
      </c>
      <c r="I46">
        <v>282</v>
      </c>
      <c r="J46">
        <v>350</v>
      </c>
      <c r="K46">
        <v>353</v>
      </c>
    </row>
    <row r="47" spans="1:11" s="6" customFormat="1" x14ac:dyDescent="0.35">
      <c r="A47" s="6" t="s">
        <v>23</v>
      </c>
      <c r="B47">
        <v>991</v>
      </c>
      <c r="C47">
        <v>973</v>
      </c>
      <c r="D47">
        <v>948</v>
      </c>
      <c r="E47">
        <v>1396</v>
      </c>
      <c r="F47">
        <v>1218</v>
      </c>
      <c r="G47">
        <v>1480</v>
      </c>
      <c r="H47">
        <v>1522</v>
      </c>
      <c r="I47">
        <v>2223</v>
      </c>
      <c r="J47">
        <v>1577</v>
      </c>
      <c r="K47">
        <v>2429</v>
      </c>
    </row>
    <row r="48" spans="1:11" s="6" customFormat="1" x14ac:dyDescent="0.35">
      <c r="A48" s="6" t="s">
        <v>24</v>
      </c>
      <c r="B48">
        <v>220</v>
      </c>
      <c r="C48">
        <v>258</v>
      </c>
      <c r="D48">
        <v>244</v>
      </c>
      <c r="E48">
        <v>349</v>
      </c>
      <c r="F48">
        <v>347</v>
      </c>
      <c r="G48">
        <v>389</v>
      </c>
      <c r="H48">
        <v>402</v>
      </c>
      <c r="I48">
        <v>539</v>
      </c>
      <c r="J48">
        <v>398</v>
      </c>
      <c r="K48">
        <v>652</v>
      </c>
    </row>
    <row r="49" spans="1:11" s="6" customFormat="1" x14ac:dyDescent="0.35">
      <c r="A49" s="6" t="s">
        <v>25</v>
      </c>
      <c r="B49">
        <v>771</v>
      </c>
      <c r="C49">
        <v>715</v>
      </c>
      <c r="D49">
        <v>704</v>
      </c>
      <c r="E49">
        <v>1047</v>
      </c>
      <c r="F49">
        <v>871</v>
      </c>
      <c r="G49">
        <v>1091</v>
      </c>
      <c r="H49">
        <v>1120</v>
      </c>
      <c r="I49">
        <v>1684</v>
      </c>
      <c r="J49">
        <v>1179</v>
      </c>
      <c r="K49">
        <v>1777</v>
      </c>
    </row>
    <row r="50" spans="1:11" x14ac:dyDescent="0.35">
      <c r="A50" s="6" t="s">
        <v>29</v>
      </c>
      <c r="B50">
        <v>1191</v>
      </c>
      <c r="C50">
        <v>1247</v>
      </c>
      <c r="D50">
        <v>1236</v>
      </c>
      <c r="E50">
        <v>1674</v>
      </c>
      <c r="F50">
        <v>1537</v>
      </c>
      <c r="G50">
        <v>1830</v>
      </c>
      <c r="H50">
        <v>1875</v>
      </c>
      <c r="I50">
        <v>2713</v>
      </c>
      <c r="J50">
        <v>1938</v>
      </c>
      <c r="K50">
        <v>2890</v>
      </c>
    </row>
    <row r="51" spans="1:11" x14ac:dyDescent="0.35">
      <c r="A51" s="6"/>
    </row>
    <row r="52" spans="1:11" x14ac:dyDescent="0.35">
      <c r="A52" s="6"/>
    </row>
    <row r="53" spans="1:11" x14ac:dyDescent="0.35">
      <c r="A53" s="6"/>
    </row>
    <row r="54" spans="1:11" x14ac:dyDescent="0.35">
      <c r="A54" s="6"/>
    </row>
    <row r="55" spans="1:11" x14ac:dyDescent="0.35">
      <c r="A55" s="1" t="s">
        <v>30</v>
      </c>
    </row>
    <row r="56" spans="1:11" s="5" customFormat="1" x14ac:dyDescent="0.35">
      <c r="A56" s="3" t="s">
        <v>11</v>
      </c>
      <c r="B56" s="4">
        <v>42825</v>
      </c>
      <c r="C56" s="4">
        <v>43190</v>
      </c>
      <c r="D56" s="4">
        <v>43555</v>
      </c>
      <c r="E56" s="4">
        <v>43921</v>
      </c>
      <c r="F56" s="4">
        <v>44286</v>
      </c>
      <c r="G56" s="4">
        <v>44651</v>
      </c>
      <c r="H56" s="4">
        <v>45016</v>
      </c>
      <c r="I56" s="4">
        <v>45382</v>
      </c>
      <c r="J56" s="4">
        <v>45747</v>
      </c>
      <c r="K56" s="4">
        <v>46112</v>
      </c>
    </row>
    <row r="57" spans="1:11" x14ac:dyDescent="0.35">
      <c r="A57" s="6" t="s">
        <v>31</v>
      </c>
      <c r="B57">
        <v>88.78</v>
      </c>
      <c r="C57">
        <v>88.78</v>
      </c>
      <c r="D57">
        <v>88.78</v>
      </c>
      <c r="E57">
        <v>89</v>
      </c>
      <c r="F57">
        <v>89</v>
      </c>
      <c r="G57">
        <v>89</v>
      </c>
      <c r="H57">
        <v>89</v>
      </c>
      <c r="I57">
        <v>89</v>
      </c>
      <c r="J57">
        <v>89</v>
      </c>
      <c r="K57">
        <v>89</v>
      </c>
    </row>
    <row r="58" spans="1:11" x14ac:dyDescent="0.35">
      <c r="A58" s="6" t="s">
        <v>32</v>
      </c>
      <c r="B58">
        <v>4143.6000000000004</v>
      </c>
      <c r="C58">
        <v>5001.1000000000004</v>
      </c>
      <c r="D58">
        <v>5981.37</v>
      </c>
      <c r="E58">
        <v>6580</v>
      </c>
      <c r="F58">
        <v>7408</v>
      </c>
      <c r="G58">
        <v>9214</v>
      </c>
      <c r="H58">
        <v>11762</v>
      </c>
      <c r="I58">
        <v>9304</v>
      </c>
      <c r="J58">
        <v>11535</v>
      </c>
      <c r="K58">
        <v>15614</v>
      </c>
    </row>
    <row r="59" spans="1:11" x14ac:dyDescent="0.35">
      <c r="A59" s="6" t="s">
        <v>33</v>
      </c>
      <c r="B59">
        <v>1882.43</v>
      </c>
      <c r="C59">
        <v>1691.01</v>
      </c>
      <c r="D59">
        <v>2392.98</v>
      </c>
      <c r="E59">
        <v>3562</v>
      </c>
      <c r="F59">
        <v>5638</v>
      </c>
      <c r="G59">
        <v>7275</v>
      </c>
      <c r="H59">
        <v>9367</v>
      </c>
      <c r="I59">
        <v>15528</v>
      </c>
      <c r="J59">
        <v>20777</v>
      </c>
      <c r="K59">
        <v>30621</v>
      </c>
    </row>
    <row r="60" spans="1:11" x14ac:dyDescent="0.35">
      <c r="A60" s="6" t="s">
        <v>34</v>
      </c>
      <c r="B60">
        <v>2292.7600000000002</v>
      </c>
      <c r="C60">
        <v>2740.15</v>
      </c>
      <c r="D60">
        <v>3246.71</v>
      </c>
      <c r="E60">
        <v>3313</v>
      </c>
      <c r="F60">
        <v>3309</v>
      </c>
      <c r="G60">
        <v>4610</v>
      </c>
      <c r="H60">
        <v>5802</v>
      </c>
      <c r="I60">
        <v>6626</v>
      </c>
      <c r="J60">
        <v>8244</v>
      </c>
      <c r="K60">
        <v>14237</v>
      </c>
    </row>
    <row r="61" spans="1:11" s="1" customFormat="1" x14ac:dyDescent="0.35">
      <c r="A61" s="1" t="s">
        <v>35</v>
      </c>
      <c r="B61">
        <v>8407.57</v>
      </c>
      <c r="C61">
        <v>9521.0400000000009</v>
      </c>
      <c r="D61">
        <v>11709.84</v>
      </c>
      <c r="E61">
        <v>13544</v>
      </c>
      <c r="F61">
        <v>16444</v>
      </c>
      <c r="G61">
        <v>21188</v>
      </c>
      <c r="H61">
        <v>27020</v>
      </c>
      <c r="I61">
        <v>31547</v>
      </c>
      <c r="J61">
        <v>40645</v>
      </c>
      <c r="K61">
        <v>60561</v>
      </c>
    </row>
    <row r="62" spans="1:11" x14ac:dyDescent="0.35">
      <c r="A62" s="6" t="s">
        <v>36</v>
      </c>
      <c r="B62">
        <v>1188.72</v>
      </c>
      <c r="C62">
        <v>1473.81</v>
      </c>
      <c r="D62">
        <v>1566.63</v>
      </c>
      <c r="E62">
        <v>2633</v>
      </c>
      <c r="F62">
        <v>2523</v>
      </c>
      <c r="G62">
        <v>2544</v>
      </c>
      <c r="H62">
        <v>2998</v>
      </c>
      <c r="I62">
        <v>3709</v>
      </c>
      <c r="J62">
        <v>4062</v>
      </c>
      <c r="K62">
        <v>6878</v>
      </c>
    </row>
    <row r="63" spans="1:11" x14ac:dyDescent="0.35">
      <c r="A63" s="6" t="s">
        <v>37</v>
      </c>
      <c r="B63">
        <v>152.07</v>
      </c>
      <c r="C63">
        <v>43.37</v>
      </c>
      <c r="D63">
        <v>31.77</v>
      </c>
      <c r="E63">
        <v>18</v>
      </c>
      <c r="F63">
        <v>32</v>
      </c>
      <c r="G63">
        <v>85</v>
      </c>
      <c r="H63">
        <v>144</v>
      </c>
      <c r="I63">
        <v>97</v>
      </c>
      <c r="J63">
        <v>105</v>
      </c>
      <c r="K63">
        <v>163</v>
      </c>
    </row>
    <row r="64" spans="1:11" x14ac:dyDescent="0.35">
      <c r="A64" s="6" t="s">
        <v>38</v>
      </c>
      <c r="B64">
        <v>430.73</v>
      </c>
      <c r="C64">
        <v>35.99</v>
      </c>
      <c r="D64">
        <v>108.42</v>
      </c>
      <c r="E64">
        <v>158</v>
      </c>
      <c r="F64">
        <v>2824</v>
      </c>
      <c r="G64">
        <v>294</v>
      </c>
      <c r="H64">
        <v>2515</v>
      </c>
      <c r="I64">
        <v>2345</v>
      </c>
      <c r="J64">
        <v>1988</v>
      </c>
      <c r="K64">
        <v>3506</v>
      </c>
    </row>
    <row r="65" spans="1:11" x14ac:dyDescent="0.35">
      <c r="A65" s="6" t="s">
        <v>39</v>
      </c>
      <c r="B65">
        <v>6636.05</v>
      </c>
      <c r="C65">
        <v>7967.87</v>
      </c>
      <c r="D65">
        <v>10003.02</v>
      </c>
      <c r="E65">
        <v>10735</v>
      </c>
      <c r="F65">
        <v>11065</v>
      </c>
      <c r="G65">
        <v>18265</v>
      </c>
      <c r="H65">
        <v>21363</v>
      </c>
      <c r="I65">
        <v>25396</v>
      </c>
      <c r="J65">
        <v>34490</v>
      </c>
      <c r="K65">
        <v>50014</v>
      </c>
    </row>
    <row r="66" spans="1:11" s="1" customFormat="1" x14ac:dyDescent="0.35">
      <c r="A66" s="1" t="s">
        <v>35</v>
      </c>
      <c r="B66">
        <v>8407.57</v>
      </c>
      <c r="C66">
        <v>9521.0400000000009</v>
      </c>
      <c r="D66">
        <v>11709.84</v>
      </c>
      <c r="E66">
        <v>13544</v>
      </c>
      <c r="F66">
        <v>16444</v>
      </c>
      <c r="G66">
        <v>21188</v>
      </c>
      <c r="H66">
        <v>27020</v>
      </c>
      <c r="I66">
        <v>31547</v>
      </c>
      <c r="J66">
        <v>40645</v>
      </c>
      <c r="K66">
        <v>60561</v>
      </c>
    </row>
    <row r="67" spans="1:11" s="6" customFormat="1" x14ac:dyDescent="0.35">
      <c r="A67" s="6" t="s">
        <v>40</v>
      </c>
      <c r="B67">
        <v>207.6</v>
      </c>
      <c r="C67">
        <v>295.69</v>
      </c>
      <c r="D67">
        <v>420.45</v>
      </c>
      <c r="E67">
        <v>312</v>
      </c>
      <c r="F67">
        <v>366</v>
      </c>
      <c r="G67">
        <v>565</v>
      </c>
      <c r="H67">
        <v>674</v>
      </c>
      <c r="I67">
        <v>1018</v>
      </c>
      <c r="J67">
        <v>1068</v>
      </c>
      <c r="K67">
        <v>916</v>
      </c>
    </row>
    <row r="68" spans="1:11" x14ac:dyDescent="0.35">
      <c r="A68" s="6" t="s">
        <v>41</v>
      </c>
      <c r="B68">
        <v>4925.74</v>
      </c>
      <c r="C68">
        <v>5924.84</v>
      </c>
      <c r="D68">
        <v>7038.82</v>
      </c>
      <c r="E68">
        <v>8103</v>
      </c>
      <c r="F68">
        <v>8408</v>
      </c>
      <c r="G68">
        <v>13609</v>
      </c>
      <c r="H68">
        <v>16584</v>
      </c>
      <c r="I68">
        <v>19051</v>
      </c>
      <c r="J68">
        <v>28184</v>
      </c>
      <c r="K68">
        <v>42743</v>
      </c>
    </row>
    <row r="69" spans="1:11" x14ac:dyDescent="0.35">
      <c r="A69" s="2" t="s">
        <v>42</v>
      </c>
      <c r="B69">
        <v>778.93</v>
      </c>
      <c r="C69">
        <v>617.91</v>
      </c>
      <c r="D69">
        <v>1066.48</v>
      </c>
      <c r="E69">
        <v>381</v>
      </c>
      <c r="F69">
        <v>560</v>
      </c>
      <c r="G69">
        <v>1573</v>
      </c>
      <c r="H69">
        <v>1343</v>
      </c>
      <c r="I69">
        <v>1526</v>
      </c>
      <c r="J69">
        <v>1584</v>
      </c>
      <c r="K69">
        <v>1917</v>
      </c>
    </row>
    <row r="70" spans="1:11" x14ac:dyDescent="0.35">
      <c r="A70" s="2" t="s">
        <v>43</v>
      </c>
      <c r="B70">
        <v>887786160</v>
      </c>
      <c r="C70">
        <v>887786160</v>
      </c>
      <c r="D70">
        <v>887786160</v>
      </c>
      <c r="E70">
        <v>887786160</v>
      </c>
      <c r="F70">
        <v>887786160</v>
      </c>
      <c r="G70">
        <v>887786160</v>
      </c>
      <c r="H70">
        <v>890000000</v>
      </c>
      <c r="I70">
        <v>890000000</v>
      </c>
      <c r="J70">
        <v>890000000</v>
      </c>
      <c r="K70">
        <v>890000000</v>
      </c>
    </row>
    <row r="71" spans="1:11" x14ac:dyDescent="0.35">
      <c r="A71" s="2" t="s">
        <v>44</v>
      </c>
    </row>
    <row r="72" spans="1:11" x14ac:dyDescent="0.35">
      <c r="A72" s="2" t="s">
        <v>45</v>
      </c>
      <c r="B72">
        <v>1</v>
      </c>
      <c r="C72">
        <v>1</v>
      </c>
      <c r="D72">
        <v>1</v>
      </c>
      <c r="E72">
        <v>1</v>
      </c>
      <c r="F72">
        <v>1</v>
      </c>
      <c r="G72">
        <v>1</v>
      </c>
      <c r="H72">
        <v>1</v>
      </c>
      <c r="I72">
        <v>1</v>
      </c>
      <c r="J72">
        <v>1</v>
      </c>
      <c r="K72">
        <v>1</v>
      </c>
    </row>
    <row r="74" spans="1:11" x14ac:dyDescent="0.35">
      <c r="A74" s="6"/>
    </row>
    <row r="75" spans="1:11" x14ac:dyDescent="0.35">
      <c r="A75" s="6"/>
    </row>
    <row r="76" spans="1:11" x14ac:dyDescent="0.35">
      <c r="A76" s="6"/>
    </row>
    <row r="77" spans="1:11" x14ac:dyDescent="0.35">
      <c r="A77" s="6"/>
    </row>
    <row r="78" spans="1:11" x14ac:dyDescent="0.35">
      <c r="A78" s="6"/>
    </row>
    <row r="79" spans="1:11" x14ac:dyDescent="0.35">
      <c r="A79" s="6"/>
    </row>
    <row r="80" spans="1:11" x14ac:dyDescent="0.35">
      <c r="A80" s="1" t="s">
        <v>46</v>
      </c>
    </row>
    <row r="81" spans="1:11" s="5" customFormat="1" x14ac:dyDescent="0.35">
      <c r="A81" s="3" t="s">
        <v>11</v>
      </c>
      <c r="B81" s="4">
        <v>42825</v>
      </c>
      <c r="C81" s="4">
        <v>43190</v>
      </c>
      <c r="D81" s="4">
        <v>43555</v>
      </c>
      <c r="E81" s="4">
        <v>43921</v>
      </c>
      <c r="F81" s="4">
        <v>44286</v>
      </c>
      <c r="G81" s="4">
        <v>44651</v>
      </c>
      <c r="H81" s="4">
        <v>45016</v>
      </c>
      <c r="I81" s="4">
        <v>45382</v>
      </c>
      <c r="J81" s="4">
        <v>45747</v>
      </c>
      <c r="K81" s="4">
        <v>46112</v>
      </c>
    </row>
    <row r="82" spans="1:11" s="1" customFormat="1" x14ac:dyDescent="0.35">
      <c r="A82" s="6" t="s">
        <v>47</v>
      </c>
      <c r="B82">
        <v>1712.3</v>
      </c>
      <c r="C82">
        <v>-51.12</v>
      </c>
      <c r="D82">
        <v>1242.92</v>
      </c>
      <c r="E82">
        <v>-348</v>
      </c>
      <c r="F82">
        <v>4139</v>
      </c>
      <c r="G82">
        <v>-724</v>
      </c>
      <c r="H82">
        <v>1370</v>
      </c>
      <c r="I82">
        <v>1695</v>
      </c>
      <c r="J82">
        <v>-541</v>
      </c>
      <c r="K82">
        <v>5590</v>
      </c>
    </row>
    <row r="83" spans="1:11" s="6" customFormat="1" x14ac:dyDescent="0.35">
      <c r="A83" s="6" t="s">
        <v>48</v>
      </c>
      <c r="B83">
        <v>-953.15</v>
      </c>
      <c r="C83">
        <v>97.62</v>
      </c>
      <c r="D83">
        <v>-796.61</v>
      </c>
      <c r="E83">
        <v>235</v>
      </c>
      <c r="F83">
        <v>-2799</v>
      </c>
      <c r="G83">
        <v>1165</v>
      </c>
      <c r="H83">
        <v>-1814</v>
      </c>
      <c r="I83">
        <v>-189</v>
      </c>
      <c r="J83">
        <v>546</v>
      </c>
      <c r="K83">
        <v>-2965</v>
      </c>
    </row>
    <row r="84" spans="1:11" s="6" customFormat="1" x14ac:dyDescent="0.35">
      <c r="A84" s="6" t="s">
        <v>49</v>
      </c>
      <c r="B84">
        <v>-165.6</v>
      </c>
      <c r="C84">
        <v>-252.45</v>
      </c>
      <c r="D84">
        <v>-488.83</v>
      </c>
      <c r="E84">
        <v>-242</v>
      </c>
      <c r="F84">
        <v>-1234</v>
      </c>
      <c r="G84">
        <v>-403</v>
      </c>
      <c r="H84">
        <v>457</v>
      </c>
      <c r="I84">
        <v>-1329</v>
      </c>
      <c r="J84">
        <v>-7</v>
      </c>
      <c r="K84">
        <v>-2159</v>
      </c>
    </row>
    <row r="85" spans="1:11" s="1" customFormat="1" x14ac:dyDescent="0.35">
      <c r="A85" s="6" t="s">
        <v>50</v>
      </c>
      <c r="B85">
        <v>593.54999999999995</v>
      </c>
      <c r="C85">
        <v>-205.95</v>
      </c>
      <c r="D85">
        <v>-42.52</v>
      </c>
      <c r="E85">
        <v>-355</v>
      </c>
      <c r="F85">
        <v>106</v>
      </c>
      <c r="G85">
        <v>38</v>
      </c>
      <c r="H85">
        <v>13</v>
      </c>
      <c r="I85">
        <v>177</v>
      </c>
      <c r="J85">
        <v>-2</v>
      </c>
      <c r="K85">
        <v>466</v>
      </c>
    </row>
    <row r="86" spans="1:11" x14ac:dyDescent="0.35">
      <c r="A86" s="6"/>
    </row>
    <row r="87" spans="1:11" x14ac:dyDescent="0.35">
      <c r="A87" s="6"/>
    </row>
    <row r="88" spans="1:11" x14ac:dyDescent="0.35">
      <c r="A88" s="6"/>
    </row>
    <row r="89" spans="1:11" x14ac:dyDescent="0.35">
      <c r="A89" s="6"/>
    </row>
    <row r="90" spans="1:11" s="1" customFormat="1" x14ac:dyDescent="0.35">
      <c r="A90" s="1" t="s">
        <v>51</v>
      </c>
      <c r="B90">
        <v>462.75</v>
      </c>
      <c r="C90">
        <v>942.3</v>
      </c>
      <c r="D90">
        <v>1141.8499999999999</v>
      </c>
      <c r="E90">
        <v>933.7</v>
      </c>
      <c r="F90">
        <v>1558.05</v>
      </c>
      <c r="G90">
        <v>2536.15</v>
      </c>
      <c r="H90">
        <v>2514.9</v>
      </c>
      <c r="I90">
        <v>3801.8</v>
      </c>
      <c r="J90">
        <v>3063.35</v>
      </c>
      <c r="K90">
        <v>3951.4</v>
      </c>
    </row>
    <row r="92" spans="1:11" s="1" customFormat="1" x14ac:dyDescent="0.35">
      <c r="A92" s="1" t="s">
        <v>52</v>
      </c>
    </row>
    <row r="93" spans="1:11" x14ac:dyDescent="0.35">
      <c r="A93" s="2" t="s">
        <v>53</v>
      </c>
      <c r="B93" s="7">
        <v>88.78</v>
      </c>
      <c r="C93" s="7">
        <v>88.78</v>
      </c>
      <c r="D93" s="7">
        <v>88.78</v>
      </c>
      <c r="E93" s="7">
        <v>88.78</v>
      </c>
      <c r="F93" s="7">
        <v>88.78</v>
      </c>
      <c r="G93" s="7">
        <v>88.78</v>
      </c>
      <c r="H93" s="7">
        <v>88.78</v>
      </c>
      <c r="I93" s="7">
        <v>88.78</v>
      </c>
      <c r="J93" s="7">
        <v>88.78</v>
      </c>
      <c r="K93" s="7">
        <v>88.78</v>
      </c>
    </row>
  </sheetData>
  <mergeCells count="2">
    <mergeCell ref="E1:K1"/>
    <mergeCell ref="E2:K2"/>
  </mergeCells>
  <conditionalFormatting sqref="E1:K1">
    <cfRule type="cellIs" dxfId="0" priority="1" operator="notEqual">
      <formula>""</formula>
    </cfRule>
  </conditionalFormatting>
  <hyperlinks>
    <hyperlink ref="G1:K1" r:id="rId1" display="https://www.screener.in/excel/"/>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0"/>
  <sheetViews>
    <sheetView showGridLines="0" zoomScaleNormal="100" workbookViewId="0">
      <selection activeCell="F8" sqref="F8"/>
    </sheetView>
  </sheetViews>
  <sheetFormatPr defaultRowHeight="14.5" x14ac:dyDescent="0.35"/>
  <cols>
    <col min="1" max="1" width="4" customWidth="1"/>
    <col min="2" max="2" width="10.81640625" style="9" customWidth="1"/>
    <col min="3" max="3" width="8.81640625" bestFit="1" customWidth="1"/>
    <col min="4" max="4" width="11.90625" bestFit="1" customWidth="1"/>
    <col min="5" max="5" width="11.81640625" bestFit="1" customWidth="1"/>
    <col min="6" max="6" width="10.7265625" customWidth="1"/>
    <col min="7" max="7" width="11.7265625" customWidth="1"/>
    <col min="8" max="9" width="10.90625" bestFit="1" customWidth="1"/>
    <col min="10" max="10" width="13.81640625" bestFit="1" customWidth="1"/>
    <col min="11" max="11" width="8.81640625" bestFit="1" customWidth="1"/>
    <col min="12" max="12" width="11" bestFit="1" customWidth="1"/>
    <col min="13" max="13" width="9.26953125" customWidth="1"/>
    <col min="14" max="14" width="10.26953125" customWidth="1"/>
    <col min="15" max="15" width="11.54296875" customWidth="1"/>
  </cols>
  <sheetData>
    <row r="1" spans="2:15" x14ac:dyDescent="0.35">
      <c r="B1" s="245"/>
    </row>
    <row r="2" spans="2:15" ht="13.5" customHeight="1" x14ac:dyDescent="0.35">
      <c r="B2" s="336" t="str">
        <f>"Forecasting:" &amp; 'Data Sheet'!B1</f>
        <v>Forecasting:TITAN COMPANY LTD</v>
      </c>
      <c r="C2" s="336"/>
      <c r="D2" s="336"/>
      <c r="E2" s="336"/>
      <c r="F2" s="336"/>
      <c r="G2" s="336"/>
      <c r="H2" s="336"/>
      <c r="I2" s="336"/>
      <c r="J2" s="336"/>
      <c r="K2" s="336"/>
      <c r="L2" s="336"/>
      <c r="M2" s="336"/>
      <c r="N2" s="336"/>
      <c r="O2" s="336"/>
    </row>
    <row r="3" spans="2:15" s="14" customFormat="1" ht="13.5" customHeight="1" x14ac:dyDescent="0.35">
      <c r="B3" s="87"/>
      <c r="C3" s="87"/>
      <c r="D3" s="87"/>
      <c r="E3" s="87"/>
      <c r="F3" s="87"/>
      <c r="G3" s="87"/>
      <c r="H3" s="87"/>
      <c r="I3" s="87"/>
      <c r="J3" s="87"/>
      <c r="K3" s="87"/>
      <c r="L3" s="87"/>
      <c r="M3" s="87"/>
      <c r="N3" s="87"/>
      <c r="O3" s="87"/>
    </row>
    <row r="4" spans="2:15" x14ac:dyDescent="0.35">
      <c r="B4" s="337" t="s">
        <v>216</v>
      </c>
      <c r="C4" s="337"/>
      <c r="D4" s="337"/>
      <c r="E4" s="337"/>
      <c r="F4" s="87"/>
      <c r="G4" s="337" t="s">
        <v>217</v>
      </c>
      <c r="H4" s="337"/>
      <c r="I4" s="337"/>
      <c r="J4" s="337"/>
      <c r="K4" s="87"/>
      <c r="L4" s="337" t="s">
        <v>218</v>
      </c>
      <c r="M4" s="337"/>
      <c r="N4" s="337"/>
      <c r="O4" s="337"/>
    </row>
    <row r="5" spans="2:15" x14ac:dyDescent="0.35">
      <c r="B5" s="293" t="s">
        <v>191</v>
      </c>
      <c r="C5" s="293" t="s">
        <v>94</v>
      </c>
      <c r="D5" s="293" t="s">
        <v>12</v>
      </c>
      <c r="E5" s="293" t="s">
        <v>159</v>
      </c>
      <c r="F5" s="14"/>
      <c r="G5" s="293" t="s">
        <v>191</v>
      </c>
      <c r="H5" s="293" t="s">
        <v>94</v>
      </c>
      <c r="I5" s="293" t="s">
        <v>103</v>
      </c>
      <c r="J5" s="293" t="s">
        <v>219</v>
      </c>
      <c r="K5" s="14"/>
      <c r="L5" s="293" t="s">
        <v>191</v>
      </c>
      <c r="M5" s="293" t="s">
        <v>94</v>
      </c>
      <c r="N5" s="293" t="s">
        <v>113</v>
      </c>
      <c r="O5" s="293" t="s">
        <v>220</v>
      </c>
    </row>
    <row r="6" spans="2:15" x14ac:dyDescent="0.35">
      <c r="B6" s="9">
        <v>1</v>
      </c>
      <c r="C6" s="82">
        <f>'Data Sheet'!B16</f>
        <v>42825</v>
      </c>
      <c r="D6" s="81">
        <f t="array" ref="D6:D15">TRANSPOSE('Data Sheet'!B17:K17)</f>
        <v>13260.83</v>
      </c>
      <c r="E6" s="42" t="s">
        <v>97</v>
      </c>
      <c r="G6" s="9">
        <v>1</v>
      </c>
      <c r="H6" s="82">
        <f>'Data Sheet'!B16</f>
        <v>42825</v>
      </c>
      <c r="I6" s="81">
        <f t="array" ref="I6:I15">TRANSPOSE(Historical_FS!C19:L19)</f>
        <v>1163.8999999999996</v>
      </c>
      <c r="J6" s="42" t="s">
        <v>97</v>
      </c>
      <c r="L6" s="9">
        <v>1</v>
      </c>
      <c r="M6" s="82">
        <f>'Data Sheet'!B16</f>
        <v>42825</v>
      </c>
      <c r="N6" s="81">
        <f t="array" ref="N6:N15">TRANSPOSE(Historical_FS!C39:L39)</f>
        <v>7.8540211759405212</v>
      </c>
      <c r="O6" s="42" t="s">
        <v>97</v>
      </c>
    </row>
    <row r="7" spans="2:15" x14ac:dyDescent="0.35">
      <c r="B7" s="9">
        <v>2</v>
      </c>
      <c r="C7" s="82">
        <f>C6+365</f>
        <v>43190</v>
      </c>
      <c r="D7" s="81">
        <v>16119.77</v>
      </c>
      <c r="E7" s="25">
        <f>D7/D6-1</f>
        <v>0.21559283996552248</v>
      </c>
      <c r="G7" s="9">
        <v>2</v>
      </c>
      <c r="H7" s="82">
        <f>H6+365</f>
        <v>43190</v>
      </c>
      <c r="I7" s="81">
        <v>1644.2000000000016</v>
      </c>
      <c r="J7" s="25">
        <f>I7/I6-1</f>
        <v>0.41266431824040062</v>
      </c>
      <c r="L7" s="9">
        <v>2</v>
      </c>
      <c r="M7" s="82">
        <f>M6+365</f>
        <v>43190</v>
      </c>
      <c r="N7" s="81">
        <v>12.41169182248256</v>
      </c>
      <c r="O7" s="25">
        <f>N7/N6-1</f>
        <v>0.58029772831574467</v>
      </c>
    </row>
    <row r="8" spans="2:15" x14ac:dyDescent="0.35">
      <c r="B8" s="9">
        <v>3</v>
      </c>
      <c r="C8" s="82">
        <f t="shared" ref="C8:C20" si="0">C7+365</f>
        <v>43555</v>
      </c>
      <c r="D8" s="81">
        <v>19778.52</v>
      </c>
      <c r="E8" s="25">
        <f t="shared" ref="E8:E20" si="1">D8/D7-1</f>
        <v>0.22697284142391605</v>
      </c>
      <c r="G8" s="9">
        <v>3</v>
      </c>
      <c r="H8" s="82">
        <f t="shared" ref="H8:H20" si="2">H7+365</f>
        <v>43555</v>
      </c>
      <c r="I8" s="81">
        <v>1993.7899999999995</v>
      </c>
      <c r="J8" s="25">
        <f t="shared" ref="J8:J20" si="3">I8/I7-1</f>
        <v>0.21262011920690771</v>
      </c>
      <c r="L8" s="9">
        <v>3</v>
      </c>
      <c r="M8" s="82">
        <f t="shared" ref="M8:M20" si="4">M7+365</f>
        <v>43555</v>
      </c>
      <c r="N8" s="81">
        <v>15.641473304798371</v>
      </c>
      <c r="O8" s="25">
        <f t="shared" ref="O8:O20" si="5">N8/N7-1</f>
        <v>0.26022088918332464</v>
      </c>
    </row>
    <row r="9" spans="2:15" x14ac:dyDescent="0.35">
      <c r="B9" s="9">
        <v>4</v>
      </c>
      <c r="C9" s="82">
        <f t="shared" si="0"/>
        <v>43920</v>
      </c>
      <c r="D9" s="81">
        <v>21052</v>
      </c>
      <c r="E9" s="25">
        <f t="shared" si="1"/>
        <v>6.4387021880302431E-2</v>
      </c>
      <c r="G9" s="9">
        <v>4</v>
      </c>
      <c r="H9" s="82">
        <f t="shared" si="2"/>
        <v>43920</v>
      </c>
      <c r="I9" s="81">
        <v>2463</v>
      </c>
      <c r="J9" s="25">
        <f t="shared" si="3"/>
        <v>0.23533571740253523</v>
      </c>
      <c r="L9" s="9">
        <v>4</v>
      </c>
      <c r="M9" s="82">
        <f t="shared" si="4"/>
        <v>43920</v>
      </c>
      <c r="N9" s="81">
        <v>16.816850642036496</v>
      </c>
      <c r="O9" s="25">
        <f t="shared" si="5"/>
        <v>7.5144924927087908E-2</v>
      </c>
    </row>
    <row r="10" spans="2:15" x14ac:dyDescent="0.35">
      <c r="B10" s="9">
        <v>5</v>
      </c>
      <c r="C10" s="82">
        <f t="shared" si="0"/>
        <v>44285</v>
      </c>
      <c r="D10" s="81">
        <v>21644</v>
      </c>
      <c r="E10" s="25">
        <f t="shared" si="1"/>
        <v>2.8120843625308867E-2</v>
      </c>
      <c r="G10" s="9">
        <v>5</v>
      </c>
      <c r="H10" s="82">
        <f t="shared" si="2"/>
        <v>44285</v>
      </c>
      <c r="I10" s="81">
        <v>1725</v>
      </c>
      <c r="J10" s="25">
        <f t="shared" si="3"/>
        <v>-0.29963459196102316</v>
      </c>
      <c r="L10" s="9">
        <v>5</v>
      </c>
      <c r="M10" s="82">
        <f t="shared" si="4"/>
        <v>44285</v>
      </c>
      <c r="N10" s="81">
        <v>10.970939400765937</v>
      </c>
      <c r="O10" s="25">
        <f t="shared" si="5"/>
        <v>-0.34762223710649709</v>
      </c>
    </row>
    <row r="11" spans="2:15" x14ac:dyDescent="0.35">
      <c r="B11" s="9">
        <v>6</v>
      </c>
      <c r="C11" s="82">
        <f t="shared" si="0"/>
        <v>44650</v>
      </c>
      <c r="D11" s="81">
        <v>28799</v>
      </c>
      <c r="E11" s="25">
        <f t="shared" si="1"/>
        <v>0.33057660321567184</v>
      </c>
      <c r="G11" s="9">
        <v>6</v>
      </c>
      <c r="H11" s="82">
        <f t="shared" si="2"/>
        <v>44650</v>
      </c>
      <c r="I11" s="81">
        <v>3344</v>
      </c>
      <c r="J11" s="25">
        <f t="shared" si="3"/>
        <v>0.93855072463768119</v>
      </c>
      <c r="L11" s="9">
        <v>6</v>
      </c>
      <c r="M11" s="82">
        <f t="shared" si="4"/>
        <v>44650</v>
      </c>
      <c r="N11" s="81">
        <v>24.757828339716152</v>
      </c>
      <c r="O11" s="25">
        <f t="shared" si="5"/>
        <v>1.2566735112936347</v>
      </c>
    </row>
    <row r="12" spans="2:15" x14ac:dyDescent="0.35">
      <c r="B12" s="9">
        <v>7</v>
      </c>
      <c r="C12" s="82">
        <f t="shared" si="0"/>
        <v>45015</v>
      </c>
      <c r="D12" s="81">
        <v>40575</v>
      </c>
      <c r="E12" s="25">
        <f t="shared" si="1"/>
        <v>0.40890308691274013</v>
      </c>
      <c r="G12" s="9">
        <v>7</v>
      </c>
      <c r="H12" s="82">
        <f t="shared" si="2"/>
        <v>45015</v>
      </c>
      <c r="I12" s="81">
        <v>4882</v>
      </c>
      <c r="J12" s="25">
        <f t="shared" si="3"/>
        <v>0.45992822966507174</v>
      </c>
      <c r="L12" s="9">
        <v>7</v>
      </c>
      <c r="M12" s="82">
        <f t="shared" si="4"/>
        <v>45015</v>
      </c>
      <c r="N12" s="81">
        <v>36.877675152061272</v>
      </c>
      <c r="O12" s="25">
        <f t="shared" si="5"/>
        <v>0.48953594176524096</v>
      </c>
    </row>
    <row r="13" spans="2:15" x14ac:dyDescent="0.35">
      <c r="B13" s="9">
        <v>8</v>
      </c>
      <c r="C13" s="82">
        <f t="shared" si="0"/>
        <v>45380</v>
      </c>
      <c r="D13" s="81">
        <v>51084</v>
      </c>
      <c r="E13" s="25">
        <f t="shared" si="1"/>
        <v>0.25900184842883545</v>
      </c>
      <c r="G13" s="9">
        <v>8</v>
      </c>
      <c r="H13" s="82">
        <f t="shared" si="2"/>
        <v>45380</v>
      </c>
      <c r="I13" s="81">
        <v>5292</v>
      </c>
      <c r="J13" s="25">
        <f t="shared" si="3"/>
        <v>8.3981974600573439E-2</v>
      </c>
      <c r="L13" s="9">
        <v>8</v>
      </c>
      <c r="M13" s="82">
        <f t="shared" si="4"/>
        <v>45380</v>
      </c>
      <c r="N13" s="81">
        <v>39.37823834196891</v>
      </c>
      <c r="O13" s="25">
        <f t="shared" si="5"/>
        <v>6.7806963958460642E-2</v>
      </c>
    </row>
    <row r="14" spans="2:15" x14ac:dyDescent="0.35">
      <c r="B14" s="9">
        <v>9</v>
      </c>
      <c r="C14" s="82">
        <f t="shared" si="0"/>
        <v>45745</v>
      </c>
      <c r="D14" s="81">
        <v>60456</v>
      </c>
      <c r="E14" s="25">
        <f t="shared" si="1"/>
        <v>0.18346253229974163</v>
      </c>
      <c r="G14" s="9">
        <v>9</v>
      </c>
      <c r="H14" s="82">
        <f t="shared" si="2"/>
        <v>45745</v>
      </c>
      <c r="I14" s="81">
        <v>5694</v>
      </c>
      <c r="J14" s="25">
        <f t="shared" si="3"/>
        <v>7.5963718820861725E-2</v>
      </c>
      <c r="L14" s="9">
        <v>9</v>
      </c>
      <c r="M14" s="82">
        <f t="shared" si="4"/>
        <v>45745</v>
      </c>
      <c r="N14" s="81">
        <v>37.58729443568371</v>
      </c>
      <c r="O14" s="25">
        <f t="shared" si="5"/>
        <v>-4.548054919908473E-2</v>
      </c>
    </row>
    <row r="15" spans="2:15" x14ac:dyDescent="0.35">
      <c r="B15" s="9">
        <v>10</v>
      </c>
      <c r="C15" s="82">
        <f t="shared" si="0"/>
        <v>46110</v>
      </c>
      <c r="D15" s="81">
        <v>87584</v>
      </c>
      <c r="E15" s="25">
        <f t="shared" si="1"/>
        <v>0.448723038242689</v>
      </c>
      <c r="G15" s="9">
        <v>10</v>
      </c>
      <c r="H15" s="82">
        <f t="shared" si="2"/>
        <v>46110</v>
      </c>
      <c r="I15" s="81">
        <v>8357</v>
      </c>
      <c r="J15" s="25">
        <f t="shared" si="3"/>
        <v>0.46768528275377586</v>
      </c>
      <c r="L15" s="9">
        <v>10</v>
      </c>
      <c r="M15" s="82">
        <f t="shared" si="4"/>
        <v>46110</v>
      </c>
      <c r="N15" s="81">
        <v>57.141248028835321</v>
      </c>
      <c r="O15" s="25">
        <f t="shared" si="5"/>
        <v>0.52022774947557693</v>
      </c>
    </row>
    <row r="16" spans="2:15" x14ac:dyDescent="0.35">
      <c r="B16" s="83">
        <v>11</v>
      </c>
      <c r="C16" s="84">
        <f t="shared" si="0"/>
        <v>46475</v>
      </c>
      <c r="D16" s="85">
        <f>FORECAST(B16,$D$6:$D$15,$B$6:$B$15)</f>
        <v>76085.763333333336</v>
      </c>
      <c r="E16" s="86">
        <f t="shared" si="1"/>
        <v>-0.13128238795518199</v>
      </c>
      <c r="G16" s="83">
        <v>11</v>
      </c>
      <c r="H16" s="84">
        <f t="shared" si="2"/>
        <v>46475</v>
      </c>
      <c r="I16" s="85">
        <f>FORECAST(G16,$I$6:$I$15,$G$6:$G$15)</f>
        <v>7604.3406666666669</v>
      </c>
      <c r="J16" s="86">
        <f t="shared" si="3"/>
        <v>-9.0063340114076018E-2</v>
      </c>
      <c r="L16" s="83">
        <v>11</v>
      </c>
      <c r="M16" s="84">
        <f t="shared" si="4"/>
        <v>46475</v>
      </c>
      <c r="N16" s="85">
        <f>FORECAST(L16,$N$6:$N$15,$L$6:$L$15)</f>
        <v>53.025974318540207</v>
      </c>
      <c r="O16" s="86">
        <f t="shared" si="5"/>
        <v>-7.2019317957815909E-2</v>
      </c>
    </row>
    <row r="17" spans="2:15" x14ac:dyDescent="0.35">
      <c r="B17" s="83">
        <v>12</v>
      </c>
      <c r="C17" s="84">
        <f t="shared" si="0"/>
        <v>46840</v>
      </c>
      <c r="D17" s="85">
        <f t="shared" ref="D17:D20" si="6">FORECAST(B17,$D$6:$D$15,$B$6:$B$15)</f>
        <v>83367.663575757586</v>
      </c>
      <c r="E17" s="86">
        <f t="shared" si="1"/>
        <v>9.5706475474552244E-2</v>
      </c>
      <c r="G17" s="83">
        <v>12</v>
      </c>
      <c r="H17" s="84">
        <f t="shared" si="2"/>
        <v>46840</v>
      </c>
      <c r="I17" s="85">
        <f t="shared" ref="I17:I20" si="7">FORECAST(G17,$I$6:$I$15,$G$6:$G$15)</f>
        <v>8322.2409696969698</v>
      </c>
      <c r="J17" s="86">
        <f t="shared" si="3"/>
        <v>9.440664674285193E-2</v>
      </c>
      <c r="L17" s="83">
        <v>12</v>
      </c>
      <c r="M17" s="84">
        <f t="shared" si="4"/>
        <v>46840</v>
      </c>
      <c r="N17" s="85">
        <f t="shared" ref="N17:N20" si="8">FORECAST(L17,$N$6:$N$15,$L$6:$L$15)</f>
        <v>57.950019455651343</v>
      </c>
      <c r="O17" s="86">
        <f t="shared" si="5"/>
        <v>9.2861002563218831E-2</v>
      </c>
    </row>
    <row r="18" spans="2:15" x14ac:dyDescent="0.35">
      <c r="B18" s="83">
        <v>13</v>
      </c>
      <c r="C18" s="84">
        <f t="shared" si="0"/>
        <v>47205</v>
      </c>
      <c r="D18" s="85">
        <f t="shared" si="6"/>
        <v>90649.563818181836</v>
      </c>
      <c r="E18" s="86">
        <f t="shared" si="1"/>
        <v>8.7346819259328967E-2</v>
      </c>
      <c r="G18" s="83">
        <v>13</v>
      </c>
      <c r="H18" s="84">
        <f t="shared" si="2"/>
        <v>47205</v>
      </c>
      <c r="I18" s="85">
        <f t="shared" si="7"/>
        <v>9040.1412727272727</v>
      </c>
      <c r="J18" s="86">
        <f t="shared" si="3"/>
        <v>8.626285944426848E-2</v>
      </c>
      <c r="L18" s="83">
        <v>13</v>
      </c>
      <c r="M18" s="84">
        <f t="shared" si="4"/>
        <v>47205</v>
      </c>
      <c r="N18" s="85">
        <f t="shared" si="8"/>
        <v>62.874064592762494</v>
      </c>
      <c r="O18" s="86">
        <f t="shared" si="5"/>
        <v>8.4970551923273741E-2</v>
      </c>
    </row>
    <row r="19" spans="2:15" x14ac:dyDescent="0.35">
      <c r="B19" s="83">
        <v>14</v>
      </c>
      <c r="C19" s="84">
        <f t="shared" si="0"/>
        <v>47570</v>
      </c>
      <c r="D19" s="85">
        <f t="shared" si="6"/>
        <v>97931.464060606057</v>
      </c>
      <c r="E19" s="86">
        <f t="shared" si="1"/>
        <v>8.0330229244452989E-2</v>
      </c>
      <c r="G19" s="83">
        <v>14</v>
      </c>
      <c r="H19" s="84">
        <f t="shared" si="2"/>
        <v>47570</v>
      </c>
      <c r="I19" s="85">
        <f t="shared" si="7"/>
        <v>9758.0415757575756</v>
      </c>
      <c r="J19" s="86">
        <f t="shared" si="3"/>
        <v>7.9412509315103241E-2</v>
      </c>
      <c r="L19" s="83">
        <v>14</v>
      </c>
      <c r="M19" s="84">
        <f t="shared" si="4"/>
        <v>47570</v>
      </c>
      <c r="N19" s="85">
        <f t="shared" si="8"/>
        <v>67.79810972987363</v>
      </c>
      <c r="O19" s="86">
        <f t="shared" si="5"/>
        <v>7.8315998321475622E-2</v>
      </c>
    </row>
    <row r="20" spans="2:15" x14ac:dyDescent="0.35">
      <c r="B20" s="83">
        <v>15</v>
      </c>
      <c r="C20" s="84">
        <f t="shared" si="0"/>
        <v>47935</v>
      </c>
      <c r="D20" s="85">
        <f t="shared" si="6"/>
        <v>105213.36430303031</v>
      </c>
      <c r="E20" s="86">
        <f t="shared" si="1"/>
        <v>7.4357105882923991E-2</v>
      </c>
      <c r="G20" s="83">
        <v>15</v>
      </c>
      <c r="H20" s="84">
        <f t="shared" si="2"/>
        <v>47935</v>
      </c>
      <c r="I20" s="85">
        <f t="shared" si="7"/>
        <v>10475.941878787879</v>
      </c>
      <c r="J20" s="86">
        <f t="shared" si="3"/>
        <v>7.3570121366752561E-2</v>
      </c>
      <c r="L20" s="83">
        <v>15</v>
      </c>
      <c r="M20" s="84">
        <f t="shared" si="4"/>
        <v>47935</v>
      </c>
      <c r="N20" s="85">
        <f t="shared" si="8"/>
        <v>72.722154866984781</v>
      </c>
      <c r="O20" s="86">
        <f t="shared" si="5"/>
        <v>7.2628059347523255E-2</v>
      </c>
    </row>
  </sheetData>
  <mergeCells count="4">
    <mergeCell ref="B4:E4"/>
    <mergeCell ref="G4:J4"/>
    <mergeCell ref="L4:O4"/>
    <mergeCell ref="B2:O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showGridLines="0" workbookViewId="0">
      <selection activeCell="F41" sqref="F41"/>
    </sheetView>
  </sheetViews>
  <sheetFormatPr defaultRowHeight="14.5" x14ac:dyDescent="0.35"/>
  <cols>
    <col min="1" max="1" width="2.90625" customWidth="1"/>
    <col min="2" max="2" width="33.7265625" customWidth="1"/>
    <col min="3" max="3" width="11.26953125" bestFit="1" customWidth="1"/>
    <col min="4" max="4" width="12.81640625" customWidth="1"/>
    <col min="5" max="5" width="10.26953125" bestFit="1" customWidth="1"/>
    <col min="6" max="6" width="11.26953125" bestFit="1" customWidth="1"/>
  </cols>
  <sheetData>
    <row r="2" spans="2:11" x14ac:dyDescent="0.35">
      <c r="B2" s="342" t="s">
        <v>221</v>
      </c>
      <c r="C2" s="342"/>
      <c r="D2" s="342"/>
      <c r="E2" s="342"/>
      <c r="F2" s="342"/>
      <c r="G2" s="342"/>
      <c r="H2" s="342"/>
      <c r="I2" s="342"/>
    </row>
    <row r="4" spans="2:11" x14ac:dyDescent="0.35">
      <c r="B4" s="88" t="s">
        <v>222</v>
      </c>
      <c r="C4" s="88"/>
    </row>
    <row r="6" spans="2:11" x14ac:dyDescent="0.35">
      <c r="B6" s="89" t="s">
        <v>282</v>
      </c>
      <c r="C6" s="89"/>
    </row>
    <row r="8" spans="2:11" x14ac:dyDescent="0.35">
      <c r="B8" s="94"/>
      <c r="C8" s="94"/>
      <c r="D8" s="94"/>
      <c r="E8" s="94"/>
      <c r="F8" s="94"/>
      <c r="G8" s="94"/>
      <c r="H8" s="121" t="s">
        <v>223</v>
      </c>
      <c r="I8" s="121" t="s">
        <v>223</v>
      </c>
      <c r="J8" s="121" t="s">
        <v>224</v>
      </c>
      <c r="K8" s="121" t="s">
        <v>225</v>
      </c>
    </row>
    <row r="9" spans="2:11" ht="16.5" x14ac:dyDescent="0.35">
      <c r="B9" s="98" t="s">
        <v>271</v>
      </c>
      <c r="C9" s="98"/>
      <c r="D9" s="98" t="s">
        <v>226</v>
      </c>
      <c r="E9" s="98" t="s">
        <v>227</v>
      </c>
      <c r="F9" s="98" t="s">
        <v>228</v>
      </c>
      <c r="G9" s="98" t="s">
        <v>279</v>
      </c>
      <c r="H9" s="98" t="s">
        <v>229</v>
      </c>
      <c r="I9" s="98" t="s">
        <v>230</v>
      </c>
      <c r="J9" s="98" t="s">
        <v>280</v>
      </c>
      <c r="K9" s="98" t="s">
        <v>281</v>
      </c>
    </row>
    <row r="10" spans="2:11" x14ac:dyDescent="0.35">
      <c r="B10" s="92" t="s">
        <v>272</v>
      </c>
      <c r="C10" s="131"/>
      <c r="D10" s="92" t="s">
        <v>231</v>
      </c>
      <c r="E10" s="119">
        <v>30621</v>
      </c>
      <c r="F10" s="119">
        <v>400897.6</v>
      </c>
      <c r="G10" s="65">
        <v>0.25169999999999998</v>
      </c>
      <c r="H10" s="86">
        <f>E10/F10</f>
        <v>7.6381100809782845E-2</v>
      </c>
      <c r="I10" s="86">
        <f>E10/(E10+F10)</f>
        <v>7.0961019988477911E-2</v>
      </c>
      <c r="J10" s="120">
        <f>'Beta-Regression'!N8</f>
        <v>1.038982304297783</v>
      </c>
      <c r="K10" s="76">
        <f>J10/(1+(1-G10)*H10)</f>
        <v>0.98280890065333715</v>
      </c>
    </row>
    <row r="11" spans="2:11" x14ac:dyDescent="0.35">
      <c r="B11" s="92" t="s">
        <v>273</v>
      </c>
      <c r="D11" s="92" t="s">
        <v>231</v>
      </c>
      <c r="E11" s="119">
        <v>6117.34</v>
      </c>
      <c r="F11" s="119">
        <v>54580.89</v>
      </c>
      <c r="G11" s="65">
        <v>0.25169999999999998</v>
      </c>
      <c r="H11" s="86">
        <f>E11/F11</f>
        <v>0.11207842158674951</v>
      </c>
      <c r="I11" s="86">
        <f>E11/(E11+F11)</f>
        <v>0.10078283996090166</v>
      </c>
      <c r="J11" s="93">
        <v>1.87</v>
      </c>
      <c r="K11" s="76">
        <f>J11/(1+(1-G11)*H11)</f>
        <v>1.7253018928117159</v>
      </c>
    </row>
    <row r="12" spans="2:11" x14ac:dyDescent="0.35">
      <c r="B12" s="92" t="s">
        <v>274</v>
      </c>
      <c r="D12" s="92" t="s">
        <v>231</v>
      </c>
      <c r="E12" s="119">
        <v>2045.4</v>
      </c>
      <c r="F12" s="119">
        <v>21708.34</v>
      </c>
      <c r="G12" s="65">
        <v>0.25169999999999998</v>
      </c>
      <c r="H12" s="86">
        <f t="shared" ref="H12:H16" si="0">E12/F12</f>
        <v>9.422185206238709E-2</v>
      </c>
      <c r="I12" s="86">
        <f t="shared" ref="I12:I16" si="1">E12/(E12+F12)</f>
        <v>8.6108545433266501E-2</v>
      </c>
      <c r="J12" s="93">
        <v>1.1499999999999999</v>
      </c>
      <c r="K12" s="76">
        <f t="shared" ref="K12:K16" si="2">J12/(1+(1-G12)*H12)</f>
        <v>1.0742581287414976</v>
      </c>
    </row>
    <row r="13" spans="2:11" x14ac:dyDescent="0.35">
      <c r="B13" s="92" t="s">
        <v>275</v>
      </c>
      <c r="D13" s="92" t="s">
        <v>231</v>
      </c>
      <c r="E13" s="119">
        <v>913.21</v>
      </c>
      <c r="F13" s="119">
        <v>15108.97</v>
      </c>
      <c r="G13" s="65">
        <v>0.25169999999999998</v>
      </c>
      <c r="H13" s="86">
        <f t="shared" si="0"/>
        <v>6.0441578744282375E-2</v>
      </c>
      <c r="I13" s="86">
        <f t="shared" si="1"/>
        <v>5.6996613444612404E-2</v>
      </c>
      <c r="J13" s="93">
        <v>0.85</v>
      </c>
      <c r="K13" s="76">
        <f t="shared" si="2"/>
        <v>0.81321936225549862</v>
      </c>
    </row>
    <row r="14" spans="2:11" x14ac:dyDescent="0.35">
      <c r="B14" s="92" t="s">
        <v>276</v>
      </c>
      <c r="D14" s="92" t="s">
        <v>231</v>
      </c>
      <c r="E14" s="119">
        <v>1166.56</v>
      </c>
      <c r="F14" s="119">
        <v>12573.54</v>
      </c>
      <c r="G14" s="65">
        <v>0.25169999999999998</v>
      </c>
      <c r="H14" s="86">
        <f t="shared" si="0"/>
        <v>9.2778962806019619E-2</v>
      </c>
      <c r="I14" s="86">
        <f t="shared" si="1"/>
        <v>8.4901856609486098E-2</v>
      </c>
      <c r="J14" s="93">
        <v>1.2</v>
      </c>
      <c r="K14" s="76">
        <f t="shared" si="2"/>
        <v>1.1220967522242966</v>
      </c>
    </row>
    <row r="15" spans="2:11" x14ac:dyDescent="0.35">
      <c r="B15" s="92" t="s">
        <v>277</v>
      </c>
      <c r="D15" s="92" t="s">
        <v>231</v>
      </c>
      <c r="E15" s="119">
        <v>869.11</v>
      </c>
      <c r="F15" s="119">
        <v>12554.85</v>
      </c>
      <c r="G15" s="65">
        <v>0.25169999999999998</v>
      </c>
      <c r="H15" s="86">
        <f t="shared" si="0"/>
        <v>6.9225040522188641E-2</v>
      </c>
      <c r="I15" s="86">
        <f t="shared" si="1"/>
        <v>6.47431905339408E-2</v>
      </c>
      <c r="J15" s="93">
        <v>1.2</v>
      </c>
      <c r="K15" s="76">
        <f t="shared" si="2"/>
        <v>1.1409001212149528</v>
      </c>
    </row>
    <row r="16" spans="2:11" x14ac:dyDescent="0.35">
      <c r="B16" s="92" t="s">
        <v>278</v>
      </c>
      <c r="D16" s="92" t="s">
        <v>231</v>
      </c>
      <c r="E16" s="119">
        <v>1983.89</v>
      </c>
      <c r="F16" s="119">
        <v>12038.2</v>
      </c>
      <c r="G16" s="65">
        <v>0.25169999999999998</v>
      </c>
      <c r="H16" s="86">
        <f t="shared" si="0"/>
        <v>0.16479955475071023</v>
      </c>
      <c r="I16" s="86">
        <f t="shared" si="1"/>
        <v>0.14148318831215603</v>
      </c>
      <c r="J16" s="93">
        <v>1.28</v>
      </c>
      <c r="K16" s="76">
        <f t="shared" si="2"/>
        <v>1.1394799006238179</v>
      </c>
    </row>
    <row r="17" spans="2:11" x14ac:dyDescent="0.35">
      <c r="B17" s="90"/>
      <c r="C17" s="90"/>
      <c r="D17" s="90"/>
      <c r="E17" s="90"/>
      <c r="F17" s="94" t="s">
        <v>232</v>
      </c>
      <c r="G17" s="95">
        <f>AVERAGE(G11:G15)</f>
        <v>0.25169999999999998</v>
      </c>
      <c r="H17" s="96">
        <f t="shared" ref="H17:I17" si="3">AVERAGE(H11:H15)</f>
        <v>8.574917114432544E-2</v>
      </c>
      <c r="I17" s="96">
        <f t="shared" si="3"/>
        <v>7.8706609196441485E-2</v>
      </c>
      <c r="J17" s="97">
        <f>AVERAGE(J11:J16)</f>
        <v>1.2583333333333335</v>
      </c>
      <c r="K17" s="97">
        <f>AVERAGE(K11:K16)</f>
        <v>1.1692093596452966</v>
      </c>
    </row>
    <row r="18" spans="2:11" x14ac:dyDescent="0.35">
      <c r="B18" s="91"/>
      <c r="C18" s="91"/>
      <c r="D18" s="91"/>
      <c r="E18" s="91"/>
      <c r="F18" s="98" t="s">
        <v>188</v>
      </c>
      <c r="G18" s="99">
        <f>MEDIAN(G11:G15)</f>
        <v>0.25169999999999998</v>
      </c>
      <c r="H18" s="100">
        <f t="shared" ref="H18:K18" si="4">MEDIAN(H11:H15)</f>
        <v>9.2778962806019619E-2</v>
      </c>
      <c r="I18" s="100">
        <f t="shared" si="4"/>
        <v>8.4901856609486098E-2</v>
      </c>
      <c r="J18" s="101">
        <f t="shared" si="4"/>
        <v>1.2</v>
      </c>
      <c r="K18" s="101">
        <f t="shared" si="4"/>
        <v>1.1220967522242966</v>
      </c>
    </row>
    <row r="21" spans="2:11" x14ac:dyDescent="0.35">
      <c r="B21" s="98" t="s">
        <v>233</v>
      </c>
      <c r="C21" s="98"/>
      <c r="D21" s="98"/>
      <c r="E21" s="91"/>
      <c r="F21" s="91"/>
      <c r="G21" s="102" t="s">
        <v>234</v>
      </c>
      <c r="H21" s="103"/>
      <c r="I21" s="103"/>
      <c r="J21" s="103"/>
      <c r="K21" s="103"/>
    </row>
    <row r="22" spans="2:11" x14ac:dyDescent="0.35">
      <c r="G22" s="14"/>
      <c r="H22" s="14"/>
      <c r="I22" s="14"/>
      <c r="J22" s="14"/>
      <c r="K22" s="14"/>
    </row>
    <row r="23" spans="2:11" x14ac:dyDescent="0.35">
      <c r="B23" t="s">
        <v>235</v>
      </c>
      <c r="E23" s="25">
        <f>Historical_FS!L22/WACC!E10</f>
        <v>3.8535645472061654E-2</v>
      </c>
      <c r="G23" s="14" t="s">
        <v>236</v>
      </c>
      <c r="H23" s="14"/>
      <c r="I23" s="14"/>
      <c r="J23" s="14"/>
      <c r="K23" s="104">
        <v>7.1999999999999995E-2</v>
      </c>
    </row>
    <row r="24" spans="2:11" x14ac:dyDescent="0.35">
      <c r="B24" t="s">
        <v>237</v>
      </c>
      <c r="E24" s="63">
        <f>G10</f>
        <v>0.25169999999999998</v>
      </c>
      <c r="G24" s="14" t="s">
        <v>238</v>
      </c>
      <c r="H24" s="14"/>
      <c r="I24" s="14"/>
      <c r="J24" s="14"/>
      <c r="K24" s="128">
        <f>Rm!F7-WACC!K23</f>
        <v>9.2492307692307721E-2</v>
      </c>
    </row>
    <row r="25" spans="2:11" ht="16.5" x14ac:dyDescent="0.35">
      <c r="B25" s="46" t="s">
        <v>239</v>
      </c>
      <c r="C25" s="46"/>
      <c r="D25" s="46"/>
      <c r="E25" s="48">
        <f>E23*(1-E24)</f>
        <v>2.8836223506743735E-2</v>
      </c>
      <c r="G25" s="14" t="s">
        <v>240</v>
      </c>
      <c r="H25" s="14"/>
      <c r="I25" s="14"/>
      <c r="J25" s="14"/>
      <c r="K25" s="105">
        <f>K34</f>
        <v>1.2</v>
      </c>
    </row>
    <row r="26" spans="2:11" x14ac:dyDescent="0.35">
      <c r="G26" s="106" t="s">
        <v>234</v>
      </c>
      <c r="H26" s="106"/>
      <c r="I26" s="106"/>
      <c r="J26" s="106"/>
      <c r="K26" s="107">
        <f>K23+(K24)*K25</f>
        <v>0.18299076923076926</v>
      </c>
    </row>
    <row r="27" spans="2:11" x14ac:dyDescent="0.35">
      <c r="G27" s="14"/>
      <c r="H27" s="14"/>
      <c r="I27" s="14"/>
      <c r="J27" s="14"/>
      <c r="K27" s="14"/>
    </row>
    <row r="28" spans="2:11" x14ac:dyDescent="0.35">
      <c r="G28" s="14"/>
      <c r="H28" s="14"/>
      <c r="I28" s="14"/>
      <c r="J28" s="14"/>
      <c r="K28" s="14"/>
    </row>
    <row r="29" spans="2:11" x14ac:dyDescent="0.35">
      <c r="B29" s="123" t="s">
        <v>241</v>
      </c>
      <c r="C29" s="123"/>
      <c r="D29" s="8"/>
      <c r="E29" s="8"/>
      <c r="G29" s="102" t="s">
        <v>242</v>
      </c>
      <c r="H29" s="102"/>
      <c r="I29" s="103"/>
      <c r="J29" s="103"/>
      <c r="K29" s="103"/>
    </row>
    <row r="30" spans="2:11" x14ac:dyDescent="0.35">
      <c r="B30" s="46"/>
      <c r="C30" s="46"/>
      <c r="D30" s="46"/>
      <c r="E30" s="46"/>
      <c r="G30" s="14"/>
      <c r="H30" s="14"/>
      <c r="I30" s="14"/>
      <c r="J30" s="14"/>
      <c r="K30" s="14"/>
    </row>
    <row r="31" spans="2:11" x14ac:dyDescent="0.35">
      <c r="B31" s="8"/>
      <c r="C31" s="8"/>
      <c r="D31" s="108" t="s">
        <v>243</v>
      </c>
      <c r="E31" s="108" t="s">
        <v>244</v>
      </c>
      <c r="G31" s="14" t="s">
        <v>245</v>
      </c>
      <c r="H31" s="14"/>
      <c r="I31" s="14"/>
      <c r="J31" s="14"/>
      <c r="K31" s="105">
        <f>K18</f>
        <v>1.1220967522242966</v>
      </c>
    </row>
    <row r="32" spans="2:11" x14ac:dyDescent="0.35">
      <c r="B32" s="8" t="s">
        <v>227</v>
      </c>
      <c r="C32" s="132">
        <f>E10</f>
        <v>30621</v>
      </c>
      <c r="D32" s="44">
        <f>C32/$C$33</f>
        <v>7.6381100809782845E-2</v>
      </c>
      <c r="E32" s="124">
        <f>I18</f>
        <v>8.4901856609486098E-2</v>
      </c>
      <c r="G32" s="14" t="s">
        <v>246</v>
      </c>
      <c r="H32" s="14"/>
      <c r="I32" s="14"/>
      <c r="J32" s="14"/>
      <c r="K32" s="109">
        <f>E36</f>
        <v>9.2778962806019619E-2</v>
      </c>
    </row>
    <row r="33" spans="2:11" x14ac:dyDescent="0.35">
      <c r="B33" s="49" t="s">
        <v>9</v>
      </c>
      <c r="C33" s="132">
        <f>F10</f>
        <v>400897.6</v>
      </c>
      <c r="D33" s="51">
        <f>D34-D32</f>
        <v>0.92361889919021711</v>
      </c>
      <c r="E33" s="66">
        <f>E34-E32</f>
        <v>0.91509814339051387</v>
      </c>
      <c r="G33" s="14" t="s">
        <v>237</v>
      </c>
      <c r="H33" s="14"/>
      <c r="I33" s="14"/>
      <c r="J33" s="14"/>
      <c r="K33" s="109">
        <f>G10</f>
        <v>0.25169999999999998</v>
      </c>
    </row>
    <row r="34" spans="2:11" x14ac:dyDescent="0.35">
      <c r="B34" s="8" t="s">
        <v>247</v>
      </c>
      <c r="C34" s="132">
        <f>SUM(C32:C33)</f>
        <v>431518.6</v>
      </c>
      <c r="D34" s="122">
        <v>1</v>
      </c>
      <c r="E34" s="65">
        <v>1</v>
      </c>
      <c r="G34" s="110" t="s">
        <v>248</v>
      </c>
      <c r="H34" s="110"/>
      <c r="I34" s="110"/>
      <c r="J34" s="110"/>
      <c r="K34" s="111">
        <f>K31*(1+(1-K33)*K32)</f>
        <v>1.2</v>
      </c>
    </row>
    <row r="35" spans="2:11" x14ac:dyDescent="0.35">
      <c r="G35" s="14"/>
      <c r="H35" s="14"/>
      <c r="I35" s="14"/>
      <c r="J35" s="14"/>
      <c r="K35" s="14"/>
    </row>
    <row r="36" spans="2:11" x14ac:dyDescent="0.35">
      <c r="B36" s="11" t="s">
        <v>249</v>
      </c>
      <c r="C36" s="11"/>
      <c r="D36" s="129">
        <f>D32/D33</f>
        <v>8.2697637387833853E-2</v>
      </c>
      <c r="E36" s="130">
        <f>E32/E33</f>
        <v>9.2778962806019619E-2</v>
      </c>
      <c r="G36" s="102" t="s">
        <v>221</v>
      </c>
      <c r="H36" s="102"/>
      <c r="I36" s="102"/>
      <c r="J36" s="103"/>
      <c r="K36" s="103"/>
    </row>
    <row r="37" spans="2:11" x14ac:dyDescent="0.35">
      <c r="G37" s="112"/>
      <c r="H37" s="112"/>
      <c r="I37" s="112"/>
      <c r="J37" s="112"/>
      <c r="K37" s="112"/>
    </row>
    <row r="38" spans="2:11" x14ac:dyDescent="0.35">
      <c r="B38" s="343" t="s">
        <v>250</v>
      </c>
      <c r="C38" s="343"/>
      <c r="D38" s="343"/>
      <c r="E38" s="343"/>
      <c r="G38" s="14" t="s">
        <v>234</v>
      </c>
      <c r="H38" s="14"/>
      <c r="I38" s="14"/>
      <c r="J38" s="14"/>
      <c r="K38" s="109">
        <f>K26</f>
        <v>0.18299076923076926</v>
      </c>
    </row>
    <row r="39" spans="2:11" x14ac:dyDescent="0.35">
      <c r="B39" s="341" t="s">
        <v>251</v>
      </c>
      <c r="C39" s="341"/>
      <c r="D39" s="341"/>
      <c r="E39" s="341"/>
      <c r="G39" s="14" t="s">
        <v>252</v>
      </c>
      <c r="H39" s="14"/>
      <c r="I39" s="14"/>
      <c r="J39" s="109"/>
      <c r="K39" s="109">
        <f>E33</f>
        <v>0.91509814339051387</v>
      </c>
    </row>
    <row r="40" spans="2:11" x14ac:dyDescent="0.35">
      <c r="B40" s="341" t="s">
        <v>289</v>
      </c>
      <c r="C40" s="341"/>
      <c r="D40" s="341"/>
      <c r="E40" s="341"/>
      <c r="G40" s="14"/>
      <c r="H40" s="14"/>
      <c r="I40" s="14"/>
      <c r="J40" s="109"/>
      <c r="K40" s="109"/>
    </row>
    <row r="41" spans="2:11" x14ac:dyDescent="0.35">
      <c r="B41" s="341" t="s">
        <v>253</v>
      </c>
      <c r="C41" s="341"/>
      <c r="D41" s="341"/>
      <c r="E41" s="341"/>
      <c r="G41" s="113" t="s">
        <v>254</v>
      </c>
      <c r="H41" s="113"/>
      <c r="I41" s="113"/>
      <c r="J41" s="113"/>
      <c r="K41" s="114">
        <f>E25</f>
        <v>2.8836223506743735E-2</v>
      </c>
    </row>
    <row r="42" spans="2:11" x14ac:dyDescent="0.35">
      <c r="B42" s="341" t="s">
        <v>255</v>
      </c>
      <c r="C42" s="341"/>
      <c r="D42" s="341"/>
      <c r="E42" s="341"/>
      <c r="G42" s="113" t="s">
        <v>256</v>
      </c>
      <c r="H42" s="14"/>
      <c r="I42" s="14"/>
      <c r="J42" s="14"/>
      <c r="K42" s="109">
        <f>E32</f>
        <v>8.4901856609486098E-2</v>
      </c>
    </row>
    <row r="43" spans="2:11" x14ac:dyDescent="0.35">
      <c r="G43" s="294" t="s">
        <v>257</v>
      </c>
      <c r="H43" s="294"/>
      <c r="I43" s="294"/>
      <c r="J43" s="294"/>
      <c r="K43" s="295">
        <f>(K38*K39)+(K41*K42)</f>
        <v>0.16990276209400756</v>
      </c>
    </row>
  </sheetData>
  <mergeCells count="6">
    <mergeCell ref="B42:E42"/>
    <mergeCell ref="B2:I2"/>
    <mergeCell ref="B38:E38"/>
    <mergeCell ref="B39:E39"/>
    <mergeCell ref="B40:E40"/>
    <mergeCell ref="B41:E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109"/>
  <sheetViews>
    <sheetView showGridLines="0" workbookViewId="0">
      <selection activeCell="I4" sqref="I4:K4"/>
    </sheetView>
  </sheetViews>
  <sheetFormatPr defaultRowHeight="14.5" x14ac:dyDescent="0.35"/>
  <cols>
    <col min="1" max="1" width="4.453125" customWidth="1"/>
    <col min="2" max="2" width="13.36328125" bestFit="1" customWidth="1"/>
    <col min="3" max="3" width="10" customWidth="1"/>
    <col min="4" max="4" width="10.6328125" customWidth="1"/>
    <col min="6" max="6" width="12.6328125" customWidth="1"/>
    <col min="7" max="7" width="11.6328125" customWidth="1"/>
    <col min="13" max="13" width="11.54296875" customWidth="1"/>
    <col min="14" max="14" width="9.36328125" bestFit="1" customWidth="1"/>
  </cols>
  <sheetData>
    <row r="2" spans="2:14" x14ac:dyDescent="0.35">
      <c r="B2" s="283" t="s">
        <v>258</v>
      </c>
      <c r="C2" s="286"/>
      <c r="D2" s="286"/>
      <c r="E2" s="286"/>
      <c r="F2" s="286"/>
      <c r="G2" s="286"/>
      <c r="H2" s="286"/>
      <c r="I2" s="286"/>
      <c r="J2" s="286"/>
      <c r="K2" s="286"/>
      <c r="L2" s="286"/>
      <c r="M2" s="286"/>
      <c r="N2" s="286"/>
    </row>
    <row r="4" spans="2:14" x14ac:dyDescent="0.35">
      <c r="B4" s="336" t="s">
        <v>270</v>
      </c>
      <c r="C4" s="336"/>
      <c r="D4" s="336"/>
      <c r="F4" s="336" t="s">
        <v>287</v>
      </c>
      <c r="G4" s="336"/>
      <c r="I4" s="336" t="s">
        <v>265</v>
      </c>
      <c r="J4" s="336"/>
      <c r="K4" s="336"/>
    </row>
    <row r="5" spans="2:14" x14ac:dyDescent="0.35">
      <c r="B5" s="118" t="s">
        <v>259</v>
      </c>
      <c r="C5" s="118" t="s">
        <v>260</v>
      </c>
      <c r="D5" s="98" t="s">
        <v>261</v>
      </c>
      <c r="F5" s="118" t="s">
        <v>260</v>
      </c>
      <c r="G5" s="118" t="s">
        <v>261</v>
      </c>
    </row>
    <row r="6" spans="2:14" ht="16.5" x14ac:dyDescent="0.35">
      <c r="B6" s="116">
        <v>46292</v>
      </c>
      <c r="C6" s="117">
        <v>4515.7</v>
      </c>
      <c r="D6" s="42" t="s">
        <v>97</v>
      </c>
      <c r="F6" s="115">
        <v>22421.95</v>
      </c>
      <c r="G6" s="42" t="s">
        <v>97</v>
      </c>
      <c r="I6" s="90" t="s">
        <v>242</v>
      </c>
      <c r="J6" s="90"/>
      <c r="K6" s="90">
        <v>1.04</v>
      </c>
      <c r="M6" t="s">
        <v>262</v>
      </c>
      <c r="N6" s="76">
        <f>SLOPE(D7:D109,G7:G109)</f>
        <v>1.0389823042977828</v>
      </c>
    </row>
    <row r="7" spans="2:14" ht="16.5" x14ac:dyDescent="0.35">
      <c r="B7" s="116">
        <v>46285</v>
      </c>
      <c r="C7" s="117">
        <v>4884</v>
      </c>
      <c r="D7" s="25">
        <f>(C7/C6)-1</f>
        <v>8.1559891046792288E-2</v>
      </c>
      <c r="F7" s="115">
        <v>23140.5</v>
      </c>
      <c r="G7" s="25">
        <f>(F7/F6)-1</f>
        <v>3.2046722073682199E-2</v>
      </c>
      <c r="I7" s="91" t="s">
        <v>266</v>
      </c>
      <c r="J7" s="91"/>
      <c r="K7" s="99">
        <v>0.75</v>
      </c>
      <c r="M7" t="s">
        <v>263</v>
      </c>
      <c r="N7" s="76">
        <f>_xlfn.COVARIANCE.S(D6:D109,G6:G109)/_xlfn.VAR.S(G6:G109)</f>
        <v>1.0389823042977828</v>
      </c>
    </row>
    <row r="8" spans="2:14" ht="16.5" x14ac:dyDescent="0.35">
      <c r="B8" s="116">
        <v>46278</v>
      </c>
      <c r="C8" s="117">
        <v>4798.5</v>
      </c>
      <c r="D8" s="25">
        <f t="shared" ref="D8:D71" si="0">(C8/C7)-1</f>
        <v>-1.7506142506142464E-2</v>
      </c>
      <c r="F8" s="115">
        <v>23346.400000000001</v>
      </c>
      <c r="G8" s="25">
        <f t="shared" ref="G8:G71" si="1">(F8/F7)-1</f>
        <v>8.8978198396751917E-3</v>
      </c>
      <c r="M8" t="s">
        <v>264</v>
      </c>
      <c r="N8" s="76">
        <f>N31</f>
        <v>1.038982304297783</v>
      </c>
    </row>
    <row r="9" spans="2:14" x14ac:dyDescent="0.35">
      <c r="B9" s="116">
        <v>46271</v>
      </c>
      <c r="C9" s="117">
        <v>5009.5</v>
      </c>
      <c r="D9" s="25">
        <f t="shared" si="0"/>
        <v>4.3972074606647871E-2</v>
      </c>
      <c r="F9" s="115">
        <v>23398.1</v>
      </c>
      <c r="G9" s="25">
        <f t="shared" si="1"/>
        <v>2.214474180173287E-3</v>
      </c>
      <c r="I9" s="90" t="s">
        <v>267</v>
      </c>
      <c r="J9" s="90"/>
      <c r="K9" s="97">
        <v>1</v>
      </c>
    </row>
    <row r="10" spans="2:14" x14ac:dyDescent="0.35">
      <c r="B10" s="116">
        <v>46264</v>
      </c>
      <c r="C10" s="117">
        <v>5020</v>
      </c>
      <c r="D10" s="25">
        <f t="shared" si="0"/>
        <v>2.0960175666233649E-3</v>
      </c>
      <c r="F10" s="115">
        <v>23897.7</v>
      </c>
      <c r="G10" s="25">
        <f t="shared" si="1"/>
        <v>2.1352161072907716E-2</v>
      </c>
      <c r="I10" s="91" t="s">
        <v>268</v>
      </c>
      <c r="J10" s="91"/>
      <c r="K10" s="99">
        <v>0.25</v>
      </c>
    </row>
    <row r="11" spans="2:14" x14ac:dyDescent="0.35">
      <c r="B11" s="116">
        <v>46257</v>
      </c>
      <c r="C11" s="117">
        <v>5169.2</v>
      </c>
      <c r="D11" s="25">
        <f t="shared" si="0"/>
        <v>2.9721115537848508E-2</v>
      </c>
      <c r="F11" s="115">
        <v>24175.65</v>
      </c>
      <c r="G11" s="25">
        <f t="shared" si="1"/>
        <v>1.1630826397519556E-2</v>
      </c>
    </row>
    <row r="12" spans="2:14" x14ac:dyDescent="0.35">
      <c r="B12" s="116">
        <v>46250</v>
      </c>
      <c r="C12" s="117">
        <v>5086.1000000000004</v>
      </c>
      <c r="D12" s="25">
        <f t="shared" si="0"/>
        <v>-1.6075988547550768E-2</v>
      </c>
      <c r="F12" s="115">
        <v>24252</v>
      </c>
      <c r="G12" s="25">
        <f t="shared" si="1"/>
        <v>3.1581363893007364E-3</v>
      </c>
      <c r="I12" s="35" t="s">
        <v>269</v>
      </c>
      <c r="J12" s="35"/>
      <c r="K12" s="35">
        <f>(K6*K7)+(K9*K10)</f>
        <v>1.03</v>
      </c>
    </row>
    <row r="13" spans="2:14" x14ac:dyDescent="0.35">
      <c r="B13" s="116">
        <v>46243</v>
      </c>
      <c r="C13" s="117">
        <v>5056.2</v>
      </c>
      <c r="D13" s="25">
        <f t="shared" si="0"/>
        <v>-5.878767621556924E-3</v>
      </c>
      <c r="F13" s="115">
        <v>24366</v>
      </c>
      <c r="G13" s="25">
        <f t="shared" si="1"/>
        <v>4.7006432459177905E-3</v>
      </c>
    </row>
    <row r="14" spans="2:14" x14ac:dyDescent="0.35">
      <c r="B14" s="116">
        <v>46236</v>
      </c>
      <c r="C14" s="117">
        <v>4941</v>
      </c>
      <c r="D14" s="25">
        <f t="shared" si="0"/>
        <v>-2.2783908864364544E-2</v>
      </c>
      <c r="F14" s="115">
        <v>24570.65</v>
      </c>
      <c r="G14" s="25">
        <f t="shared" si="1"/>
        <v>8.3989986046131282E-3</v>
      </c>
      <c r="M14" t="s">
        <v>192</v>
      </c>
    </row>
    <row r="15" spans="2:14" ht="15" thickBot="1" x14ac:dyDescent="0.4">
      <c r="B15" s="116">
        <v>46229</v>
      </c>
      <c r="C15" s="117">
        <v>4875.2</v>
      </c>
      <c r="D15" s="25">
        <f t="shared" si="0"/>
        <v>-1.3317142278890914E-2</v>
      </c>
      <c r="F15" s="115">
        <v>24383.599999999999</v>
      </c>
      <c r="G15" s="25">
        <f t="shared" si="1"/>
        <v>-7.6127412176724141E-3</v>
      </c>
    </row>
    <row r="16" spans="2:14" x14ac:dyDescent="0.35">
      <c r="B16" s="116">
        <v>46222</v>
      </c>
      <c r="C16" s="117">
        <v>4677</v>
      </c>
      <c r="D16" s="25">
        <f t="shared" si="0"/>
        <v>-4.0654742369543806E-2</v>
      </c>
      <c r="F16" s="115">
        <v>23767.45</v>
      </c>
      <c r="G16" s="25">
        <f t="shared" si="1"/>
        <v>-2.5269033284666675E-2</v>
      </c>
      <c r="M16" s="80" t="s">
        <v>193</v>
      </c>
      <c r="N16" s="80"/>
    </row>
    <row r="17" spans="2:21" x14ac:dyDescent="0.35">
      <c r="B17" s="116">
        <v>46215</v>
      </c>
      <c r="C17" s="117">
        <v>4638.1000000000004</v>
      </c>
      <c r="D17" s="25">
        <f t="shared" si="0"/>
        <v>-8.3172974128714605E-3</v>
      </c>
      <c r="F17" s="115">
        <v>24334.3</v>
      </c>
      <c r="G17" s="25">
        <f t="shared" si="1"/>
        <v>2.3849845061207686E-2</v>
      </c>
      <c r="M17" s="77" t="s">
        <v>194</v>
      </c>
      <c r="N17" s="77">
        <v>0.57722073466587631</v>
      </c>
    </row>
    <row r="18" spans="2:21" x14ac:dyDescent="0.35">
      <c r="B18" s="116">
        <v>46208</v>
      </c>
      <c r="C18" s="117">
        <v>4584.3999999999996</v>
      </c>
      <c r="D18" s="25">
        <f t="shared" si="0"/>
        <v>-1.1578016860352425E-2</v>
      </c>
      <c r="F18" s="115">
        <v>24206.9</v>
      </c>
      <c r="G18" s="25">
        <f t="shared" si="1"/>
        <v>-5.2354084563762671E-3</v>
      </c>
      <c r="M18" s="77" t="s">
        <v>195</v>
      </c>
      <c r="N18" s="77">
        <v>0.33318377652821396</v>
      </c>
    </row>
    <row r="19" spans="2:21" x14ac:dyDescent="0.35">
      <c r="B19" s="116">
        <v>46201</v>
      </c>
      <c r="C19" s="117">
        <v>4461.1000000000004</v>
      </c>
      <c r="D19" s="25">
        <f t="shared" si="0"/>
        <v>-2.6895558851757984E-2</v>
      </c>
      <c r="F19" s="115">
        <v>24270.85</v>
      </c>
      <c r="G19" s="25">
        <f t="shared" si="1"/>
        <v>2.6418087404829205E-3</v>
      </c>
      <c r="M19" s="77" t="s">
        <v>196</v>
      </c>
      <c r="N19" s="77">
        <v>0.32658163570176063</v>
      </c>
    </row>
    <row r="20" spans="2:21" x14ac:dyDescent="0.35">
      <c r="B20" s="116">
        <v>46194</v>
      </c>
      <c r="C20" s="117">
        <v>4291.3</v>
      </c>
      <c r="D20" s="25">
        <f t="shared" si="0"/>
        <v>-3.8062361301024472E-2</v>
      </c>
      <c r="F20" s="115">
        <v>24056</v>
      </c>
      <c r="G20" s="25">
        <f t="shared" si="1"/>
        <v>-8.8521827624495897E-3</v>
      </c>
      <c r="M20" s="77" t="s">
        <v>197</v>
      </c>
      <c r="N20" s="77">
        <v>2.6497713365889509E-2</v>
      </c>
    </row>
    <row r="21" spans="2:21" ht="15" thickBot="1" x14ac:dyDescent="0.4">
      <c r="B21" s="116">
        <v>46187</v>
      </c>
      <c r="C21" s="117">
        <v>4419.8999999999996</v>
      </c>
      <c r="D21" s="25">
        <f t="shared" si="0"/>
        <v>2.9967608883088914E-2</v>
      </c>
      <c r="F21" s="115">
        <v>24013.1</v>
      </c>
      <c r="G21" s="25">
        <f t="shared" si="1"/>
        <v>-1.7833388759561641E-3</v>
      </c>
      <c r="M21" s="78" t="s">
        <v>198</v>
      </c>
      <c r="N21" s="78">
        <v>103</v>
      </c>
    </row>
    <row r="22" spans="2:21" x14ac:dyDescent="0.35">
      <c r="B22" s="116">
        <v>46180</v>
      </c>
      <c r="C22" s="117">
        <v>4184</v>
      </c>
      <c r="D22" s="25">
        <f t="shared" si="0"/>
        <v>-5.3372248240910358E-2</v>
      </c>
      <c r="F22" s="115">
        <v>23622.9</v>
      </c>
      <c r="G22" s="25">
        <f t="shared" si="1"/>
        <v>-1.6249463834323685E-2</v>
      </c>
    </row>
    <row r="23" spans="2:21" ht="15" thickBot="1" x14ac:dyDescent="0.4">
      <c r="B23" s="116">
        <v>46173</v>
      </c>
      <c r="C23" s="117">
        <v>4260.2</v>
      </c>
      <c r="D23" s="25">
        <f t="shared" si="0"/>
        <v>1.8212237093690131E-2</v>
      </c>
      <c r="F23" s="115">
        <v>23366.7</v>
      </c>
      <c r="G23" s="25">
        <f t="shared" si="1"/>
        <v>-1.0845408480753882E-2</v>
      </c>
      <c r="M23" t="s">
        <v>199</v>
      </c>
    </row>
    <row r="24" spans="2:21" x14ac:dyDescent="0.35">
      <c r="B24" s="116">
        <v>46166</v>
      </c>
      <c r="C24" s="117">
        <v>4074.9</v>
      </c>
      <c r="D24" s="25">
        <f t="shared" si="0"/>
        <v>-4.3495610534716622E-2</v>
      </c>
      <c r="F24" s="115">
        <v>23547.75</v>
      </c>
      <c r="G24" s="25">
        <f t="shared" si="1"/>
        <v>7.7482057800202231E-3</v>
      </c>
      <c r="M24" s="79"/>
      <c r="N24" s="79" t="s">
        <v>203</v>
      </c>
      <c r="O24" s="79" t="s">
        <v>204</v>
      </c>
      <c r="P24" s="79" t="s">
        <v>205</v>
      </c>
      <c r="Q24" s="79" t="s">
        <v>206</v>
      </c>
      <c r="R24" s="79" t="s">
        <v>207</v>
      </c>
    </row>
    <row r="25" spans="2:21" x14ac:dyDescent="0.35">
      <c r="B25" s="116">
        <v>46159</v>
      </c>
      <c r="C25" s="117">
        <v>4079.8</v>
      </c>
      <c r="D25" s="25">
        <f t="shared" si="0"/>
        <v>1.2024834965276288E-3</v>
      </c>
      <c r="F25" s="115">
        <v>23719.3</v>
      </c>
      <c r="G25" s="25">
        <f t="shared" si="1"/>
        <v>7.2851970995104764E-3</v>
      </c>
      <c r="M25" s="77" t="s">
        <v>200</v>
      </c>
      <c r="N25" s="77">
        <v>1</v>
      </c>
      <c r="O25" s="77">
        <v>3.5433647339682295E-2</v>
      </c>
      <c r="P25" s="77">
        <v>3.5433647339682295E-2</v>
      </c>
      <c r="Q25" s="77">
        <v>50.466020838758816</v>
      </c>
      <c r="R25" s="77">
        <v>1.7442259448747577E-10</v>
      </c>
    </row>
    <row r="26" spans="2:21" x14ac:dyDescent="0.35">
      <c r="B26" s="116">
        <v>46152</v>
      </c>
      <c r="C26" s="117">
        <v>4169.1000000000004</v>
      </c>
      <c r="D26" s="25">
        <f t="shared" si="0"/>
        <v>2.18883278592088E-2</v>
      </c>
      <c r="F26" s="115">
        <v>23643.5</v>
      </c>
      <c r="G26" s="25">
        <f t="shared" si="1"/>
        <v>-3.1957098228024838E-3</v>
      </c>
      <c r="M26" s="77" t="s">
        <v>201</v>
      </c>
      <c r="N26" s="77">
        <v>101</v>
      </c>
      <c r="O26" s="77">
        <v>7.0915010175704798E-2</v>
      </c>
      <c r="P26" s="77">
        <v>7.0212881362083954E-4</v>
      </c>
      <c r="Q26" s="77"/>
      <c r="R26" s="77"/>
    </row>
    <row r="27" spans="2:21" ht="15" thickBot="1" x14ac:dyDescent="0.4">
      <c r="B27" s="116">
        <v>46145</v>
      </c>
      <c r="C27" s="117">
        <v>4509</v>
      </c>
      <c r="D27" s="25">
        <f t="shared" si="0"/>
        <v>8.1528387421745618E-2</v>
      </c>
      <c r="F27" s="115">
        <v>24176.15</v>
      </c>
      <c r="G27" s="25">
        <f t="shared" si="1"/>
        <v>2.2528390466724613E-2</v>
      </c>
      <c r="M27" s="78" t="s">
        <v>35</v>
      </c>
      <c r="N27" s="78">
        <v>102</v>
      </c>
      <c r="O27" s="78">
        <v>0.10634865751538709</v>
      </c>
      <c r="P27" s="78"/>
      <c r="Q27" s="78"/>
      <c r="R27" s="78"/>
    </row>
    <row r="28" spans="2:21" ht="15" thickBot="1" x14ac:dyDescent="0.4">
      <c r="B28" s="116">
        <v>46138</v>
      </c>
      <c r="C28" s="117">
        <v>4385.2</v>
      </c>
      <c r="D28" s="25">
        <f t="shared" si="0"/>
        <v>-2.7456198713683766E-2</v>
      </c>
      <c r="F28" s="115">
        <v>23997.55</v>
      </c>
      <c r="G28" s="25">
        <f t="shared" si="1"/>
        <v>-7.3874458919225283E-3</v>
      </c>
    </row>
    <row r="29" spans="2:21" x14ac:dyDescent="0.35">
      <c r="B29" s="116">
        <v>46131</v>
      </c>
      <c r="C29" s="117">
        <v>4410</v>
      </c>
      <c r="D29" s="25">
        <f t="shared" si="0"/>
        <v>5.6553862993706794E-3</v>
      </c>
      <c r="F29" s="115">
        <v>23897.95</v>
      </c>
      <c r="G29" s="25">
        <f t="shared" si="1"/>
        <v>-4.1504236890849144E-3</v>
      </c>
      <c r="M29" s="79"/>
      <c r="N29" s="79" t="s">
        <v>208</v>
      </c>
      <c r="O29" s="79" t="s">
        <v>197</v>
      </c>
      <c r="P29" s="79" t="s">
        <v>209</v>
      </c>
      <c r="Q29" s="79" t="s">
        <v>210</v>
      </c>
      <c r="R29" s="79" t="s">
        <v>211</v>
      </c>
      <c r="S29" s="79" t="s">
        <v>212</v>
      </c>
      <c r="T29" s="79" t="s">
        <v>213</v>
      </c>
      <c r="U29" s="79" t="s">
        <v>214</v>
      </c>
    </row>
    <row r="30" spans="2:21" x14ac:dyDescent="0.35">
      <c r="B30" s="116">
        <v>46124</v>
      </c>
      <c r="C30" s="117">
        <v>4525.8999999999996</v>
      </c>
      <c r="D30" s="25">
        <f t="shared" si="0"/>
        <v>2.6281179138321953E-2</v>
      </c>
      <c r="F30" s="115">
        <v>24353.55</v>
      </c>
      <c r="G30" s="25">
        <f t="shared" si="1"/>
        <v>1.9064396736958589E-2</v>
      </c>
      <c r="M30" s="77" t="s">
        <v>202</v>
      </c>
      <c r="N30" s="77">
        <v>-3.2777399150192028E-3</v>
      </c>
      <c r="O30" s="77">
        <v>2.6168142558068977E-3</v>
      </c>
      <c r="P30" s="77">
        <v>-1.2525688087129851</v>
      </c>
      <c r="Q30" s="77">
        <v>0.2132551556267781</v>
      </c>
      <c r="R30" s="77">
        <v>-8.4687954832395433E-3</v>
      </c>
      <c r="S30" s="77">
        <v>1.9133156532011386E-3</v>
      </c>
      <c r="T30" s="77">
        <v>-8.4687954832395433E-3</v>
      </c>
      <c r="U30" s="77">
        <v>1.9133156532011386E-3</v>
      </c>
    </row>
    <row r="31" spans="2:21" ht="15" thickBot="1" x14ac:dyDescent="0.4">
      <c r="B31" s="116">
        <v>46117</v>
      </c>
      <c r="C31" s="117">
        <v>4505</v>
      </c>
      <c r="D31" s="25">
        <f t="shared" si="0"/>
        <v>-4.6178660597890886E-3</v>
      </c>
      <c r="F31" s="115">
        <v>24050.6</v>
      </c>
      <c r="G31" s="25">
        <f t="shared" si="1"/>
        <v>-1.2439664853789334E-2</v>
      </c>
      <c r="M31" s="78" t="s">
        <v>215</v>
      </c>
      <c r="N31" s="78">
        <v>1.038982304297783</v>
      </c>
      <c r="O31" s="78">
        <v>0.14625429188622921</v>
      </c>
      <c r="P31" s="78">
        <v>7.1039440340390447</v>
      </c>
      <c r="Q31" s="78">
        <v>1.7442259448746882E-10</v>
      </c>
      <c r="R31" s="78">
        <v>0.74885313116775176</v>
      </c>
      <c r="S31" s="78">
        <v>1.3291114774278143</v>
      </c>
      <c r="T31" s="78">
        <v>0.74885313116775176</v>
      </c>
      <c r="U31" s="78">
        <v>1.3291114774278143</v>
      </c>
    </row>
    <row r="32" spans="2:21" x14ac:dyDescent="0.35">
      <c r="B32" s="116">
        <v>46110</v>
      </c>
      <c r="C32" s="117">
        <v>4097.2</v>
      </c>
      <c r="D32" s="25">
        <f t="shared" si="0"/>
        <v>-9.0521642619311948E-2</v>
      </c>
      <c r="F32" s="115">
        <v>22713.1</v>
      </c>
      <c r="G32" s="25">
        <f t="shared" si="1"/>
        <v>-5.5611918205782818E-2</v>
      </c>
    </row>
    <row r="33" spans="2:7" x14ac:dyDescent="0.35">
      <c r="B33" s="116">
        <v>46103</v>
      </c>
      <c r="C33" s="117">
        <v>3981.5</v>
      </c>
      <c r="D33" s="25">
        <f t="shared" si="0"/>
        <v>-2.8238797227374768E-2</v>
      </c>
      <c r="F33" s="115">
        <v>22819.599999999999</v>
      </c>
      <c r="G33" s="25">
        <f t="shared" si="1"/>
        <v>4.6889240130145726E-3</v>
      </c>
    </row>
    <row r="34" spans="2:7" x14ac:dyDescent="0.35">
      <c r="B34" s="116">
        <v>46096</v>
      </c>
      <c r="C34" s="117">
        <v>4106.6000000000004</v>
      </c>
      <c r="D34" s="25">
        <f t="shared" si="0"/>
        <v>3.1420318975260653E-2</v>
      </c>
      <c r="F34" s="115">
        <v>23114.5</v>
      </c>
      <c r="G34" s="25">
        <f t="shared" si="1"/>
        <v>1.2923101193710762E-2</v>
      </c>
    </row>
    <row r="35" spans="2:7" x14ac:dyDescent="0.35">
      <c r="B35" s="116">
        <v>46089</v>
      </c>
      <c r="C35" s="117">
        <v>4073.2</v>
      </c>
      <c r="D35" s="25">
        <f t="shared" si="0"/>
        <v>-8.133248916378677E-3</v>
      </c>
      <c r="F35" s="115">
        <v>23151.1</v>
      </c>
      <c r="G35" s="25">
        <f t="shared" si="1"/>
        <v>1.5834216617274244E-3</v>
      </c>
    </row>
    <row r="36" spans="2:7" x14ac:dyDescent="0.35">
      <c r="B36" s="116">
        <v>46082</v>
      </c>
      <c r="C36" s="117">
        <v>4244.6000000000004</v>
      </c>
      <c r="D36" s="25">
        <f t="shared" si="0"/>
        <v>4.2079937150152347E-2</v>
      </c>
      <c r="F36" s="115">
        <v>24450.45</v>
      </c>
      <c r="G36" s="25">
        <f t="shared" si="1"/>
        <v>5.6124762970226172E-2</v>
      </c>
    </row>
    <row r="37" spans="2:7" x14ac:dyDescent="0.35">
      <c r="B37" s="116">
        <v>46075</v>
      </c>
      <c r="C37" s="117">
        <v>4327.5</v>
      </c>
      <c r="D37" s="25">
        <f t="shared" si="0"/>
        <v>1.9530697827828236E-2</v>
      </c>
      <c r="F37" s="115">
        <v>25178.65</v>
      </c>
      <c r="G37" s="25">
        <f t="shared" si="1"/>
        <v>2.9782682936305926E-2</v>
      </c>
    </row>
    <row r="38" spans="2:7" x14ac:dyDescent="0.35">
      <c r="B38" s="116">
        <v>46068</v>
      </c>
      <c r="C38" s="117">
        <v>4236.3999999999996</v>
      </c>
      <c r="D38" s="25">
        <f t="shared" si="0"/>
        <v>-2.1051415366840076E-2</v>
      </c>
      <c r="F38" s="115">
        <v>25571.25</v>
      </c>
      <c r="G38" s="25">
        <f t="shared" si="1"/>
        <v>1.5592575455792845E-2</v>
      </c>
    </row>
    <row r="39" spans="2:7" x14ac:dyDescent="0.35">
      <c r="B39" s="116">
        <v>46061</v>
      </c>
      <c r="C39" s="117">
        <v>4179.2</v>
      </c>
      <c r="D39" s="25">
        <f t="shared" si="0"/>
        <v>-1.3502030025493328E-2</v>
      </c>
      <c r="F39" s="115">
        <v>25471.1</v>
      </c>
      <c r="G39" s="25">
        <f t="shared" si="1"/>
        <v>-3.9165077968421613E-3</v>
      </c>
    </row>
    <row r="40" spans="2:7" x14ac:dyDescent="0.35">
      <c r="B40" s="116">
        <v>46054</v>
      </c>
      <c r="C40" s="117">
        <v>4141</v>
      </c>
      <c r="D40" s="25">
        <f t="shared" si="0"/>
        <v>-9.1405053598774266E-3</v>
      </c>
      <c r="F40" s="115">
        <v>25693.7</v>
      </c>
      <c r="G40" s="25">
        <f t="shared" si="1"/>
        <v>8.7393163232056814E-3</v>
      </c>
    </row>
    <row r="41" spans="2:7" x14ac:dyDescent="0.35">
      <c r="B41" s="116">
        <v>46047</v>
      </c>
      <c r="C41" s="117">
        <v>3977.4</v>
      </c>
      <c r="D41" s="25">
        <f t="shared" si="0"/>
        <v>-3.9507365370683334E-2</v>
      </c>
      <c r="F41" s="115">
        <v>25320.65</v>
      </c>
      <c r="G41" s="25">
        <f t="shared" si="1"/>
        <v>-1.4519123364871489E-2</v>
      </c>
    </row>
    <row r="42" spans="2:7" x14ac:dyDescent="0.35">
      <c r="B42" s="116">
        <v>46040</v>
      </c>
      <c r="C42" s="117">
        <v>4021.8</v>
      </c>
      <c r="D42" s="25">
        <f t="shared" si="0"/>
        <v>1.1163071353145204E-2</v>
      </c>
      <c r="F42" s="115">
        <v>25048.65</v>
      </c>
      <c r="G42" s="25">
        <f t="shared" si="1"/>
        <v>-1.0742220282654702E-2</v>
      </c>
    </row>
    <row r="43" spans="2:7" x14ac:dyDescent="0.35">
      <c r="B43" s="116">
        <v>46033</v>
      </c>
      <c r="C43" s="117">
        <v>4196.8999999999996</v>
      </c>
      <c r="D43" s="25">
        <f t="shared" si="0"/>
        <v>4.353771942911111E-2</v>
      </c>
      <c r="F43" s="115">
        <v>25694.35</v>
      </c>
      <c r="G43" s="25">
        <f t="shared" si="1"/>
        <v>2.5777836330500792E-2</v>
      </c>
    </row>
    <row r="44" spans="2:7" x14ac:dyDescent="0.35">
      <c r="B44" s="116">
        <v>46026</v>
      </c>
      <c r="C44" s="117">
        <v>4201.8</v>
      </c>
      <c r="D44" s="25">
        <f t="shared" si="0"/>
        <v>1.1675284138292774E-3</v>
      </c>
      <c r="F44" s="115">
        <v>25683.3</v>
      </c>
      <c r="G44" s="25">
        <f t="shared" si="1"/>
        <v>-4.3005563479903142E-4</v>
      </c>
    </row>
    <row r="45" spans="2:7" x14ac:dyDescent="0.35">
      <c r="B45" s="116">
        <v>46019</v>
      </c>
      <c r="C45" s="117">
        <v>4051.7</v>
      </c>
      <c r="D45" s="25">
        <f t="shared" si="0"/>
        <v>-3.5722785472892649E-2</v>
      </c>
      <c r="F45" s="115">
        <v>26328.55</v>
      </c>
      <c r="G45" s="25">
        <f t="shared" si="1"/>
        <v>2.5123329167201947E-2</v>
      </c>
    </row>
    <row r="46" spans="2:7" x14ac:dyDescent="0.35">
      <c r="B46" s="116">
        <v>46012</v>
      </c>
      <c r="C46" s="117">
        <v>3992</v>
      </c>
      <c r="D46" s="25">
        <f t="shared" si="0"/>
        <v>-1.4734555865439147E-2</v>
      </c>
      <c r="F46" s="115">
        <v>26042.3</v>
      </c>
      <c r="G46" s="25">
        <f t="shared" si="1"/>
        <v>-1.0872228056615363E-2</v>
      </c>
    </row>
    <row r="47" spans="2:7" x14ac:dyDescent="0.35">
      <c r="B47" s="116">
        <v>46005</v>
      </c>
      <c r="C47" s="117">
        <v>3930.1</v>
      </c>
      <c r="D47" s="25">
        <f t="shared" si="0"/>
        <v>-1.550601202404811E-2</v>
      </c>
      <c r="F47" s="115">
        <v>25966.400000000001</v>
      </c>
      <c r="G47" s="25">
        <f t="shared" si="1"/>
        <v>-2.9144891196245526E-3</v>
      </c>
    </row>
    <row r="48" spans="2:7" x14ac:dyDescent="0.35">
      <c r="B48" s="116">
        <v>45998</v>
      </c>
      <c r="C48" s="117">
        <v>3880.2</v>
      </c>
      <c r="D48" s="25">
        <f t="shared" si="0"/>
        <v>-1.269687794203711E-2</v>
      </c>
      <c r="F48" s="115">
        <v>26046.95</v>
      </c>
      <c r="G48" s="25">
        <f t="shared" si="1"/>
        <v>3.10208577238269E-3</v>
      </c>
    </row>
    <row r="49" spans="2:7" x14ac:dyDescent="0.35">
      <c r="B49" s="116">
        <v>45991</v>
      </c>
      <c r="C49" s="117">
        <v>3813.3</v>
      </c>
      <c r="D49" s="25">
        <f t="shared" si="0"/>
        <v>-1.7241379310344751E-2</v>
      </c>
      <c r="F49" s="115">
        <v>26186.45</v>
      </c>
      <c r="G49" s="25">
        <f t="shared" si="1"/>
        <v>5.3557134328587885E-3</v>
      </c>
    </row>
    <row r="50" spans="2:7" x14ac:dyDescent="0.35">
      <c r="B50" s="116">
        <v>45984</v>
      </c>
      <c r="C50" s="117">
        <v>3907.7</v>
      </c>
      <c r="D50" s="25">
        <f t="shared" si="0"/>
        <v>2.4755461149135849E-2</v>
      </c>
      <c r="F50" s="115">
        <v>26202.95</v>
      </c>
      <c r="G50" s="25">
        <f t="shared" si="1"/>
        <v>6.3009686307236024E-4</v>
      </c>
    </row>
    <row r="51" spans="2:7" x14ac:dyDescent="0.35">
      <c r="B51" s="116">
        <v>45977</v>
      </c>
      <c r="C51" s="117">
        <v>3904.2</v>
      </c>
      <c r="D51" s="25">
        <f t="shared" si="0"/>
        <v>-8.9566752821357287E-4</v>
      </c>
      <c r="F51" s="115">
        <v>26068.15</v>
      </c>
      <c r="G51" s="25">
        <f t="shared" si="1"/>
        <v>-5.144458925426254E-3</v>
      </c>
    </row>
    <row r="52" spans="2:7" x14ac:dyDescent="0.35">
      <c r="B52" s="116">
        <v>45970</v>
      </c>
      <c r="C52" s="117">
        <v>3829.2</v>
      </c>
      <c r="D52" s="25">
        <f t="shared" si="0"/>
        <v>-1.921008145074532E-2</v>
      </c>
      <c r="F52" s="115">
        <v>25910.05</v>
      </c>
      <c r="G52" s="25">
        <f t="shared" si="1"/>
        <v>-6.0648722674989664E-3</v>
      </c>
    </row>
    <row r="53" spans="2:7" x14ac:dyDescent="0.35">
      <c r="B53" s="116">
        <v>45963</v>
      </c>
      <c r="C53" s="117">
        <v>3769.3</v>
      </c>
      <c r="D53" s="25">
        <f t="shared" si="0"/>
        <v>-1.5642954141857235E-2</v>
      </c>
      <c r="F53" s="115">
        <v>25492.3</v>
      </c>
      <c r="G53" s="25">
        <f t="shared" si="1"/>
        <v>-1.6123087373432266E-2</v>
      </c>
    </row>
    <row r="54" spans="2:7" x14ac:dyDescent="0.35">
      <c r="B54" s="116">
        <v>45956</v>
      </c>
      <c r="C54" s="117">
        <v>3746.7</v>
      </c>
      <c r="D54" s="25">
        <f t="shared" si="0"/>
        <v>-5.9958082402569168E-3</v>
      </c>
      <c r="F54" s="115">
        <v>25722.1</v>
      </c>
      <c r="G54" s="25">
        <f t="shared" si="1"/>
        <v>9.0144867273647122E-3</v>
      </c>
    </row>
    <row r="55" spans="2:7" x14ac:dyDescent="0.35">
      <c r="B55" s="116">
        <v>45949</v>
      </c>
      <c r="C55" s="117">
        <v>3714.9</v>
      </c>
      <c r="D55" s="25">
        <f t="shared" si="0"/>
        <v>-8.4874689726959218E-3</v>
      </c>
      <c r="F55" s="115">
        <v>25795.15</v>
      </c>
      <c r="G55" s="25">
        <f t="shared" si="1"/>
        <v>2.839970297915162E-3</v>
      </c>
    </row>
    <row r="56" spans="2:7" x14ac:dyDescent="0.35">
      <c r="B56" s="116">
        <v>45942</v>
      </c>
      <c r="C56" s="117">
        <v>3674.8</v>
      </c>
      <c r="D56" s="25">
        <f t="shared" si="0"/>
        <v>-1.0794368623650685E-2</v>
      </c>
      <c r="F56" s="115">
        <v>25709.85</v>
      </c>
      <c r="G56" s="25">
        <f t="shared" si="1"/>
        <v>-3.3068231818773608E-3</v>
      </c>
    </row>
    <row r="57" spans="2:7" x14ac:dyDescent="0.35">
      <c r="B57" s="116">
        <v>45935</v>
      </c>
      <c r="C57" s="117">
        <v>3531.9</v>
      </c>
      <c r="D57" s="25">
        <f t="shared" si="0"/>
        <v>-3.8886470011973429E-2</v>
      </c>
      <c r="F57" s="115">
        <v>25285.35</v>
      </c>
      <c r="G57" s="25">
        <f t="shared" si="1"/>
        <v>-1.6511181512144146E-2</v>
      </c>
    </row>
    <row r="58" spans="2:7" x14ac:dyDescent="0.35">
      <c r="B58" s="116">
        <v>45928</v>
      </c>
      <c r="C58" s="117">
        <v>3453.3</v>
      </c>
      <c r="D58" s="25">
        <f t="shared" si="0"/>
        <v>-2.2254310710948744E-2</v>
      </c>
      <c r="F58" s="115">
        <v>24894.25</v>
      </c>
      <c r="G58" s="25">
        <f t="shared" si="1"/>
        <v>-1.5467454474626607E-2</v>
      </c>
    </row>
    <row r="59" spans="2:7" x14ac:dyDescent="0.35">
      <c r="B59" s="116">
        <v>45921</v>
      </c>
      <c r="C59" s="117">
        <v>3327.3</v>
      </c>
      <c r="D59" s="25">
        <f t="shared" si="0"/>
        <v>-3.648683867604896E-2</v>
      </c>
      <c r="F59" s="115">
        <v>24654.7</v>
      </c>
      <c r="G59" s="25">
        <f t="shared" si="1"/>
        <v>-9.6227040380810758E-3</v>
      </c>
    </row>
    <row r="60" spans="2:7" x14ac:dyDescent="0.35">
      <c r="B60" s="116">
        <v>45914</v>
      </c>
      <c r="C60" s="117">
        <v>3467.2</v>
      </c>
      <c r="D60" s="25">
        <f t="shared" si="0"/>
        <v>4.2046103447239469E-2</v>
      </c>
      <c r="F60" s="115">
        <v>25327.05</v>
      </c>
      <c r="G60" s="25">
        <f t="shared" si="1"/>
        <v>2.7270662388915623E-2</v>
      </c>
    </row>
    <row r="61" spans="2:7" x14ac:dyDescent="0.35">
      <c r="B61" s="116">
        <v>45907</v>
      </c>
      <c r="C61" s="117">
        <v>3571.9</v>
      </c>
      <c r="D61" s="25">
        <f t="shared" si="0"/>
        <v>3.0197277341947437E-2</v>
      </c>
      <c r="F61" s="115">
        <v>25114</v>
      </c>
      <c r="G61" s="25">
        <f t="shared" si="1"/>
        <v>-8.4119548072120187E-3</v>
      </c>
    </row>
    <row r="62" spans="2:7" x14ac:dyDescent="0.35">
      <c r="B62" s="116">
        <v>45900</v>
      </c>
      <c r="C62" s="117">
        <v>3665.3</v>
      </c>
      <c r="D62" s="25">
        <f t="shared" si="0"/>
        <v>2.6148548391612403E-2</v>
      </c>
      <c r="F62" s="115">
        <v>24741</v>
      </c>
      <c r="G62" s="25">
        <f t="shared" si="1"/>
        <v>-1.4852273632236956E-2</v>
      </c>
    </row>
    <row r="63" spans="2:7" x14ac:dyDescent="0.35">
      <c r="B63" s="116">
        <v>45893</v>
      </c>
      <c r="C63" s="117">
        <v>3628.8</v>
      </c>
      <c r="D63" s="25">
        <f t="shared" si="0"/>
        <v>-9.9582571685810084E-3</v>
      </c>
      <c r="F63" s="115">
        <v>24426.85</v>
      </c>
      <c r="G63" s="25">
        <f t="shared" si="1"/>
        <v>-1.2697546582595698E-2</v>
      </c>
    </row>
    <row r="64" spans="2:7" x14ac:dyDescent="0.35">
      <c r="B64" s="116">
        <v>45886</v>
      </c>
      <c r="C64" s="117">
        <v>3621</v>
      </c>
      <c r="D64" s="25">
        <f t="shared" si="0"/>
        <v>-2.1494708994709288E-3</v>
      </c>
      <c r="F64" s="115">
        <v>24870.1</v>
      </c>
      <c r="G64" s="25">
        <f t="shared" si="1"/>
        <v>1.8146015552557904E-2</v>
      </c>
    </row>
    <row r="65" spans="2:7" x14ac:dyDescent="0.35">
      <c r="B65" s="116">
        <v>45879</v>
      </c>
      <c r="C65" s="117">
        <v>3489.4</v>
      </c>
      <c r="D65" s="25">
        <f t="shared" si="0"/>
        <v>-3.634355150510904E-2</v>
      </c>
      <c r="F65" s="115">
        <v>24631.3</v>
      </c>
      <c r="G65" s="25">
        <f t="shared" si="1"/>
        <v>-9.6018914278591661E-3</v>
      </c>
    </row>
    <row r="66" spans="2:7" x14ac:dyDescent="0.35">
      <c r="B66" s="116">
        <v>45872</v>
      </c>
      <c r="C66" s="117">
        <v>3460.2</v>
      </c>
      <c r="D66" s="25">
        <f t="shared" si="0"/>
        <v>-8.3682008368202165E-3</v>
      </c>
      <c r="F66" s="115">
        <v>24363.3</v>
      </c>
      <c r="G66" s="25">
        <f t="shared" si="1"/>
        <v>-1.0880465099284198E-2</v>
      </c>
    </row>
    <row r="67" spans="2:7" x14ac:dyDescent="0.35">
      <c r="B67" s="116">
        <v>45865</v>
      </c>
      <c r="C67" s="117">
        <v>3316</v>
      </c>
      <c r="D67" s="25">
        <f t="shared" si="0"/>
        <v>-4.1673891682561637E-2</v>
      </c>
      <c r="F67" s="115">
        <v>24565.35</v>
      </c>
      <c r="G67" s="25">
        <f t="shared" si="1"/>
        <v>8.2932115107559046E-3</v>
      </c>
    </row>
    <row r="68" spans="2:7" x14ac:dyDescent="0.35">
      <c r="B68" s="116">
        <v>45858</v>
      </c>
      <c r="C68" s="117">
        <v>3462.8</v>
      </c>
      <c r="D68" s="25">
        <f t="shared" si="0"/>
        <v>4.4270205066345047E-2</v>
      </c>
      <c r="F68" s="115">
        <v>24837</v>
      </c>
      <c r="G68" s="25">
        <f t="shared" si="1"/>
        <v>1.1058258889045103E-2</v>
      </c>
    </row>
    <row r="69" spans="2:7" x14ac:dyDescent="0.35">
      <c r="B69" s="116">
        <v>45851</v>
      </c>
      <c r="C69" s="117">
        <v>3402.9</v>
      </c>
      <c r="D69" s="25">
        <f t="shared" si="0"/>
        <v>-1.72981402333372E-2</v>
      </c>
      <c r="F69" s="115">
        <v>24968.400000000001</v>
      </c>
      <c r="G69" s="25">
        <f t="shared" si="1"/>
        <v>5.2904940210170004E-3</v>
      </c>
    </row>
    <row r="70" spans="2:7" x14ac:dyDescent="0.35">
      <c r="B70" s="116">
        <v>45844</v>
      </c>
      <c r="C70" s="117">
        <v>3361.6</v>
      </c>
      <c r="D70" s="25">
        <f t="shared" si="0"/>
        <v>-1.2136706926445195E-2</v>
      </c>
      <c r="F70" s="115">
        <v>25149.85</v>
      </c>
      <c r="G70" s="25">
        <f t="shared" si="1"/>
        <v>7.267185722753533E-3</v>
      </c>
    </row>
    <row r="71" spans="2:7" x14ac:dyDescent="0.35">
      <c r="B71" s="116">
        <v>45837</v>
      </c>
      <c r="C71" s="117">
        <v>3686.9</v>
      </c>
      <c r="D71" s="25">
        <f t="shared" si="0"/>
        <v>9.6769395525940105E-2</v>
      </c>
      <c r="F71" s="115">
        <v>25461</v>
      </c>
      <c r="G71" s="25">
        <f t="shared" si="1"/>
        <v>1.2371843172026997E-2</v>
      </c>
    </row>
    <row r="72" spans="2:7" x14ac:dyDescent="0.35">
      <c r="B72" s="116">
        <v>45830</v>
      </c>
      <c r="C72" s="117">
        <v>3666.2</v>
      </c>
      <c r="D72" s="25">
        <f t="shared" ref="D72:D109" si="2">(C72/C71)-1</f>
        <v>-5.6144728633812369E-3</v>
      </c>
      <c r="F72" s="115">
        <v>25637.8</v>
      </c>
      <c r="G72" s="25">
        <f t="shared" ref="G72:G109" si="3">(F72/F71)-1</f>
        <v>6.9439534975059836E-3</v>
      </c>
    </row>
    <row r="73" spans="2:7" x14ac:dyDescent="0.35">
      <c r="B73" s="116">
        <v>45823</v>
      </c>
      <c r="C73" s="117">
        <v>3519</v>
      </c>
      <c r="D73" s="25">
        <f t="shared" si="2"/>
        <v>-4.0150564617314921E-2</v>
      </c>
      <c r="F73" s="115">
        <v>25112.400000000001</v>
      </c>
      <c r="G73" s="25">
        <f t="shared" si="3"/>
        <v>-2.0493178041797622E-2</v>
      </c>
    </row>
    <row r="74" spans="2:7" x14ac:dyDescent="0.35">
      <c r="B74" s="116">
        <v>45816</v>
      </c>
      <c r="C74" s="117">
        <v>3421.9</v>
      </c>
      <c r="D74" s="25">
        <f t="shared" si="2"/>
        <v>-2.7593066211991979E-2</v>
      </c>
      <c r="F74" s="115">
        <v>24718.6</v>
      </c>
      <c r="G74" s="25">
        <f t="shared" si="3"/>
        <v>-1.568149599401103E-2</v>
      </c>
    </row>
    <row r="75" spans="2:7" x14ac:dyDescent="0.35">
      <c r="B75" s="116">
        <v>45809</v>
      </c>
      <c r="C75" s="117">
        <v>3559.9</v>
      </c>
      <c r="D75" s="25">
        <f t="shared" si="2"/>
        <v>4.0328472486045763E-2</v>
      </c>
      <c r="F75" s="115">
        <v>25003.05</v>
      </c>
      <c r="G75" s="25">
        <f t="shared" si="3"/>
        <v>1.1507528743537332E-2</v>
      </c>
    </row>
    <row r="76" spans="2:7" x14ac:dyDescent="0.35">
      <c r="B76" s="116">
        <v>45802</v>
      </c>
      <c r="C76" s="117">
        <v>3555</v>
      </c>
      <c r="D76" s="25">
        <f t="shared" si="2"/>
        <v>-1.3764431585157055E-3</v>
      </c>
      <c r="F76" s="115">
        <v>24750.7</v>
      </c>
      <c r="G76" s="25">
        <f t="shared" si="3"/>
        <v>-1.0092768682220754E-2</v>
      </c>
    </row>
    <row r="77" spans="2:7" x14ac:dyDescent="0.35">
      <c r="B77" s="116">
        <v>45795</v>
      </c>
      <c r="C77" s="117">
        <v>3579.7</v>
      </c>
      <c r="D77" s="25">
        <f t="shared" si="2"/>
        <v>6.9479606188467269E-3</v>
      </c>
      <c r="F77" s="115">
        <v>24853.15</v>
      </c>
      <c r="G77" s="25">
        <f t="shared" si="3"/>
        <v>4.139276868937003E-3</v>
      </c>
    </row>
    <row r="78" spans="2:7" x14ac:dyDescent="0.35">
      <c r="B78" s="116">
        <v>45788</v>
      </c>
      <c r="C78" s="117">
        <v>3633.7</v>
      </c>
      <c r="D78" s="25">
        <f t="shared" si="2"/>
        <v>1.5085062994105725E-2</v>
      </c>
      <c r="F78" s="115">
        <v>25019.8</v>
      </c>
      <c r="G78" s="25">
        <f t="shared" si="3"/>
        <v>6.705387445856914E-3</v>
      </c>
    </row>
    <row r="79" spans="2:7" x14ac:dyDescent="0.35">
      <c r="B79" s="116">
        <v>45781</v>
      </c>
      <c r="C79" s="117">
        <v>3510.3</v>
      </c>
      <c r="D79" s="25">
        <f t="shared" si="2"/>
        <v>-3.3959875608883361E-2</v>
      </c>
      <c r="F79" s="115">
        <v>24008</v>
      </c>
      <c r="G79" s="25">
        <f t="shared" si="3"/>
        <v>-4.0439971542538311E-2</v>
      </c>
    </row>
    <row r="80" spans="2:7" x14ac:dyDescent="0.35">
      <c r="B80" s="116">
        <v>45774</v>
      </c>
      <c r="C80" s="117">
        <v>3341</v>
      </c>
      <c r="D80" s="25">
        <f t="shared" si="2"/>
        <v>-4.8229496054468357E-2</v>
      </c>
      <c r="F80" s="115">
        <v>24346.7</v>
      </c>
      <c r="G80" s="25">
        <f t="shared" si="3"/>
        <v>1.4107797400866318E-2</v>
      </c>
    </row>
    <row r="81" spans="2:7" x14ac:dyDescent="0.35">
      <c r="B81" s="116">
        <v>45767</v>
      </c>
      <c r="C81" s="117">
        <v>3365.2</v>
      </c>
      <c r="D81" s="25">
        <f t="shared" si="2"/>
        <v>7.2433403172702526E-3</v>
      </c>
      <c r="F81" s="115">
        <v>24039.35</v>
      </c>
      <c r="G81" s="25">
        <f t="shared" si="3"/>
        <v>-1.2623887426222113E-2</v>
      </c>
    </row>
    <row r="82" spans="2:7" x14ac:dyDescent="0.35">
      <c r="B82" s="116">
        <v>45760</v>
      </c>
      <c r="C82" s="117">
        <v>3327.5</v>
      </c>
      <c r="D82" s="25">
        <f t="shared" si="2"/>
        <v>-1.1202900273386329E-2</v>
      </c>
      <c r="F82" s="115">
        <v>23851.65</v>
      </c>
      <c r="G82" s="25">
        <f t="shared" si="3"/>
        <v>-7.8080314151587338E-3</v>
      </c>
    </row>
    <row r="83" spans="2:7" x14ac:dyDescent="0.35">
      <c r="B83" s="116">
        <v>45753</v>
      </c>
      <c r="C83" s="117">
        <v>3234.9</v>
      </c>
      <c r="D83" s="25">
        <f t="shared" si="2"/>
        <v>-2.7828700225394409E-2</v>
      </c>
      <c r="F83" s="115">
        <v>22828.55</v>
      </c>
      <c r="G83" s="25">
        <f t="shared" si="3"/>
        <v>-4.2894307102443685E-2</v>
      </c>
    </row>
    <row r="84" spans="2:7" x14ac:dyDescent="0.35">
      <c r="B84" s="116">
        <v>45746</v>
      </c>
      <c r="C84" s="117">
        <v>3076.2</v>
      </c>
      <c r="D84" s="25">
        <f t="shared" si="2"/>
        <v>-4.9058703514791913E-2</v>
      </c>
      <c r="F84" s="115">
        <v>22904.45</v>
      </c>
      <c r="G84" s="25">
        <f t="shared" si="3"/>
        <v>3.3247840971064591E-3</v>
      </c>
    </row>
    <row r="85" spans="2:7" x14ac:dyDescent="0.35">
      <c r="B85" s="116">
        <v>45739</v>
      </c>
      <c r="C85" s="117">
        <v>3063.35</v>
      </c>
      <c r="D85" s="25">
        <f t="shared" si="2"/>
        <v>-4.1772316494376183E-3</v>
      </c>
      <c r="F85" s="115">
        <v>23519.35</v>
      </c>
      <c r="G85" s="25">
        <f t="shared" si="3"/>
        <v>2.6846311524616251E-2</v>
      </c>
    </row>
    <row r="86" spans="2:7" x14ac:dyDescent="0.35">
      <c r="B86" s="116">
        <v>45732</v>
      </c>
      <c r="C86" s="117">
        <v>3162.7</v>
      </c>
      <c r="D86" s="25">
        <f t="shared" si="2"/>
        <v>3.2431814843227214E-2</v>
      </c>
      <c r="F86" s="115">
        <v>23350.400000000001</v>
      </c>
      <c r="G86" s="25">
        <f t="shared" si="3"/>
        <v>-7.1834468214468927E-3</v>
      </c>
    </row>
    <row r="87" spans="2:7" x14ac:dyDescent="0.35">
      <c r="B87" s="116">
        <v>45725</v>
      </c>
      <c r="C87" s="117">
        <v>3010.15</v>
      </c>
      <c r="D87" s="25">
        <f t="shared" si="2"/>
        <v>-4.8234103772093362E-2</v>
      </c>
      <c r="F87" s="115">
        <v>22397.200000000001</v>
      </c>
      <c r="G87" s="25">
        <f t="shared" si="3"/>
        <v>-4.0821570508428162E-2</v>
      </c>
    </row>
    <row r="88" spans="2:7" x14ac:dyDescent="0.35">
      <c r="B88" s="116">
        <v>45718</v>
      </c>
      <c r="C88" s="117">
        <v>3079.35</v>
      </c>
      <c r="D88" s="25">
        <f t="shared" si="2"/>
        <v>2.2988887596963492E-2</v>
      </c>
      <c r="F88" s="115">
        <v>22552.5</v>
      </c>
      <c r="G88" s="25">
        <f t="shared" si="3"/>
        <v>6.9339024520922443E-3</v>
      </c>
    </row>
    <row r="89" spans="2:7" x14ac:dyDescent="0.35">
      <c r="B89" s="116">
        <v>45711</v>
      </c>
      <c r="C89" s="117">
        <v>3077.25</v>
      </c>
      <c r="D89" s="25">
        <f t="shared" si="2"/>
        <v>-6.8196210239168664E-4</v>
      </c>
      <c r="F89" s="115">
        <v>22124.7</v>
      </c>
      <c r="G89" s="25">
        <f t="shared" si="3"/>
        <v>-1.8969072164948475E-2</v>
      </c>
    </row>
    <row r="90" spans="2:7" x14ac:dyDescent="0.35">
      <c r="B90" s="116">
        <v>45704</v>
      </c>
      <c r="C90" s="117">
        <v>3179.9</v>
      </c>
      <c r="D90" s="25">
        <f t="shared" si="2"/>
        <v>3.3357705743764843E-2</v>
      </c>
      <c r="F90" s="115">
        <v>22795.9</v>
      </c>
      <c r="G90" s="25">
        <f t="shared" si="3"/>
        <v>3.0337134514818231E-2</v>
      </c>
    </row>
    <row r="91" spans="2:7" x14ac:dyDescent="0.35">
      <c r="B91" s="116">
        <v>45697</v>
      </c>
      <c r="C91" s="117">
        <v>3213.25</v>
      </c>
      <c r="D91" s="25">
        <f t="shared" si="2"/>
        <v>1.0487751187144179E-2</v>
      </c>
      <c r="F91" s="115">
        <v>22929.25</v>
      </c>
      <c r="G91" s="25">
        <f t="shared" si="3"/>
        <v>5.8497361367613188E-3</v>
      </c>
    </row>
    <row r="92" spans="2:7" x14ac:dyDescent="0.35">
      <c r="B92" s="116">
        <v>45690</v>
      </c>
      <c r="C92" s="117">
        <v>3424.8</v>
      </c>
      <c r="D92" s="25">
        <f t="shared" si="2"/>
        <v>6.5836769625768454E-2</v>
      </c>
      <c r="F92" s="115">
        <v>23559.95</v>
      </c>
      <c r="G92" s="25">
        <f t="shared" si="3"/>
        <v>2.7506351058146361E-2</v>
      </c>
    </row>
    <row r="93" spans="2:7" x14ac:dyDescent="0.35">
      <c r="B93" s="116">
        <v>45683</v>
      </c>
      <c r="C93" s="117">
        <v>3490.25</v>
      </c>
      <c r="D93" s="25">
        <f t="shared" si="2"/>
        <v>1.9110604998832104E-2</v>
      </c>
      <c r="F93" s="115">
        <v>23508.400000000001</v>
      </c>
      <c r="G93" s="25">
        <f t="shared" si="3"/>
        <v>-2.188035203809835E-3</v>
      </c>
    </row>
    <row r="94" spans="2:7" x14ac:dyDescent="0.35">
      <c r="B94" s="116">
        <v>45676</v>
      </c>
      <c r="C94" s="117">
        <v>3402.15</v>
      </c>
      <c r="D94" s="25">
        <f t="shared" si="2"/>
        <v>-2.5241744860683313E-2</v>
      </c>
      <c r="F94" s="115">
        <v>23092.2</v>
      </c>
      <c r="G94" s="25">
        <f t="shared" si="3"/>
        <v>-1.7704309948784247E-2</v>
      </c>
    </row>
    <row r="95" spans="2:7" x14ac:dyDescent="0.35">
      <c r="B95" s="116">
        <v>45669</v>
      </c>
      <c r="C95" s="117">
        <v>3357.4</v>
      </c>
      <c r="D95" s="25">
        <f t="shared" si="2"/>
        <v>-1.3153447084931602E-2</v>
      </c>
      <c r="F95" s="115">
        <v>23203.200000000001</v>
      </c>
      <c r="G95" s="25">
        <f t="shared" si="3"/>
        <v>4.8068178865590117E-3</v>
      </c>
    </row>
    <row r="96" spans="2:7" x14ac:dyDescent="0.35">
      <c r="B96" s="116">
        <v>45662</v>
      </c>
      <c r="C96" s="117">
        <v>3440.25</v>
      </c>
      <c r="D96" s="25">
        <f t="shared" si="2"/>
        <v>2.4676833263835185E-2</v>
      </c>
      <c r="F96" s="115">
        <v>23431.5</v>
      </c>
      <c r="G96" s="25">
        <f t="shared" si="3"/>
        <v>9.8391601158460684E-3</v>
      </c>
    </row>
    <row r="97" spans="2:7" x14ac:dyDescent="0.35">
      <c r="B97" s="116">
        <v>45655</v>
      </c>
      <c r="C97" s="117">
        <v>3451.65</v>
      </c>
      <c r="D97" s="25">
        <f t="shared" si="2"/>
        <v>3.3137126662305949E-3</v>
      </c>
      <c r="F97" s="115">
        <v>24004.75</v>
      </c>
      <c r="G97" s="25">
        <f t="shared" si="3"/>
        <v>2.4464929688666981E-2</v>
      </c>
    </row>
    <row r="98" spans="2:7" x14ac:dyDescent="0.35">
      <c r="B98" s="116">
        <v>45648</v>
      </c>
      <c r="C98" s="117">
        <v>3309.2</v>
      </c>
      <c r="D98" s="25">
        <f t="shared" si="2"/>
        <v>-4.1270117190329358E-2</v>
      </c>
      <c r="F98" s="115">
        <v>23813.4</v>
      </c>
      <c r="G98" s="25">
        <f t="shared" si="3"/>
        <v>-7.9713390058216982E-3</v>
      </c>
    </row>
    <row r="99" spans="2:7" x14ac:dyDescent="0.35">
      <c r="B99" s="116">
        <v>45641</v>
      </c>
      <c r="C99" s="117">
        <v>3356.25</v>
      </c>
      <c r="D99" s="25">
        <f t="shared" si="2"/>
        <v>1.4217937870180108E-2</v>
      </c>
      <c r="F99" s="115">
        <v>23587.5</v>
      </c>
      <c r="G99" s="25">
        <f t="shared" si="3"/>
        <v>-9.4862556375822082E-3</v>
      </c>
    </row>
    <row r="100" spans="2:7" x14ac:dyDescent="0.35">
      <c r="B100" s="116">
        <v>45634</v>
      </c>
      <c r="C100" s="117">
        <v>3508.85</v>
      </c>
      <c r="D100" s="25">
        <f t="shared" si="2"/>
        <v>4.5467411545623726E-2</v>
      </c>
      <c r="F100" s="115">
        <v>24768.3</v>
      </c>
      <c r="G100" s="25">
        <f t="shared" si="3"/>
        <v>5.0060413354531041E-2</v>
      </c>
    </row>
    <row r="101" spans="2:7" x14ac:dyDescent="0.35">
      <c r="B101" s="116">
        <v>45627</v>
      </c>
      <c r="C101" s="117">
        <v>3470.1</v>
      </c>
      <c r="D101" s="25">
        <f t="shared" si="2"/>
        <v>-1.1043504282029715E-2</v>
      </c>
      <c r="F101" s="115">
        <v>24677.8</v>
      </c>
      <c r="G101" s="25">
        <f t="shared" si="3"/>
        <v>-3.653864011660013E-3</v>
      </c>
    </row>
    <row r="102" spans="2:7" x14ac:dyDescent="0.35">
      <c r="B102" s="116">
        <v>45620</v>
      </c>
      <c r="C102" s="117">
        <v>3249</v>
      </c>
      <c r="D102" s="25">
        <f t="shared" si="2"/>
        <v>-6.3715743062159547E-2</v>
      </c>
      <c r="F102" s="115">
        <v>24131.1</v>
      </c>
      <c r="G102" s="25">
        <f t="shared" si="3"/>
        <v>-2.2153514494809179E-2</v>
      </c>
    </row>
    <row r="103" spans="2:7" x14ac:dyDescent="0.35">
      <c r="B103" s="116">
        <v>45613</v>
      </c>
      <c r="C103" s="117">
        <v>3308.7</v>
      </c>
      <c r="D103" s="25">
        <f t="shared" si="2"/>
        <v>1.8374884579870576E-2</v>
      </c>
      <c r="F103" s="115">
        <v>23907.25</v>
      </c>
      <c r="G103" s="25">
        <f t="shared" si="3"/>
        <v>-9.2764109385812255E-3</v>
      </c>
    </row>
    <row r="104" spans="2:7" x14ac:dyDescent="0.35">
      <c r="B104" s="116">
        <v>45606</v>
      </c>
      <c r="C104" s="117">
        <v>3183.7</v>
      </c>
      <c r="D104" s="25">
        <f t="shared" si="2"/>
        <v>-3.7779188200803948E-2</v>
      </c>
      <c r="F104" s="115">
        <v>23532.7</v>
      </c>
      <c r="G104" s="25">
        <f t="shared" si="3"/>
        <v>-1.5666795637306663E-2</v>
      </c>
    </row>
    <row r="105" spans="2:7" x14ac:dyDescent="0.35">
      <c r="B105" s="116">
        <v>45599</v>
      </c>
      <c r="C105" s="117">
        <v>3186.25</v>
      </c>
      <c r="D105" s="25">
        <f t="shared" si="2"/>
        <v>8.0095486383768844E-4</v>
      </c>
      <c r="F105" s="115">
        <v>24148.2</v>
      </c>
      <c r="G105" s="25">
        <f t="shared" si="3"/>
        <v>2.6155094825498049E-2</v>
      </c>
    </row>
    <row r="106" spans="2:7" x14ac:dyDescent="0.35">
      <c r="B106" s="116">
        <v>45592</v>
      </c>
      <c r="C106" s="117">
        <v>3293.7</v>
      </c>
      <c r="D106" s="25">
        <f t="shared" si="2"/>
        <v>3.3723028638681818E-2</v>
      </c>
      <c r="F106" s="115">
        <v>24304.35</v>
      </c>
      <c r="G106" s="25">
        <f t="shared" si="3"/>
        <v>6.4663204710908584E-3</v>
      </c>
    </row>
    <row r="107" spans="2:7" x14ac:dyDescent="0.35">
      <c r="B107" s="116">
        <v>45585</v>
      </c>
      <c r="C107" s="117">
        <v>3266.55</v>
      </c>
      <c r="D107" s="25">
        <f t="shared" si="2"/>
        <v>-8.2430093815464289E-3</v>
      </c>
      <c r="F107" s="115">
        <v>24180.799999999999</v>
      </c>
      <c r="G107" s="25">
        <f t="shared" si="3"/>
        <v>-5.0834521392261189E-3</v>
      </c>
    </row>
    <row r="108" spans="2:7" x14ac:dyDescent="0.35">
      <c r="B108" s="116">
        <v>45578</v>
      </c>
      <c r="C108" s="117">
        <v>3381.45</v>
      </c>
      <c r="D108" s="25">
        <f t="shared" si="2"/>
        <v>3.5174725627955983E-2</v>
      </c>
      <c r="F108" s="115">
        <v>24854.05</v>
      </c>
      <c r="G108" s="25">
        <f t="shared" si="3"/>
        <v>2.7842337722490562E-2</v>
      </c>
    </row>
    <row r="109" spans="2:7" x14ac:dyDescent="0.35">
      <c r="B109" s="116">
        <v>45571</v>
      </c>
      <c r="C109" s="117">
        <v>3474.4</v>
      </c>
      <c r="D109" s="25">
        <f t="shared" si="2"/>
        <v>2.7488207721539704E-2</v>
      </c>
      <c r="F109" s="115">
        <v>24964.25</v>
      </c>
      <c r="G109" s="25">
        <f t="shared" si="3"/>
        <v>4.4338850207512603E-3</v>
      </c>
    </row>
  </sheetData>
  <mergeCells count="3">
    <mergeCell ref="B4:D4"/>
    <mergeCell ref="F4:G4"/>
    <mergeCell ref="I4:K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workbookViewId="0">
      <selection activeCell="F5" sqref="F5"/>
    </sheetView>
  </sheetViews>
  <sheetFormatPr defaultRowHeight="14.5" x14ac:dyDescent="0.35"/>
  <cols>
    <col min="1" max="1" width="3.36328125" customWidth="1"/>
    <col min="5" max="5" width="18.08984375" bestFit="1" customWidth="1"/>
  </cols>
  <sheetData>
    <row r="2" spans="2:6" x14ac:dyDescent="0.35">
      <c r="B2" s="336" t="s">
        <v>288</v>
      </c>
      <c r="C2" s="336"/>
      <c r="D2" s="336"/>
      <c r="E2" s="336"/>
      <c r="F2" s="336"/>
    </row>
    <row r="4" spans="2:6" x14ac:dyDescent="0.35">
      <c r="B4" s="296" t="s">
        <v>94</v>
      </c>
      <c r="C4" s="296" t="s">
        <v>283</v>
      </c>
    </row>
    <row r="5" spans="2:6" x14ac:dyDescent="0.35">
      <c r="B5" s="125">
        <v>2000</v>
      </c>
      <c r="C5" s="126">
        <v>-0.14649999999999999</v>
      </c>
      <c r="E5" t="s">
        <v>284</v>
      </c>
      <c r="F5" s="63">
        <f>AVERAGE(C5:C30)</f>
        <v>0.1514923076923077</v>
      </c>
    </row>
    <row r="6" spans="2:6" x14ac:dyDescent="0.35">
      <c r="B6" s="125">
        <v>2001</v>
      </c>
      <c r="C6" s="126">
        <v>-0.1618</v>
      </c>
      <c r="E6" t="s">
        <v>285</v>
      </c>
      <c r="F6" s="25">
        <v>1.2999999999999999E-2</v>
      </c>
    </row>
    <row r="7" spans="2:6" x14ac:dyDescent="0.35">
      <c r="B7" s="125">
        <v>2002</v>
      </c>
      <c r="C7" s="126">
        <v>3.2500000000000001E-2</v>
      </c>
      <c r="E7" s="35" t="s">
        <v>286</v>
      </c>
      <c r="F7" s="127">
        <f>SUM(F5:F6)</f>
        <v>0.16449230769230772</v>
      </c>
    </row>
    <row r="8" spans="2:6" x14ac:dyDescent="0.35">
      <c r="B8" s="125">
        <v>2003</v>
      </c>
      <c r="C8" s="126">
        <v>0.71900000000000008</v>
      </c>
    </row>
    <row r="9" spans="2:6" x14ac:dyDescent="0.35">
      <c r="B9" s="125">
        <v>2004</v>
      </c>
      <c r="C9" s="126">
        <v>0.10679999999999999</v>
      </c>
    </row>
    <row r="10" spans="2:6" x14ac:dyDescent="0.35">
      <c r="B10" s="125">
        <v>2005</v>
      </c>
      <c r="C10" s="126">
        <v>0.36340000000000006</v>
      </c>
    </row>
    <row r="11" spans="2:6" x14ac:dyDescent="0.35">
      <c r="B11" s="125">
        <v>2006</v>
      </c>
      <c r="C11" s="126">
        <v>0.39829999999999999</v>
      </c>
    </row>
    <row r="12" spans="2:6" x14ac:dyDescent="0.35">
      <c r="B12" s="125">
        <v>2007</v>
      </c>
      <c r="C12" s="126">
        <v>0.54770000000000008</v>
      </c>
    </row>
    <row r="13" spans="2:6" x14ac:dyDescent="0.35">
      <c r="B13" s="125">
        <v>2008</v>
      </c>
      <c r="C13" s="126">
        <v>-0.51790000000000003</v>
      </c>
    </row>
    <row r="14" spans="2:6" x14ac:dyDescent="0.35">
      <c r="B14" s="125">
        <v>2009</v>
      </c>
      <c r="C14" s="126">
        <v>0.75760000000000005</v>
      </c>
    </row>
    <row r="15" spans="2:6" x14ac:dyDescent="0.35">
      <c r="B15" s="125">
        <v>2010</v>
      </c>
      <c r="C15" s="126">
        <v>0.17949999999999999</v>
      </c>
    </row>
    <row r="16" spans="2:6" x14ac:dyDescent="0.35">
      <c r="B16" s="125">
        <v>2011</v>
      </c>
      <c r="C16" s="126">
        <v>-0.2462</v>
      </c>
    </row>
    <row r="17" spans="2:3" x14ac:dyDescent="0.35">
      <c r="B17" s="125">
        <v>2012</v>
      </c>
      <c r="C17" s="126">
        <v>0.27699999999999997</v>
      </c>
    </row>
    <row r="18" spans="2:3" x14ac:dyDescent="0.35">
      <c r="B18" s="125">
        <v>2013</v>
      </c>
      <c r="C18" s="126">
        <v>6.7599999999999993E-2</v>
      </c>
    </row>
    <row r="19" spans="2:3" x14ac:dyDescent="0.35">
      <c r="B19" s="125">
        <v>2014</v>
      </c>
      <c r="C19" s="126">
        <v>0.31390000000000001</v>
      </c>
    </row>
    <row r="20" spans="2:3" x14ac:dyDescent="0.35">
      <c r="B20" s="125">
        <v>2015</v>
      </c>
      <c r="C20" s="126">
        <v>-4.0599999999999997E-2</v>
      </c>
    </row>
    <row r="21" spans="2:3" x14ac:dyDescent="0.35">
      <c r="B21" s="125">
        <v>2016</v>
      </c>
      <c r="C21" s="126">
        <v>3.0099999999999998E-2</v>
      </c>
    </row>
    <row r="22" spans="2:3" x14ac:dyDescent="0.35">
      <c r="B22" s="125">
        <v>2017</v>
      </c>
      <c r="C22" s="126">
        <v>0.28649999999999998</v>
      </c>
    </row>
    <row r="23" spans="2:3" x14ac:dyDescent="0.35">
      <c r="B23" s="125">
        <v>2018</v>
      </c>
      <c r="C23" s="126">
        <v>3.15E-2</v>
      </c>
    </row>
    <row r="24" spans="2:3" x14ac:dyDescent="0.35">
      <c r="B24" s="125">
        <v>2019</v>
      </c>
      <c r="C24" s="126">
        <v>0.1202</v>
      </c>
    </row>
    <row r="25" spans="2:3" x14ac:dyDescent="0.35">
      <c r="B25" s="125">
        <v>2020</v>
      </c>
      <c r="C25" s="126">
        <v>0.14899999999999999</v>
      </c>
    </row>
    <row r="26" spans="2:3" x14ac:dyDescent="0.35">
      <c r="B26" s="125">
        <v>2021</v>
      </c>
      <c r="C26" s="126">
        <v>0.2412</v>
      </c>
    </row>
    <row r="27" spans="2:3" x14ac:dyDescent="0.35">
      <c r="B27" s="125">
        <v>2022</v>
      </c>
      <c r="C27" s="126">
        <v>4.3200000000000002E-2</v>
      </c>
    </row>
    <row r="28" spans="2:3" x14ac:dyDescent="0.35">
      <c r="B28" s="125">
        <v>2023</v>
      </c>
      <c r="C28" s="126">
        <v>0.19420000000000001</v>
      </c>
    </row>
    <row r="29" spans="2:3" x14ac:dyDescent="0.35">
      <c r="B29" s="125">
        <v>2024</v>
      </c>
      <c r="C29" s="126">
        <v>8.7499999999999994E-2</v>
      </c>
    </row>
    <row r="30" spans="2:3" x14ac:dyDescent="0.35">
      <c r="B30" s="125">
        <v>2025</v>
      </c>
      <c r="C30" s="126">
        <v>0.1051</v>
      </c>
    </row>
  </sheetData>
  <mergeCells count="1">
    <mergeCell ref="B2: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J65"/>
  <sheetViews>
    <sheetView showGridLines="0" zoomScale="91" workbookViewId="0">
      <selection activeCell="L11" sqref="L11"/>
    </sheetView>
  </sheetViews>
  <sheetFormatPr defaultRowHeight="14.5" x14ac:dyDescent="0.35"/>
  <cols>
    <col min="1" max="1" width="4.90625" style="42" customWidth="1"/>
    <col min="2" max="2" width="17" bestFit="1" customWidth="1"/>
    <col min="6" max="6" width="10.81640625" bestFit="1" customWidth="1"/>
    <col min="7" max="7" width="10.1796875" customWidth="1"/>
    <col min="8" max="8" width="12.36328125" customWidth="1"/>
    <col min="9" max="9" width="10.08984375" customWidth="1"/>
    <col min="10" max="10" width="12.7265625" customWidth="1"/>
  </cols>
  <sheetData>
    <row r="3" spans="2:10" x14ac:dyDescent="0.35">
      <c r="B3" s="279" t="s">
        <v>321</v>
      </c>
      <c r="C3" s="279"/>
      <c r="D3" s="279"/>
      <c r="E3" s="279"/>
      <c r="F3" s="297">
        <v>44621</v>
      </c>
      <c r="G3" s="297">
        <v>44986</v>
      </c>
      <c r="H3" s="297">
        <v>45352</v>
      </c>
      <c r="I3" s="297">
        <v>45717</v>
      </c>
      <c r="J3" s="297">
        <v>46082</v>
      </c>
    </row>
    <row r="5" spans="2:10" x14ac:dyDescent="0.35">
      <c r="B5" s="10" t="s">
        <v>322</v>
      </c>
    </row>
    <row r="6" spans="2:10" x14ac:dyDescent="0.35">
      <c r="B6" s="137" t="s">
        <v>311</v>
      </c>
      <c r="C6" s="137"/>
      <c r="D6" s="137"/>
      <c r="E6" s="137"/>
      <c r="F6" s="172">
        <f>'Raw Data'!J37</f>
        <v>13609</v>
      </c>
      <c r="G6" s="172">
        <f>'Raw Data'!K37</f>
        <v>16584</v>
      </c>
      <c r="H6" s="172">
        <f>'Raw Data'!L37</f>
        <v>19051</v>
      </c>
      <c r="I6" s="172">
        <f>'Raw Data'!M37</f>
        <v>28184</v>
      </c>
      <c r="J6" s="172">
        <f>'Raw Data'!N37</f>
        <v>42743</v>
      </c>
    </row>
    <row r="7" spans="2:10" x14ac:dyDescent="0.35">
      <c r="B7" s="137" t="s">
        <v>323</v>
      </c>
      <c r="C7" s="137"/>
      <c r="D7" s="137"/>
      <c r="E7" s="137"/>
      <c r="F7" s="172">
        <f>'Raw Data'!J38</f>
        <v>565</v>
      </c>
      <c r="G7" s="172">
        <f>'Raw Data'!K38</f>
        <v>674</v>
      </c>
      <c r="H7" s="172">
        <f>'Raw Data'!L38</f>
        <v>1018</v>
      </c>
      <c r="I7" s="172">
        <f>'Raw Data'!M38</f>
        <v>1068</v>
      </c>
      <c r="J7" s="172">
        <f>'Raw Data'!N38</f>
        <v>916</v>
      </c>
    </row>
    <row r="8" spans="2:10" x14ac:dyDescent="0.35">
      <c r="B8" s="137" t="s">
        <v>313</v>
      </c>
      <c r="C8" s="137"/>
      <c r="D8" s="137"/>
      <c r="E8" s="137"/>
      <c r="F8" s="172">
        <f>'Raw Data'!J40</f>
        <v>29</v>
      </c>
      <c r="G8" s="172">
        <f>'Raw Data'!K40</f>
        <v>167</v>
      </c>
      <c r="H8" s="172">
        <f>'Raw Data'!L40</f>
        <v>151</v>
      </c>
      <c r="I8" s="172">
        <f>'Raw Data'!M40</f>
        <v>324</v>
      </c>
      <c r="J8" s="172">
        <f>'Raw Data'!N40</f>
        <v>399</v>
      </c>
    </row>
    <row r="9" spans="2:10" x14ac:dyDescent="0.35">
      <c r="B9" s="137" t="s">
        <v>324</v>
      </c>
      <c r="C9" s="137"/>
      <c r="D9" s="137"/>
      <c r="E9" s="137"/>
      <c r="F9" s="172">
        <f>'Raw Data'!J41</f>
        <v>2489</v>
      </c>
      <c r="G9" s="172">
        <f>'Raw Data'!K41</f>
        <v>2595</v>
      </c>
      <c r="H9" s="172">
        <f>'Raw Data'!L41</f>
        <v>3650</v>
      </c>
      <c r="I9" s="172">
        <f>'Raw Data'!M41</f>
        <v>3330</v>
      </c>
      <c r="J9" s="172">
        <f>'Raw Data'!N41</f>
        <v>4039</v>
      </c>
    </row>
    <row r="10" spans="2:10" x14ac:dyDescent="0.35">
      <c r="B10" s="10" t="s">
        <v>123</v>
      </c>
      <c r="F10" s="173">
        <f>SUM(F6:F9)</f>
        <v>16692</v>
      </c>
      <c r="G10" s="173">
        <f t="shared" ref="G10:J10" si="0">SUM(G6:G9)</f>
        <v>20020</v>
      </c>
      <c r="H10" s="173">
        <f t="shared" si="0"/>
        <v>23870</v>
      </c>
      <c r="I10" s="173">
        <f t="shared" si="0"/>
        <v>32906</v>
      </c>
      <c r="J10" s="173">
        <f t="shared" si="0"/>
        <v>48097</v>
      </c>
    </row>
    <row r="11" spans="2:10" x14ac:dyDescent="0.35">
      <c r="B11" s="8"/>
      <c r="C11" s="8"/>
      <c r="D11" s="8"/>
      <c r="E11" s="8"/>
      <c r="F11" s="174"/>
      <c r="G11" s="174"/>
      <c r="H11" s="174"/>
      <c r="I11" s="174"/>
      <c r="J11" s="174"/>
    </row>
    <row r="12" spans="2:10" x14ac:dyDescent="0.35">
      <c r="B12" s="98" t="s">
        <v>325</v>
      </c>
      <c r="C12" s="91"/>
      <c r="D12" s="91"/>
      <c r="E12" s="91"/>
      <c r="F12" s="175"/>
      <c r="G12" s="175"/>
      <c r="H12" s="175"/>
      <c r="I12" s="175"/>
      <c r="J12" s="175"/>
    </row>
    <row r="13" spans="2:10" x14ac:dyDescent="0.35">
      <c r="B13" s="11" t="s">
        <v>296</v>
      </c>
      <c r="C13" s="11"/>
      <c r="D13" s="11"/>
      <c r="E13" s="11"/>
      <c r="F13" s="176">
        <f>'Raw Data'!J14</f>
        <v>1294</v>
      </c>
      <c r="G13" s="176">
        <f>'Raw Data'!K14</f>
        <v>1214</v>
      </c>
      <c r="H13" s="176">
        <f>'Raw Data'!L14</f>
        <v>1410</v>
      </c>
      <c r="I13" s="176">
        <f>'Raw Data'!M14</f>
        <v>1963</v>
      </c>
      <c r="J13" s="176">
        <f>'Raw Data'!N14</f>
        <v>2864</v>
      </c>
    </row>
    <row r="14" spans="2:10" x14ac:dyDescent="0.35">
      <c r="B14" s="11" t="s">
        <v>326</v>
      </c>
      <c r="C14" s="11"/>
      <c r="D14" s="11"/>
      <c r="E14" s="11"/>
      <c r="F14" s="176">
        <f>'Raw Data'!J15</f>
        <v>532</v>
      </c>
      <c r="G14" s="176">
        <f>'Raw Data'!K15</f>
        <v>718</v>
      </c>
      <c r="H14" s="176">
        <f>'Raw Data'!L15</f>
        <v>1085</v>
      </c>
      <c r="I14" s="176">
        <f>'Raw Data'!M15</f>
        <v>2140</v>
      </c>
      <c r="J14" s="176">
        <f>'Raw Data'!N15</f>
        <v>4745</v>
      </c>
    </row>
    <row r="15" spans="2:10" x14ac:dyDescent="0.35">
      <c r="B15" s="11" t="s">
        <v>327</v>
      </c>
      <c r="C15" s="11"/>
      <c r="D15" s="11"/>
      <c r="E15" s="11"/>
      <c r="F15" s="176">
        <f>'Raw Data'!J16</f>
        <v>2754</v>
      </c>
      <c r="G15" s="176">
        <f>'Raw Data'!K16</f>
        <v>3817</v>
      </c>
      <c r="H15" s="176">
        <f>'Raw Data'!L16</f>
        <v>4131</v>
      </c>
      <c r="I15" s="176">
        <f>'Raw Data'!M16</f>
        <v>4141</v>
      </c>
      <c r="J15" s="176">
        <f>'Raw Data'!N16</f>
        <v>6628</v>
      </c>
    </row>
    <row r="16" spans="2:10" x14ac:dyDescent="0.35">
      <c r="B16" s="10" t="s">
        <v>328</v>
      </c>
      <c r="F16" s="173">
        <f>SUM(F13:F15)</f>
        <v>4580</v>
      </c>
      <c r="G16" s="173">
        <f t="shared" ref="G16:J16" si="1">SUM(G13:G15)</f>
        <v>5749</v>
      </c>
      <c r="H16" s="173">
        <f t="shared" si="1"/>
        <v>6626</v>
      </c>
      <c r="I16" s="173">
        <f t="shared" si="1"/>
        <v>8244</v>
      </c>
      <c r="J16" s="173">
        <f t="shared" si="1"/>
        <v>14237</v>
      </c>
    </row>
    <row r="17" spans="1:10" x14ac:dyDescent="0.35">
      <c r="F17" s="177"/>
      <c r="G17" s="177"/>
      <c r="H17" s="177"/>
      <c r="I17" s="177"/>
      <c r="J17" s="177"/>
    </row>
    <row r="18" spans="1:10" x14ac:dyDescent="0.35">
      <c r="A18" s="42" t="s">
        <v>333</v>
      </c>
      <c r="B18" s="135" t="s">
        <v>329</v>
      </c>
      <c r="C18" s="135"/>
      <c r="D18" s="135"/>
      <c r="E18" s="135"/>
      <c r="F18" s="178">
        <f>F10-F16</f>
        <v>12112</v>
      </c>
      <c r="G18" s="178">
        <f t="shared" ref="G18:J18" si="2">G10-G16</f>
        <v>14271</v>
      </c>
      <c r="H18" s="178">
        <f t="shared" si="2"/>
        <v>17244</v>
      </c>
      <c r="I18" s="178">
        <f t="shared" si="2"/>
        <v>24662</v>
      </c>
      <c r="J18" s="178">
        <f t="shared" si="2"/>
        <v>33860</v>
      </c>
    </row>
    <row r="19" spans="1:10" x14ac:dyDescent="0.35">
      <c r="F19" s="177"/>
      <c r="G19" s="177"/>
      <c r="H19" s="177"/>
      <c r="I19" s="177"/>
      <c r="J19" s="177"/>
    </row>
    <row r="20" spans="1:10" x14ac:dyDescent="0.35">
      <c r="B20" s="148" t="s">
        <v>330</v>
      </c>
      <c r="F20" s="177"/>
      <c r="G20" s="177"/>
      <c r="H20" s="177"/>
      <c r="I20" s="177"/>
      <c r="J20" s="177"/>
    </row>
    <row r="21" spans="1:10" x14ac:dyDescent="0.35">
      <c r="B21" s="11" t="s">
        <v>299</v>
      </c>
      <c r="C21" s="11"/>
      <c r="D21" s="11"/>
      <c r="E21" s="11"/>
      <c r="F21" s="176">
        <f>'Raw Data'!J20</f>
        <v>136</v>
      </c>
      <c r="G21" s="176">
        <f>'Raw Data'!K20</f>
        <v>144</v>
      </c>
      <c r="H21" s="176">
        <f>'Raw Data'!L20</f>
        <v>163</v>
      </c>
      <c r="I21" s="176">
        <f>'Raw Data'!M20</f>
        <v>163</v>
      </c>
      <c r="J21" s="176">
        <f>'Raw Data'!N20</f>
        <v>440</v>
      </c>
    </row>
    <row r="22" spans="1:10" x14ac:dyDescent="0.35">
      <c r="B22" s="11" t="s">
        <v>300</v>
      </c>
      <c r="C22" s="11"/>
      <c r="D22" s="11"/>
      <c r="E22" s="11"/>
      <c r="F22" s="176">
        <f>'Raw Data'!J21</f>
        <v>1853</v>
      </c>
      <c r="G22" s="176">
        <f>'Raw Data'!K21</f>
        <v>2403</v>
      </c>
      <c r="H22" s="176">
        <f>'Raw Data'!L21</f>
        <v>3546</v>
      </c>
      <c r="I22" s="176">
        <f>'Raw Data'!M21</f>
        <v>4177</v>
      </c>
      <c r="J22" s="176">
        <f>'Raw Data'!N21</f>
        <v>5239</v>
      </c>
    </row>
    <row r="23" spans="1:10" x14ac:dyDescent="0.35">
      <c r="B23" s="11" t="s">
        <v>301</v>
      </c>
      <c r="C23" s="11"/>
      <c r="D23" s="11"/>
      <c r="E23" s="11"/>
      <c r="F23" s="176">
        <f>'Raw Data'!J22</f>
        <v>768</v>
      </c>
      <c r="G23" s="176">
        <f>'Raw Data'!K22</f>
        <v>838</v>
      </c>
      <c r="H23" s="176">
        <f>'Raw Data'!L22</f>
        <v>899</v>
      </c>
      <c r="I23" s="176">
        <f>'Raw Data'!M22</f>
        <v>1012</v>
      </c>
      <c r="J23" s="176">
        <f>'Raw Data'!N22</f>
        <v>1197</v>
      </c>
    </row>
    <row r="24" spans="1:10" x14ac:dyDescent="0.35">
      <c r="B24" s="11" t="s">
        <v>302</v>
      </c>
      <c r="C24" s="11"/>
      <c r="D24" s="11"/>
      <c r="E24" s="11"/>
      <c r="F24" s="176">
        <f>'Raw Data'!J23</f>
        <v>96</v>
      </c>
      <c r="G24" s="176">
        <f>'Raw Data'!K23</f>
        <v>130</v>
      </c>
      <c r="H24" s="176">
        <f>'Raw Data'!L23</f>
        <v>110</v>
      </c>
      <c r="I24" s="176">
        <f>'Raw Data'!M23</f>
        <v>127</v>
      </c>
      <c r="J24" s="176">
        <f>'Raw Data'!N23</f>
        <v>176</v>
      </c>
    </row>
    <row r="25" spans="1:10" x14ac:dyDescent="0.35">
      <c r="B25" s="11" t="s">
        <v>303</v>
      </c>
      <c r="C25" s="11"/>
      <c r="D25" s="11"/>
      <c r="E25" s="11"/>
      <c r="F25" s="176">
        <f>'Raw Data'!J24</f>
        <v>159</v>
      </c>
      <c r="G25" s="176">
        <f>'Raw Data'!K24</f>
        <v>204</v>
      </c>
      <c r="H25" s="176">
        <f>'Raw Data'!L24</f>
        <v>212</v>
      </c>
      <c r="I25" s="176">
        <f>'Raw Data'!M24</f>
        <v>228</v>
      </c>
      <c r="J25" s="176">
        <f>'Raw Data'!N24</f>
        <v>264</v>
      </c>
    </row>
    <row r="26" spans="1:10" x14ac:dyDescent="0.35">
      <c r="B26" s="11" t="s">
        <v>304</v>
      </c>
      <c r="C26" s="11"/>
      <c r="D26" s="11"/>
      <c r="E26" s="11"/>
      <c r="F26" s="176">
        <f>'Raw Data'!J25</f>
        <v>321</v>
      </c>
      <c r="G26" s="176">
        <f>'Raw Data'!K25</f>
        <v>376</v>
      </c>
      <c r="H26" s="176">
        <f>'Raw Data'!L25</f>
        <v>173</v>
      </c>
      <c r="I26" s="176">
        <f>'Raw Data'!M25</f>
        <v>193</v>
      </c>
      <c r="J26" s="176">
        <f>'Raw Data'!N25</f>
        <v>379</v>
      </c>
    </row>
    <row r="27" spans="1:10" x14ac:dyDescent="0.35">
      <c r="B27" s="11" t="s">
        <v>305</v>
      </c>
      <c r="C27" s="11"/>
      <c r="D27" s="11"/>
      <c r="E27" s="11"/>
      <c r="F27" s="176">
        <f>'Raw Data'!J26</f>
        <v>38</v>
      </c>
      <c r="G27" s="176">
        <f>'Raw Data'!K26</f>
        <v>40</v>
      </c>
      <c r="H27" s="176">
        <f>'Raw Data'!L26</f>
        <v>50</v>
      </c>
      <c r="I27" s="176">
        <f>'Raw Data'!M26</f>
        <v>57</v>
      </c>
      <c r="J27" s="176">
        <f>'Raw Data'!N26</f>
        <v>68</v>
      </c>
    </row>
    <row r="28" spans="1:10" x14ac:dyDescent="0.35">
      <c r="B28" s="11" t="s">
        <v>306</v>
      </c>
      <c r="C28" s="11"/>
      <c r="D28" s="11"/>
      <c r="E28" s="11"/>
      <c r="F28" s="176">
        <f>'Raw Data'!J27</f>
        <v>320</v>
      </c>
      <c r="G28" s="176">
        <f>'Raw Data'!K27</f>
        <v>320</v>
      </c>
      <c r="H28" s="176">
        <f>'Raw Data'!L27</f>
        <v>320</v>
      </c>
      <c r="I28" s="176">
        <f>'Raw Data'!M27</f>
        <v>320</v>
      </c>
      <c r="J28" s="176">
        <f>'Raw Data'!N27</f>
        <v>1782</v>
      </c>
    </row>
    <row r="29" spans="1:10" x14ac:dyDescent="0.35">
      <c r="B29" s="11" t="s">
        <v>307</v>
      </c>
      <c r="C29" s="11"/>
      <c r="D29" s="11"/>
      <c r="E29" s="11"/>
      <c r="F29" s="176">
        <f>'Raw Data'!J28</f>
        <v>157</v>
      </c>
      <c r="G29" s="176">
        <f>'Raw Data'!K28</f>
        <v>205</v>
      </c>
      <c r="H29" s="176">
        <f>'Raw Data'!L28</f>
        <v>305</v>
      </c>
      <c r="I29" s="176">
        <f>'Raw Data'!M28</f>
        <v>369</v>
      </c>
      <c r="J29" s="176">
        <f>'Raw Data'!N28</f>
        <v>540</v>
      </c>
    </row>
    <row r="30" spans="1:10" x14ac:dyDescent="0.35">
      <c r="B30" s="149" t="s">
        <v>308</v>
      </c>
      <c r="C30" s="135"/>
      <c r="D30" s="135"/>
      <c r="E30" s="135"/>
      <c r="F30" s="178">
        <f>SUM(F21:F29)</f>
        <v>3848</v>
      </c>
      <c r="G30" s="178">
        <f t="shared" ref="G30:J30" si="3">SUM(G21:G29)</f>
        <v>4660</v>
      </c>
      <c r="H30" s="178">
        <f t="shared" si="3"/>
        <v>5778</v>
      </c>
      <c r="I30" s="178">
        <f t="shared" si="3"/>
        <v>6646</v>
      </c>
      <c r="J30" s="178">
        <f t="shared" si="3"/>
        <v>10085</v>
      </c>
    </row>
    <row r="31" spans="1:10" x14ac:dyDescent="0.35">
      <c r="B31" s="150" t="s">
        <v>309</v>
      </c>
      <c r="C31" s="11"/>
      <c r="D31" s="11"/>
      <c r="E31" s="11"/>
      <c r="F31" s="176">
        <f>-'Raw Data'!J30</f>
        <v>-1304</v>
      </c>
      <c r="G31" s="176">
        <f>-'Raw Data'!K30</f>
        <v>-1662</v>
      </c>
      <c r="H31" s="176">
        <f>-'Raw Data'!L30</f>
        <v>-2069</v>
      </c>
      <c r="I31" s="176">
        <f>-'Raw Data'!M30</f>
        <v>-2584</v>
      </c>
      <c r="J31" s="176">
        <f>-'Raw Data'!N30</f>
        <v>-3207</v>
      </c>
    </row>
    <row r="32" spans="1:10" ht="15" thickBot="1" x14ac:dyDescent="0.4">
      <c r="A32" s="154" t="s">
        <v>333</v>
      </c>
      <c r="B32" s="151" t="s">
        <v>331</v>
      </c>
      <c r="C32" s="152"/>
      <c r="D32" s="152"/>
      <c r="E32" s="152"/>
      <c r="F32" s="179">
        <f>SUM(F30:F31)</f>
        <v>2544</v>
      </c>
      <c r="G32" s="179">
        <f t="shared" ref="G32:J32" si="4">SUM(G30:G31)</f>
        <v>2998</v>
      </c>
      <c r="H32" s="179">
        <f t="shared" si="4"/>
        <v>3709</v>
      </c>
      <c r="I32" s="179">
        <f t="shared" si="4"/>
        <v>4062</v>
      </c>
      <c r="J32" s="179">
        <f t="shared" si="4"/>
        <v>6878</v>
      </c>
    </row>
    <row r="33" spans="1:10" ht="15" thickTop="1" x14ac:dyDescent="0.35">
      <c r="F33" s="177"/>
      <c r="G33" s="177"/>
      <c r="H33" s="177"/>
      <c r="I33" s="177"/>
      <c r="J33" s="177"/>
    </row>
    <row r="34" spans="1:10" x14ac:dyDescent="0.35">
      <c r="A34" s="154" t="s">
        <v>333</v>
      </c>
      <c r="B34" s="149" t="s">
        <v>332</v>
      </c>
      <c r="C34" s="11"/>
      <c r="D34" s="11"/>
      <c r="E34" s="11"/>
      <c r="F34" s="178">
        <f>F32+F18</f>
        <v>14656</v>
      </c>
      <c r="G34" s="178">
        <f t="shared" ref="G34:J34" si="5">G32+G18</f>
        <v>17269</v>
      </c>
      <c r="H34" s="178">
        <f t="shared" si="5"/>
        <v>20953</v>
      </c>
      <c r="I34" s="178">
        <f t="shared" si="5"/>
        <v>28724</v>
      </c>
      <c r="J34" s="178">
        <f t="shared" si="5"/>
        <v>40738</v>
      </c>
    </row>
    <row r="35" spans="1:10" x14ac:dyDescent="0.35">
      <c r="A35" s="154"/>
      <c r="B35" s="148" t="s">
        <v>159</v>
      </c>
      <c r="C35" s="8"/>
      <c r="D35" s="8"/>
      <c r="E35" s="8"/>
      <c r="F35" s="185">
        <f>Historical_FS!H8</f>
        <v>0.33057660321567184</v>
      </c>
      <c r="G35" s="185">
        <f>Historical_FS!I8</f>
        <v>0.40890308691274013</v>
      </c>
      <c r="H35" s="185">
        <f>Historical_FS!J8</f>
        <v>0.25900184842883545</v>
      </c>
      <c r="I35" s="185">
        <f>Historical_FS!K8</f>
        <v>0.18346253229974163</v>
      </c>
      <c r="J35" s="185">
        <f>Historical_FS!L8</f>
        <v>0.448723038242689</v>
      </c>
    </row>
    <row r="36" spans="1:10" x14ac:dyDescent="0.35">
      <c r="B36" s="10" t="s">
        <v>334</v>
      </c>
      <c r="C36" s="10"/>
      <c r="D36" s="10"/>
      <c r="E36" s="10"/>
      <c r="F36" s="173">
        <f>Historical_FS!H28+Historical_FS!H22</f>
        <v>3122</v>
      </c>
      <c r="G36" s="173">
        <f>Historical_FS!I28+Historical_FS!I22</f>
        <v>4747</v>
      </c>
      <c r="H36" s="173">
        <f>Historical_FS!J28+Historical_FS!J22</f>
        <v>5242</v>
      </c>
      <c r="I36" s="173">
        <f>Historical_FS!K28+Historical_FS!K22</f>
        <v>5488</v>
      </c>
      <c r="J36" s="173">
        <f>Historical_FS!L28+Historical_FS!L22</f>
        <v>7981</v>
      </c>
    </row>
    <row r="37" spans="1:10" x14ac:dyDescent="0.35">
      <c r="B37" s="11" t="s">
        <v>342</v>
      </c>
      <c r="C37" s="11"/>
      <c r="D37" s="11"/>
      <c r="E37" s="11"/>
      <c r="F37" s="181">
        <v>0.25</v>
      </c>
      <c r="G37" s="181">
        <v>0.25</v>
      </c>
      <c r="H37" s="181">
        <v>0.25</v>
      </c>
      <c r="I37" s="181">
        <v>0.25</v>
      </c>
      <c r="J37" s="181">
        <v>0.25</v>
      </c>
    </row>
    <row r="38" spans="1:10" x14ac:dyDescent="0.35">
      <c r="B38" s="10" t="s">
        <v>343</v>
      </c>
      <c r="F38" s="76">
        <f>F36*(1-F37)</f>
        <v>2341.5</v>
      </c>
      <c r="G38" s="76">
        <f t="shared" ref="G38:J38" si="6">G36*(1-G37)</f>
        <v>3560.25</v>
      </c>
      <c r="H38" s="76">
        <f t="shared" si="6"/>
        <v>3931.5</v>
      </c>
      <c r="I38" s="76">
        <f t="shared" si="6"/>
        <v>4116</v>
      </c>
      <c r="J38" s="76">
        <f t="shared" si="6"/>
        <v>5985.75</v>
      </c>
    </row>
    <row r="40" spans="1:10" ht="15" thickBot="1" x14ac:dyDescent="0.4">
      <c r="A40" s="42" t="s">
        <v>333</v>
      </c>
      <c r="B40" s="153" t="s">
        <v>335</v>
      </c>
      <c r="C40" s="152"/>
      <c r="D40" s="152"/>
      <c r="E40" s="152"/>
      <c r="F40" s="155">
        <f>F38/F34</f>
        <v>0.15976391921397379</v>
      </c>
      <c r="G40" s="155">
        <f t="shared" ref="G40:J40" si="7">G38/G34</f>
        <v>0.20616422491169148</v>
      </c>
      <c r="H40" s="155">
        <f t="shared" si="7"/>
        <v>0.18763422898868898</v>
      </c>
      <c r="I40" s="155">
        <f t="shared" si="7"/>
        <v>0.14329480573736247</v>
      </c>
      <c r="J40" s="155">
        <f t="shared" si="7"/>
        <v>0.14693283911826796</v>
      </c>
    </row>
    <row r="41" spans="1:10" ht="15" thickTop="1" x14ac:dyDescent="0.35"/>
    <row r="42" spans="1:10" x14ac:dyDescent="0.35">
      <c r="B42" s="279" t="s">
        <v>336</v>
      </c>
      <c r="C42" s="279"/>
      <c r="D42" s="279"/>
      <c r="E42" s="279"/>
      <c r="F42" s="297">
        <f>F3</f>
        <v>44621</v>
      </c>
      <c r="G42" s="297">
        <f>G3</f>
        <v>44986</v>
      </c>
      <c r="H42" s="297">
        <f>H3</f>
        <v>45352</v>
      </c>
      <c r="I42" s="297">
        <f>I3</f>
        <v>45717</v>
      </c>
      <c r="J42" s="297">
        <f>J3</f>
        <v>46082</v>
      </c>
    </row>
    <row r="44" spans="1:10" x14ac:dyDescent="0.35">
      <c r="B44" s="135" t="s">
        <v>340</v>
      </c>
      <c r="C44" s="135"/>
      <c r="D44" s="135"/>
      <c r="E44" s="135"/>
      <c r="F44" s="178">
        <f>-SUM('Cash Flow Data'!J16:J17)</f>
        <v>216</v>
      </c>
      <c r="G44" s="178">
        <f>-SUM('Cash Flow Data'!K16:K17)</f>
        <v>420</v>
      </c>
      <c r="H44" s="178">
        <f>-SUM('Cash Flow Data'!L16:L17)</f>
        <v>671</v>
      </c>
      <c r="I44" s="178">
        <f>-SUM('Cash Flow Data'!M16:M17)</f>
        <v>470</v>
      </c>
      <c r="J44" s="178">
        <f>-SUM('Cash Flow Data'!N16:N17)</f>
        <v>877</v>
      </c>
    </row>
    <row r="45" spans="1:10" x14ac:dyDescent="0.35">
      <c r="B45" s="11" t="s">
        <v>341</v>
      </c>
      <c r="C45" s="11"/>
      <c r="D45" s="11"/>
      <c r="E45" s="11"/>
      <c r="F45" s="178" t="s">
        <v>97</v>
      </c>
      <c r="G45" s="178">
        <f>G18-F18</f>
        <v>2159</v>
      </c>
      <c r="H45" s="178">
        <f t="shared" ref="H45:J45" si="8">H18-G18</f>
        <v>2973</v>
      </c>
      <c r="I45" s="178">
        <f t="shared" si="8"/>
        <v>7418</v>
      </c>
      <c r="J45" s="178">
        <f t="shared" si="8"/>
        <v>9198</v>
      </c>
    </row>
    <row r="46" spans="1:10" x14ac:dyDescent="0.35">
      <c r="B46" s="11"/>
      <c r="C46" s="11"/>
      <c r="D46" s="11"/>
      <c r="E46" s="11"/>
      <c r="F46" s="11"/>
      <c r="G46" s="11"/>
      <c r="H46" s="11"/>
      <c r="I46" s="11"/>
      <c r="J46" s="11"/>
    </row>
    <row r="47" spans="1:10" x14ac:dyDescent="0.35">
      <c r="B47" s="11" t="s">
        <v>334</v>
      </c>
      <c r="C47" s="11"/>
      <c r="D47" s="11"/>
      <c r="E47" s="11"/>
      <c r="F47" s="180">
        <f>F36</f>
        <v>3122</v>
      </c>
      <c r="G47" s="180">
        <f>G36</f>
        <v>4747</v>
      </c>
      <c r="H47" s="180">
        <f>H36</f>
        <v>5242</v>
      </c>
      <c r="I47" s="180">
        <f>I36</f>
        <v>5488</v>
      </c>
      <c r="J47" s="180">
        <f>J36</f>
        <v>7981</v>
      </c>
    </row>
    <row r="48" spans="1:10" x14ac:dyDescent="0.35">
      <c r="B48" s="11" t="s">
        <v>342</v>
      </c>
      <c r="C48" s="11"/>
      <c r="D48" s="11"/>
      <c r="E48" s="11"/>
      <c r="F48" s="181">
        <v>0.25</v>
      </c>
      <c r="G48" s="181">
        <v>0.25</v>
      </c>
      <c r="H48" s="181">
        <v>0.25</v>
      </c>
      <c r="I48" s="181">
        <v>0.25</v>
      </c>
      <c r="J48" s="181">
        <v>0.25</v>
      </c>
    </row>
    <row r="49" spans="2:10" x14ac:dyDescent="0.35">
      <c r="B49" s="11" t="s">
        <v>343</v>
      </c>
      <c r="C49" s="11"/>
      <c r="D49" s="11"/>
      <c r="E49" s="11"/>
      <c r="F49" s="180">
        <f>F47*(1-F48)</f>
        <v>2341.5</v>
      </c>
      <c r="G49" s="180">
        <f t="shared" ref="G49:J49" si="9">G47*(1-G48)</f>
        <v>3560.25</v>
      </c>
      <c r="H49" s="180">
        <f t="shared" si="9"/>
        <v>3931.5</v>
      </c>
      <c r="I49" s="180">
        <f t="shared" si="9"/>
        <v>4116</v>
      </c>
      <c r="J49" s="180">
        <f t="shared" si="9"/>
        <v>5985.75</v>
      </c>
    </row>
    <row r="50" spans="2:10" x14ac:dyDescent="0.35">
      <c r="B50" s="11" t="s">
        <v>21</v>
      </c>
      <c r="C50" s="11"/>
      <c r="D50" s="11"/>
      <c r="E50" s="11"/>
      <c r="F50" s="11">
        <f>'Data Sheet'!G26</f>
        <v>399</v>
      </c>
      <c r="G50" s="11">
        <f>'Data Sheet'!H26</f>
        <v>441</v>
      </c>
      <c r="H50" s="11">
        <f>'Data Sheet'!I26</f>
        <v>584</v>
      </c>
      <c r="I50" s="11">
        <f>'Data Sheet'!J26</f>
        <v>693</v>
      </c>
      <c r="J50" s="11">
        <f>'Data Sheet'!K26</f>
        <v>826</v>
      </c>
    </row>
    <row r="51" spans="2:10" x14ac:dyDescent="0.35">
      <c r="B51" s="11" t="s">
        <v>344</v>
      </c>
      <c r="C51" s="11"/>
      <c r="D51" s="11"/>
      <c r="E51" s="11"/>
      <c r="F51" s="11"/>
      <c r="G51" s="180">
        <f>SUM(G44:G45)</f>
        <v>2579</v>
      </c>
      <c r="H51" s="180">
        <f>SUM(H44:H45)</f>
        <v>3644</v>
      </c>
      <c r="I51" s="180">
        <f>SUM(I44:I45)</f>
        <v>7888</v>
      </c>
      <c r="J51" s="180">
        <f>SUM(J44:J45)</f>
        <v>10075</v>
      </c>
    </row>
    <row r="52" spans="2:10" ht="15" thickBot="1" x14ac:dyDescent="0.4">
      <c r="B52" s="153" t="s">
        <v>345</v>
      </c>
      <c r="C52" s="153"/>
      <c r="D52" s="153"/>
      <c r="E52" s="153"/>
      <c r="F52" s="153"/>
      <c r="G52" s="155">
        <f>G51/G49</f>
        <v>0.72438733235025632</v>
      </c>
      <c r="H52" s="155">
        <f>H51/H49</f>
        <v>0.92687269490016533</v>
      </c>
      <c r="I52" s="155">
        <f>I51/I49</f>
        <v>1.9164237123420798</v>
      </c>
      <c r="J52" s="155">
        <f>J51/J49</f>
        <v>1.6831641815979619</v>
      </c>
    </row>
    <row r="53" spans="2:10" ht="15" thickTop="1" x14ac:dyDescent="0.35">
      <c r="G53" s="25"/>
      <c r="H53" s="25"/>
      <c r="I53" s="25"/>
      <c r="J53" s="25"/>
    </row>
    <row r="54" spans="2:10" x14ac:dyDescent="0.35">
      <c r="H54" s="344" t="s">
        <v>346</v>
      </c>
      <c r="I54" s="344"/>
      <c r="J54" s="127">
        <f>AVERAGE(G52:J52)</f>
        <v>1.3127119802976159</v>
      </c>
    </row>
    <row r="55" spans="2:10" x14ac:dyDescent="0.35">
      <c r="H55" s="344" t="s">
        <v>347</v>
      </c>
      <c r="I55" s="344"/>
      <c r="J55" s="127">
        <f>MEDIAN(G52:J52)</f>
        <v>1.3050184382490637</v>
      </c>
    </row>
    <row r="57" spans="2:10" x14ac:dyDescent="0.35">
      <c r="B57" s="279" t="s">
        <v>348</v>
      </c>
      <c r="C57" s="279"/>
      <c r="D57" s="279"/>
      <c r="E57" s="279"/>
      <c r="F57" s="297">
        <f>F3</f>
        <v>44621</v>
      </c>
      <c r="G57" s="297">
        <f>G3</f>
        <v>44986</v>
      </c>
      <c r="H57" s="297">
        <f>H3</f>
        <v>45352</v>
      </c>
      <c r="I57" s="297">
        <f>I3</f>
        <v>45717</v>
      </c>
      <c r="J57" s="297">
        <f>J3</f>
        <v>46082</v>
      </c>
    </row>
    <row r="59" spans="2:10" x14ac:dyDescent="0.35">
      <c r="B59" s="11" t="s">
        <v>345</v>
      </c>
      <c r="C59" s="11"/>
      <c r="D59" s="11"/>
      <c r="E59" s="11"/>
      <c r="F59" s="11"/>
      <c r="G59" s="182">
        <f>G52</f>
        <v>0.72438733235025632</v>
      </c>
      <c r="H59" s="182">
        <f t="shared" ref="H59:J59" si="10">H52</f>
        <v>0.92687269490016533</v>
      </c>
      <c r="I59" s="182">
        <f t="shared" si="10"/>
        <v>1.9164237123420798</v>
      </c>
      <c r="J59" s="182">
        <f t="shared" si="10"/>
        <v>1.6831641815979619</v>
      </c>
    </row>
    <row r="60" spans="2:10" x14ac:dyDescent="0.35">
      <c r="B60" s="11" t="s">
        <v>335</v>
      </c>
      <c r="C60" s="11"/>
      <c r="D60" s="11"/>
      <c r="E60" s="11"/>
      <c r="F60" s="11"/>
      <c r="G60" s="182">
        <f>G40</f>
        <v>0.20616422491169148</v>
      </c>
      <c r="H60" s="182">
        <f t="shared" ref="H60:J60" si="11">H40</f>
        <v>0.18763422898868898</v>
      </c>
      <c r="I60" s="182">
        <f t="shared" si="11"/>
        <v>0.14329480573736247</v>
      </c>
      <c r="J60" s="182">
        <f t="shared" si="11"/>
        <v>0.14693283911826796</v>
      </c>
    </row>
    <row r="61" spans="2:10" x14ac:dyDescent="0.35">
      <c r="B61" s="11"/>
      <c r="C61" s="11"/>
      <c r="D61" s="11"/>
      <c r="E61" s="11"/>
      <c r="F61" s="11"/>
      <c r="G61" s="11"/>
      <c r="H61" s="11"/>
      <c r="I61" s="11"/>
      <c r="J61" s="11"/>
    </row>
    <row r="62" spans="2:10" ht="15" thickBot="1" x14ac:dyDescent="0.4">
      <c r="B62" s="153" t="s">
        <v>349</v>
      </c>
      <c r="C62" s="153"/>
      <c r="D62" s="153"/>
      <c r="E62" s="153"/>
      <c r="F62" s="153"/>
      <c r="G62" s="183">
        <f>G59*G60</f>
        <v>0.14934275290983845</v>
      </c>
      <c r="H62" s="183">
        <f t="shared" ref="H62:J62" si="12">H59*H60</f>
        <v>0.17391304347826086</v>
      </c>
      <c r="I62" s="183">
        <f t="shared" si="12"/>
        <v>0.27461356357053335</v>
      </c>
      <c r="J62" s="183">
        <f t="shared" si="12"/>
        <v>0.24731209190436448</v>
      </c>
    </row>
    <row r="63" spans="2:10" ht="15" thickTop="1" x14ac:dyDescent="0.35"/>
    <row r="64" spans="2:10" x14ac:dyDescent="0.35">
      <c r="H64" s="344" t="s">
        <v>346</v>
      </c>
      <c r="I64" s="344"/>
      <c r="J64" s="127">
        <f>AVERAGE(G62:J62)</f>
        <v>0.2112953629657493</v>
      </c>
    </row>
    <row r="65" spans="8:10" x14ac:dyDescent="0.35">
      <c r="H65" s="344" t="s">
        <v>347</v>
      </c>
      <c r="I65" s="344"/>
      <c r="J65" s="127">
        <f>MEDIAN(G62:J62)</f>
        <v>0.21061256769131267</v>
      </c>
    </row>
  </sheetData>
  <mergeCells count="4">
    <mergeCell ref="H54:I54"/>
    <mergeCell ref="H55:I55"/>
    <mergeCell ref="H64:I64"/>
    <mergeCell ref="H65:I65"/>
  </mergeCells>
  <pageMargins left="0.25" right="0.25" top="0.75" bottom="0.75" header="0.3" footer="0.3"/>
  <pageSetup scale="5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43"/>
  <sheetViews>
    <sheetView showGridLines="0" topLeftCell="A10" zoomScale="92" workbookViewId="0">
      <selection activeCell="Q23" sqref="Q23"/>
    </sheetView>
  </sheetViews>
  <sheetFormatPr defaultRowHeight="14.5" x14ac:dyDescent="0.35"/>
  <cols>
    <col min="1" max="1" width="3.36328125" customWidth="1"/>
    <col min="3" max="3" width="10.26953125" customWidth="1"/>
    <col min="4" max="4" width="9" bestFit="1" customWidth="1"/>
    <col min="5" max="5" width="11.453125" bestFit="1" customWidth="1"/>
    <col min="6" max="6" width="9" style="191" bestFit="1" customWidth="1"/>
    <col min="7" max="11" width="11.453125" style="191" bestFit="1" customWidth="1"/>
  </cols>
  <sheetData>
    <row r="2" spans="2:13" x14ac:dyDescent="0.35">
      <c r="B2" s="279" t="s">
        <v>350</v>
      </c>
      <c r="C2" s="279"/>
      <c r="D2" s="279"/>
      <c r="E2" s="279"/>
      <c r="F2" s="298">
        <f>'Intrinsic Growth'!J3</f>
        <v>46082</v>
      </c>
      <c r="G2" s="299">
        <f>F2+365</f>
        <v>46447</v>
      </c>
      <c r="H2" s="299">
        <f>G2+366</f>
        <v>46813</v>
      </c>
      <c r="I2" s="299">
        <f>H2+365</f>
        <v>47178</v>
      </c>
      <c r="J2" s="299">
        <f t="shared" ref="J2" si="0">I2+365</f>
        <v>47543</v>
      </c>
      <c r="K2" s="299">
        <f>J2+365</f>
        <v>47908</v>
      </c>
      <c r="L2" s="289"/>
      <c r="M2" s="289"/>
    </row>
    <row r="3" spans="2:13" x14ac:dyDescent="0.35">
      <c r="F3" s="190"/>
    </row>
    <row r="4" spans="2:13" x14ac:dyDescent="0.35">
      <c r="B4" s="11" t="s">
        <v>12</v>
      </c>
      <c r="C4" s="11"/>
      <c r="D4" s="11"/>
      <c r="E4" s="11"/>
      <c r="F4" s="194">
        <f t="array" ref="F4:K4">TRANSPOSE(Forecasting!D15:D20)</f>
        <v>87584</v>
      </c>
      <c r="G4" s="195">
        <v>76085.763333333336</v>
      </c>
      <c r="H4" s="195">
        <v>83367.663575757586</v>
      </c>
      <c r="I4" s="195">
        <v>90649.563818181836</v>
      </c>
      <c r="J4" s="195">
        <v>97931.464060606057</v>
      </c>
      <c r="K4" s="195">
        <v>105213.36430303031</v>
      </c>
    </row>
    <row r="5" spans="2:13" x14ac:dyDescent="0.35">
      <c r="B5" s="11" t="s">
        <v>159</v>
      </c>
      <c r="C5" s="11"/>
      <c r="D5" s="11"/>
      <c r="E5" s="11"/>
      <c r="F5" s="201">
        <f t="array" ref="F5:K5">TRANSPOSE(Forecasting!E15:E20)</f>
        <v>0.448723038242689</v>
      </c>
      <c r="G5" s="202">
        <v>-0.13128238795518199</v>
      </c>
      <c r="H5" s="202">
        <v>9.5706475474552244E-2</v>
      </c>
      <c r="I5" s="202">
        <v>8.7346819259328967E-2</v>
      </c>
      <c r="J5" s="202">
        <v>8.0330229244452989E-2</v>
      </c>
      <c r="K5" s="202">
        <v>7.4357105882923991E-2</v>
      </c>
    </row>
    <row r="6" spans="2:13" x14ac:dyDescent="0.35">
      <c r="B6" s="11" t="s">
        <v>334</v>
      </c>
      <c r="C6" s="11"/>
      <c r="D6" s="11"/>
      <c r="E6" s="11"/>
      <c r="F6" s="192">
        <f>Historical_FS!L28+Historical_FS!L22</f>
        <v>7981</v>
      </c>
      <c r="G6" s="193">
        <f>F6*(1+$F$18)</f>
        <v>9661.8989027443658</v>
      </c>
      <c r="H6" s="193">
        <f>G6*(1+$F$18)</f>
        <v>11696.816239425232</v>
      </c>
      <c r="I6" s="193">
        <f>H6*(1+$F$18)</f>
        <v>14160.312741424024</v>
      </c>
      <c r="J6" s="193">
        <f>I6*(1+$F$18)</f>
        <v>17142.652567207348</v>
      </c>
      <c r="K6" s="193">
        <f>J6*(1+$F$18)</f>
        <v>20753.11064142696</v>
      </c>
    </row>
    <row r="7" spans="2:13" x14ac:dyDescent="0.35">
      <c r="B7" s="11" t="s">
        <v>21</v>
      </c>
      <c r="C7" s="11"/>
      <c r="D7" s="11"/>
      <c r="E7" s="11"/>
      <c r="F7" s="197">
        <f>F4*(AVERAGE('Financials&gt;'!H18:L18))</f>
        <v>999.32273089707655</v>
      </c>
      <c r="G7" s="203">
        <f>G4*(AVERAGE('Financials&gt;'!I18:M18))</f>
        <v>821.62620848022357</v>
      </c>
      <c r="H7" s="203">
        <f>H4*(AVERAGE('Financials&gt;'!J18:N18))</f>
        <v>914.72477382715283</v>
      </c>
      <c r="I7" s="203">
        <f>I4*(AVERAGE('Financials&gt;'!K18:O18))</f>
        <v>988.23919773478713</v>
      </c>
      <c r="J7" s="203">
        <f>J4*(AVERAGE('Financials&gt;'!L18:P18))</f>
        <v>1049.3072967088251</v>
      </c>
      <c r="K7" s="203">
        <f>K4*(AVERAGE('Financials&gt;'!M18:Q18))</f>
        <v>1194.8653317627795</v>
      </c>
    </row>
    <row r="8" spans="2:13" x14ac:dyDescent="0.35">
      <c r="B8" s="11" t="s">
        <v>237</v>
      </c>
      <c r="C8" s="11"/>
      <c r="D8" s="11"/>
      <c r="E8" s="11"/>
      <c r="F8" s="196">
        <f>WACC!G10</f>
        <v>0.25169999999999998</v>
      </c>
      <c r="G8" s="204">
        <f>F8</f>
        <v>0.25169999999999998</v>
      </c>
      <c r="H8" s="204">
        <f t="shared" ref="H8:K8" si="1">G8</f>
        <v>0.25169999999999998</v>
      </c>
      <c r="I8" s="204">
        <f t="shared" si="1"/>
        <v>0.25169999999999998</v>
      </c>
      <c r="J8" s="204">
        <f t="shared" si="1"/>
        <v>0.25169999999999998</v>
      </c>
      <c r="K8" s="204">
        <f t="shared" si="1"/>
        <v>0.25169999999999998</v>
      </c>
    </row>
    <row r="9" spans="2:13" x14ac:dyDescent="0.35">
      <c r="B9" s="11"/>
      <c r="C9" s="11"/>
      <c r="D9" s="11"/>
      <c r="E9" s="11"/>
      <c r="F9" s="194"/>
      <c r="G9" s="205"/>
      <c r="H9" s="205"/>
      <c r="I9" s="205"/>
      <c r="J9" s="205"/>
      <c r="K9" s="205"/>
    </row>
    <row r="10" spans="2:13" x14ac:dyDescent="0.35">
      <c r="B10" s="11" t="s">
        <v>370</v>
      </c>
      <c r="C10" s="11"/>
      <c r="D10" s="11"/>
      <c r="E10" s="11"/>
      <c r="F10" s="192">
        <f>F6*(1-F8)</f>
        <v>5972.1822999999995</v>
      </c>
      <c r="G10" s="206">
        <f t="shared" ref="G10:K10" si="2">G6*(1-G8)</f>
        <v>7229.9989489236086</v>
      </c>
      <c r="H10" s="206">
        <f t="shared" si="2"/>
        <v>8752.7275919619005</v>
      </c>
      <c r="I10" s="206">
        <f t="shared" si="2"/>
        <v>10596.162024407597</v>
      </c>
      <c r="J10" s="206">
        <f t="shared" si="2"/>
        <v>12827.846916041257</v>
      </c>
      <c r="K10" s="206">
        <f t="shared" si="2"/>
        <v>15529.552692979792</v>
      </c>
    </row>
    <row r="11" spans="2:13" x14ac:dyDescent="0.35">
      <c r="B11" s="11" t="s">
        <v>369</v>
      </c>
      <c r="C11" s="11"/>
      <c r="D11" s="11"/>
      <c r="E11" s="11"/>
      <c r="F11" s="197">
        <f>-F10*(Assumptions!$C$16)</f>
        <v>-4479.1367249999994</v>
      </c>
      <c r="G11" s="203">
        <f>-G10*(Assumptions!$C$16)</f>
        <v>-5422.499211692706</v>
      </c>
      <c r="H11" s="203">
        <f>-H10*(Assumptions!$C$16)</f>
        <v>-6564.5456939714259</v>
      </c>
      <c r="I11" s="203">
        <f>-I10*(Assumptions!$C$16)</f>
        <v>-7947.1215183056975</v>
      </c>
      <c r="J11" s="203">
        <f>-J10*(Assumptions!$C$16)</f>
        <v>-9620.8851870309427</v>
      </c>
      <c r="K11" s="203">
        <f>-K10*(Assumptions!$C$16)</f>
        <v>-11647.164519734844</v>
      </c>
    </row>
    <row r="12" spans="2:13" x14ac:dyDescent="0.35">
      <c r="B12" s="11"/>
      <c r="C12" s="11"/>
      <c r="D12" s="11"/>
      <c r="E12" s="11"/>
      <c r="F12" s="194"/>
      <c r="G12" s="205"/>
      <c r="H12" s="205"/>
      <c r="I12" s="205"/>
      <c r="J12" s="205"/>
      <c r="K12" s="205"/>
    </row>
    <row r="13" spans="2:13" x14ac:dyDescent="0.35">
      <c r="B13" s="11" t="s">
        <v>351</v>
      </c>
      <c r="C13" s="11"/>
      <c r="D13" s="11"/>
      <c r="E13" s="11"/>
      <c r="F13" s="197">
        <f t="shared" ref="F13:K13" si="3">SUM(F10:F11)</f>
        <v>1493.0455750000001</v>
      </c>
      <c r="G13" s="203">
        <f t="shared" si="3"/>
        <v>1807.4997372309026</v>
      </c>
      <c r="H13" s="203">
        <f t="shared" si="3"/>
        <v>2188.1818979904747</v>
      </c>
      <c r="I13" s="203">
        <f t="shared" si="3"/>
        <v>2649.0405061018992</v>
      </c>
      <c r="J13" s="203">
        <f t="shared" si="3"/>
        <v>3206.9617290103142</v>
      </c>
      <c r="K13" s="203">
        <f t="shared" si="3"/>
        <v>3882.3881732449481</v>
      </c>
    </row>
    <row r="14" spans="2:13" x14ac:dyDescent="0.35">
      <c r="B14" s="11" t="s">
        <v>352</v>
      </c>
      <c r="C14" s="11"/>
      <c r="D14" s="11"/>
      <c r="E14" s="11"/>
      <c r="F14" s="194"/>
      <c r="G14" s="198">
        <v>0.5</v>
      </c>
      <c r="H14" s="195">
        <f>G14+1</f>
        <v>1.5</v>
      </c>
      <c r="I14" s="195">
        <f t="shared" ref="I14:K14" si="4">H14+1</f>
        <v>2.5</v>
      </c>
      <c r="J14" s="195">
        <f t="shared" si="4"/>
        <v>3.5</v>
      </c>
      <c r="K14" s="195">
        <f t="shared" si="4"/>
        <v>4.5</v>
      </c>
    </row>
    <row r="15" spans="2:13" ht="15" thickBot="1" x14ac:dyDescent="0.4">
      <c r="B15" s="90" t="s">
        <v>353</v>
      </c>
      <c r="C15" s="90"/>
      <c r="D15" s="90"/>
      <c r="E15" s="90"/>
      <c r="F15" s="207"/>
      <c r="G15" s="208">
        <f>1/(1+$F$20)^G14</f>
        <v>0.92453874673423031</v>
      </c>
      <c r="H15" s="208">
        <f t="shared" ref="H15:K15" si="5">1/(1+$F$20)^H14</f>
        <v>0.79026973581923987</v>
      </c>
      <c r="I15" s="208">
        <f t="shared" si="5"/>
        <v>0.67550035902534078</v>
      </c>
      <c r="J15" s="208">
        <f t="shared" si="5"/>
        <v>0.57739872142558546</v>
      </c>
      <c r="K15" s="208">
        <f t="shared" si="5"/>
        <v>0.49354419882905504</v>
      </c>
    </row>
    <row r="16" spans="2:13" ht="15" thickTop="1" x14ac:dyDescent="0.35">
      <c r="B16" s="209" t="s">
        <v>354</v>
      </c>
      <c r="C16" s="210"/>
      <c r="D16" s="210"/>
      <c r="E16" s="210"/>
      <c r="F16" s="211"/>
      <c r="G16" s="212">
        <f>G13*G15</f>
        <v>1671.1035417819094</v>
      </c>
      <c r="H16" s="212">
        <f t="shared" ref="H16:K16" si="6">H13*H15</f>
        <v>1729.2539304493753</v>
      </c>
      <c r="I16" s="212">
        <f t="shared" si="6"/>
        <v>1789.4278129445033</v>
      </c>
      <c r="J16" s="212">
        <f t="shared" si="6"/>
        <v>1851.6956019913403</v>
      </c>
      <c r="K16" s="212">
        <f t="shared" si="6"/>
        <v>1916.1301605075764</v>
      </c>
    </row>
    <row r="18" spans="2:13" x14ac:dyDescent="0.35">
      <c r="B18" s="184" t="s">
        <v>355</v>
      </c>
      <c r="C18" s="184"/>
      <c r="D18" s="184"/>
      <c r="E18" s="184"/>
      <c r="F18" s="199">
        <f>'Intrinsic Growth'!J65</f>
        <v>0.21061256769131267</v>
      </c>
    </row>
    <row r="19" spans="2:13" x14ac:dyDescent="0.35">
      <c r="B19" s="184" t="s">
        <v>356</v>
      </c>
      <c r="C19" s="184"/>
      <c r="D19" s="184"/>
      <c r="E19" s="184"/>
      <c r="F19" s="200">
        <v>5.7500000000000002E-2</v>
      </c>
    </row>
    <row r="20" spans="2:13" x14ac:dyDescent="0.35">
      <c r="B20" s="184" t="s">
        <v>257</v>
      </c>
      <c r="C20" s="184"/>
      <c r="D20" s="184"/>
      <c r="E20" s="184"/>
      <c r="F20" s="199">
        <f>WACC!K43</f>
        <v>0.16990276209400756</v>
      </c>
    </row>
    <row r="22" spans="2:13" x14ac:dyDescent="0.35">
      <c r="B22" s="345" t="s">
        <v>357</v>
      </c>
      <c r="C22" s="345"/>
      <c r="D22" s="345"/>
      <c r="E22" s="345"/>
      <c r="F22" s="345"/>
      <c r="H22" s="346" t="s">
        <v>474</v>
      </c>
      <c r="I22" s="347"/>
      <c r="J22" s="347"/>
      <c r="K22" s="347"/>
      <c r="L22" s="347"/>
      <c r="M22" s="348"/>
    </row>
    <row r="23" spans="2:13" x14ac:dyDescent="0.35">
      <c r="H23" s="246">
        <f>E40</f>
        <v>350.66692671240696</v>
      </c>
      <c r="I23" s="247">
        <v>0.15</v>
      </c>
      <c r="J23" s="247">
        <v>0.16</v>
      </c>
      <c r="K23" s="247">
        <f>D25</f>
        <v>0.16990276209400756</v>
      </c>
      <c r="L23" s="248">
        <v>0.17</v>
      </c>
      <c r="M23" s="249">
        <v>0.18</v>
      </c>
    </row>
    <row r="24" spans="2:13" x14ac:dyDescent="0.35">
      <c r="B24" s="11" t="s">
        <v>358</v>
      </c>
      <c r="C24" s="11"/>
      <c r="D24" s="187">
        <f>K10*(1+F19)*(1-F19/F20)</f>
        <v>10864.653166842492</v>
      </c>
      <c r="H24" s="250">
        <v>0.03</v>
      </c>
      <c r="I24" s="251">
        <f t="dataTable" ref="I24:M28" dt2D="1" dtr="1" r1="D25" r2="D26"/>
        <v>316.64718272637106</v>
      </c>
      <c r="J24" s="251">
        <v>277.92953664460561</v>
      </c>
      <c r="K24" s="251">
        <v>277.92953664460561</v>
      </c>
      <c r="L24" s="252">
        <v>244.74298286023532</v>
      </c>
      <c r="M24" s="253">
        <v>215.98130291378106</v>
      </c>
    </row>
    <row r="25" spans="2:13" x14ac:dyDescent="0.35">
      <c r="B25" s="11" t="s">
        <v>257</v>
      </c>
      <c r="C25" s="11"/>
      <c r="D25" s="182">
        <f>F20</f>
        <v>0.16990276209400756</v>
      </c>
      <c r="H25" s="250">
        <v>0.04</v>
      </c>
      <c r="I25" s="251">
        <v>362.40440082300302</v>
      </c>
      <c r="J25" s="251">
        <v>316.64718272637106</v>
      </c>
      <c r="K25" s="251">
        <v>316.64718272637106</v>
      </c>
      <c r="L25" s="252">
        <v>277.92953664460561</v>
      </c>
      <c r="M25" s="253">
        <v>244.74298286023537</v>
      </c>
    </row>
    <row r="26" spans="2:13" x14ac:dyDescent="0.35">
      <c r="B26" s="11" t="s">
        <v>359</v>
      </c>
      <c r="C26" s="11"/>
      <c r="D26" s="182">
        <f>F19</f>
        <v>5.7500000000000002E-2</v>
      </c>
      <c r="H26" s="250">
        <f>D26</f>
        <v>5.7500000000000002E-2</v>
      </c>
      <c r="I26" s="251">
        <v>362.40440082300302</v>
      </c>
      <c r="J26" s="251">
        <v>316.64718272637106</v>
      </c>
      <c r="K26" s="254">
        <v>316.64718272637106</v>
      </c>
      <c r="L26" s="252">
        <v>277.92953664460561</v>
      </c>
      <c r="M26" s="253">
        <v>244.74298286023537</v>
      </c>
    </row>
    <row r="27" spans="2:13" x14ac:dyDescent="0.35">
      <c r="H27" s="250">
        <v>0.06</v>
      </c>
      <c r="I27" s="251">
        <v>484.42364908068782</v>
      </c>
      <c r="J27" s="251">
        <v>417.31306253896105</v>
      </c>
      <c r="K27" s="251">
        <v>417.31306253896105</v>
      </c>
      <c r="L27" s="252">
        <v>362.40440082300285</v>
      </c>
      <c r="M27" s="253">
        <v>316.64718272637106</v>
      </c>
    </row>
    <row r="28" spans="2:13" ht="15" thickBot="1" x14ac:dyDescent="0.4">
      <c r="B28" s="186" t="s">
        <v>360</v>
      </c>
      <c r="C28" s="186"/>
      <c r="D28" s="186">
        <f>D24/(D25-D26)</f>
        <v>96658.240104063327</v>
      </c>
      <c r="H28" s="255">
        <v>7.0000000000000007E-2</v>
      </c>
      <c r="I28" s="256">
        <v>568.31188225784626</v>
      </c>
      <c r="J28" s="256">
        <v>484.42364908068782</v>
      </c>
      <c r="K28" s="256">
        <v>484.42364908068782</v>
      </c>
      <c r="L28" s="257">
        <v>417.31306253896105</v>
      </c>
      <c r="M28" s="258">
        <v>362.40440082300302</v>
      </c>
    </row>
    <row r="29" spans="2:13" ht="15" thickTop="1" x14ac:dyDescent="0.35"/>
    <row r="30" spans="2:13" x14ac:dyDescent="0.35">
      <c r="B30" s="345" t="s">
        <v>365</v>
      </c>
      <c r="C30" s="345"/>
      <c r="D30" s="345"/>
      <c r="E30" s="345"/>
      <c r="F30" s="345"/>
      <c r="G30" s="300"/>
      <c r="H30" s="300"/>
      <c r="I30" s="300"/>
      <c r="J30" s="300"/>
      <c r="K30" s="300"/>
      <c r="L30" s="289"/>
      <c r="M30" s="289"/>
    </row>
    <row r="31" spans="2:13" x14ac:dyDescent="0.35">
      <c r="B31" s="11" t="s">
        <v>354</v>
      </c>
      <c r="C31" s="11"/>
      <c r="D31" s="11"/>
      <c r="E31" s="187">
        <f>SUM(G16:K16)</f>
        <v>8957.6110476747053</v>
      </c>
    </row>
    <row r="32" spans="2:13" x14ac:dyDescent="0.35">
      <c r="B32" s="11" t="s">
        <v>361</v>
      </c>
      <c r="C32" s="11"/>
      <c r="D32" s="11"/>
      <c r="E32" s="187">
        <f>D28*K15</f>
        <v>47705.113672386375</v>
      </c>
    </row>
    <row r="33" spans="2:5" x14ac:dyDescent="0.35">
      <c r="B33" s="135" t="s">
        <v>362</v>
      </c>
      <c r="C33" s="135"/>
      <c r="D33" s="135"/>
      <c r="E33" s="244">
        <f>SUM(E31:E32)</f>
        <v>56662.72472006108</v>
      </c>
    </row>
    <row r="34" spans="2:5" x14ac:dyDescent="0.35">
      <c r="E34" s="76"/>
    </row>
    <row r="35" spans="2:5" x14ac:dyDescent="0.35">
      <c r="B35" s="11" t="s">
        <v>363</v>
      </c>
      <c r="C35" s="11"/>
      <c r="D35" s="11"/>
      <c r="E35" s="187">
        <f>'Data Sheet'!K69</f>
        <v>1917</v>
      </c>
    </row>
    <row r="36" spans="2:5" x14ac:dyDescent="0.35">
      <c r="B36" s="11" t="s">
        <v>364</v>
      </c>
      <c r="C36" s="11"/>
      <c r="D36" s="11"/>
      <c r="E36" s="187">
        <f>SUM('Raw Data'!N8:N9)</f>
        <v>27448</v>
      </c>
    </row>
    <row r="37" spans="2:5" x14ac:dyDescent="0.35">
      <c r="B37" s="11" t="s">
        <v>366</v>
      </c>
      <c r="C37" s="11"/>
      <c r="D37" s="11"/>
      <c r="E37" s="187">
        <f>E33+E35-E36</f>
        <v>31131.72472006108</v>
      </c>
    </row>
    <row r="38" spans="2:5" x14ac:dyDescent="0.35">
      <c r="B38" s="11" t="s">
        <v>367</v>
      </c>
      <c r="C38" s="11"/>
      <c r="D38" s="11"/>
      <c r="E38" s="189">
        <f>'Data Sheet'!B6</f>
        <v>88.778616825741295</v>
      </c>
    </row>
    <row r="40" spans="2:5" ht="15" thickBot="1" x14ac:dyDescent="0.4">
      <c r="B40" s="186" t="s">
        <v>368</v>
      </c>
      <c r="C40" s="186"/>
      <c r="D40" s="186"/>
      <c r="E40" s="188">
        <f>E37/E38</f>
        <v>350.66692671240696</v>
      </c>
    </row>
    <row r="41" spans="2:5" ht="15" thickTop="1" x14ac:dyDescent="0.35"/>
    <row r="42" spans="2:5" x14ac:dyDescent="0.35">
      <c r="B42" s="35" t="s">
        <v>371</v>
      </c>
      <c r="C42" s="35"/>
      <c r="D42" s="35"/>
      <c r="E42" s="35">
        <f>'Data Sheet'!B8</f>
        <v>4515.7</v>
      </c>
    </row>
    <row r="43" spans="2:5" x14ac:dyDescent="0.35">
      <c r="B43" s="35" t="s">
        <v>372</v>
      </c>
      <c r="C43" s="35"/>
      <c r="D43" s="35"/>
      <c r="E43" s="213">
        <f>E42/E40-1</f>
        <v>11.877461933281973</v>
      </c>
    </row>
  </sheetData>
  <mergeCells count="3">
    <mergeCell ref="B22:F22"/>
    <mergeCell ref="B30:F30"/>
    <mergeCell ref="H22:M2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O37"/>
  <sheetViews>
    <sheetView showGridLines="0" topLeftCell="A22" zoomScale="89" workbookViewId="0">
      <selection activeCell="S9" sqref="S9"/>
    </sheetView>
  </sheetViews>
  <sheetFormatPr defaultRowHeight="14.5" x14ac:dyDescent="0.35"/>
  <cols>
    <col min="1" max="1" width="2.54296875" customWidth="1"/>
    <col min="2" max="2" width="15.54296875" bestFit="1" customWidth="1"/>
    <col min="4" max="4" width="11.1796875" customWidth="1"/>
    <col min="5" max="5" width="10.36328125" bestFit="1" customWidth="1"/>
    <col min="7" max="7" width="10.36328125" customWidth="1"/>
    <col min="8" max="8" width="1.90625" style="224" customWidth="1"/>
    <col min="12" max="12" width="2.1796875" customWidth="1"/>
    <col min="13" max="13" width="11.08984375" bestFit="1" customWidth="1"/>
    <col min="14" max="14" width="12" customWidth="1"/>
    <col min="15" max="15" width="11.90625" customWidth="1"/>
  </cols>
  <sheetData>
    <row r="2" spans="2:15" x14ac:dyDescent="0.35">
      <c r="B2" s="240" t="s">
        <v>466</v>
      </c>
    </row>
    <row r="3" spans="2:15" x14ac:dyDescent="0.35">
      <c r="B3" s="351" t="s">
        <v>465</v>
      </c>
      <c r="C3" s="351"/>
      <c r="D3" s="351"/>
      <c r="E3" s="351"/>
      <c r="F3" s="351"/>
      <c r="G3" s="351"/>
      <c r="H3" s="351"/>
      <c r="I3" s="351"/>
      <c r="J3" s="351"/>
      <c r="K3" s="351"/>
      <c r="L3" s="351"/>
      <c r="M3" s="351"/>
      <c r="N3" s="351"/>
      <c r="O3" s="351"/>
    </row>
    <row r="4" spans="2:15" ht="5" customHeight="1" x14ac:dyDescent="0.35"/>
    <row r="5" spans="2:15" x14ac:dyDescent="0.35">
      <c r="B5" s="310"/>
      <c r="C5" s="350" t="s">
        <v>425</v>
      </c>
      <c r="D5" s="350"/>
      <c r="E5" s="350"/>
      <c r="F5" s="350"/>
      <c r="G5" s="350"/>
      <c r="H5" s="310"/>
      <c r="I5" s="350" t="s">
        <v>428</v>
      </c>
      <c r="J5" s="350"/>
      <c r="K5" s="350"/>
      <c r="L5" s="279"/>
      <c r="M5" s="350" t="s">
        <v>429</v>
      </c>
      <c r="N5" s="350"/>
      <c r="O5" s="350"/>
    </row>
    <row r="6" spans="2:15" ht="29" x14ac:dyDescent="0.35">
      <c r="B6" s="279" t="s">
        <v>430</v>
      </c>
      <c r="C6" s="311" t="s">
        <v>420</v>
      </c>
      <c r="D6" s="311" t="s">
        <v>421</v>
      </c>
      <c r="E6" s="311" t="s">
        <v>422</v>
      </c>
      <c r="F6" s="279" t="s">
        <v>423</v>
      </c>
      <c r="G6" s="311" t="s">
        <v>424</v>
      </c>
      <c r="H6" s="312"/>
      <c r="I6" s="279" t="s">
        <v>426</v>
      </c>
      <c r="J6" s="279" t="s">
        <v>103</v>
      </c>
      <c r="K6" s="279" t="s">
        <v>427</v>
      </c>
      <c r="L6" s="279"/>
      <c r="M6" s="279" t="s">
        <v>453</v>
      </c>
      <c r="N6" s="279" t="s">
        <v>454</v>
      </c>
      <c r="O6" s="280" t="s">
        <v>455</v>
      </c>
    </row>
    <row r="7" spans="2:15" ht="3" customHeight="1" x14ac:dyDescent="0.35">
      <c r="C7" s="76"/>
      <c r="D7" s="76"/>
      <c r="E7" s="76"/>
      <c r="F7" s="76"/>
      <c r="G7" s="76"/>
      <c r="I7" s="76"/>
      <c r="J7" s="76"/>
      <c r="K7" s="76"/>
    </row>
    <row r="8" spans="2:15" ht="15" customHeight="1" x14ac:dyDescent="0.35">
      <c r="C8" s="76"/>
      <c r="D8" s="76"/>
      <c r="E8" s="76"/>
      <c r="F8" s="76"/>
      <c r="G8" s="76"/>
      <c r="I8" s="76"/>
      <c r="J8" s="76"/>
      <c r="K8" s="76"/>
    </row>
    <row r="9" spans="2:15" x14ac:dyDescent="0.35">
      <c r="B9" s="305" t="str">
        <f>Data2!C5</f>
        <v>Titan Company</v>
      </c>
      <c r="C9" s="306">
        <f>Data2!D5</f>
        <v>4420.55</v>
      </c>
      <c r="D9" s="307">
        <f>Data2!E5</f>
        <v>88.78</v>
      </c>
      <c r="E9" s="306">
        <f>C9*D9</f>
        <v>392456.429</v>
      </c>
      <c r="F9" s="306">
        <f>Data2!I5</f>
        <v>28704</v>
      </c>
      <c r="G9" s="306">
        <f>Data2!J5</f>
        <v>421160.429</v>
      </c>
      <c r="H9" s="308"/>
      <c r="I9" s="306">
        <f>Data2!K5</f>
        <v>92417</v>
      </c>
      <c r="J9" s="306">
        <f>Data2!L5</f>
        <v>10012</v>
      </c>
      <c r="K9" s="306">
        <f>Data2!M5</f>
        <v>5760</v>
      </c>
      <c r="L9" s="305"/>
      <c r="M9" s="309">
        <f>G9/I9</f>
        <v>4.5571748596037525</v>
      </c>
      <c r="N9" s="309">
        <f>G9/J9</f>
        <v>42.06556422293248</v>
      </c>
      <c r="O9" s="309">
        <f>E9/K9</f>
        <v>68.134796701388893</v>
      </c>
    </row>
    <row r="10" spans="2:15" x14ac:dyDescent="0.35">
      <c r="B10" s="228" t="str">
        <f>Data2!C6</f>
        <v>Kalyan Jewellers</v>
      </c>
      <c r="C10" s="229">
        <f>Data2!D6</f>
        <v>553.6</v>
      </c>
      <c r="D10" s="230">
        <f>Data2!E6</f>
        <v>103.28</v>
      </c>
      <c r="E10" s="229">
        <f t="shared" ref="E10:E18" si="0">C10*D10</f>
        <v>57175.808000000005</v>
      </c>
      <c r="F10" s="229">
        <f>Data2!I6</f>
        <v>5256.43</v>
      </c>
      <c r="G10" s="229">
        <f>Data2!J6</f>
        <v>62432.237999999998</v>
      </c>
      <c r="H10" s="231"/>
      <c r="I10" s="229">
        <f>Data2!K6</f>
        <v>39063.32</v>
      </c>
      <c r="J10" s="229">
        <f>Data2!L6</f>
        <v>2833.19</v>
      </c>
      <c r="K10" s="229">
        <f>Data2!M6</f>
        <v>1434.98</v>
      </c>
      <c r="L10" s="228"/>
      <c r="M10" s="233">
        <f t="shared" ref="M10:M18" si="1">G10/I10</f>
        <v>1.5982317427192567</v>
      </c>
      <c r="N10" s="233">
        <f t="shared" ref="N10:N18" si="2">G10/J10</f>
        <v>22.036022292892461</v>
      </c>
      <c r="O10" s="233">
        <f t="shared" ref="O10:O18" si="3">E10/K10</f>
        <v>39.844323962703314</v>
      </c>
    </row>
    <row r="11" spans="2:15" x14ac:dyDescent="0.35">
      <c r="B11" s="228" t="str">
        <f>Data2!C7</f>
        <v>Lalithaa Jewel</v>
      </c>
      <c r="C11" s="229">
        <f>Data2!D7</f>
        <v>381.9</v>
      </c>
      <c r="D11" s="230">
        <f>Data2!E7</f>
        <v>55.97</v>
      </c>
      <c r="E11" s="229">
        <f t="shared" si="0"/>
        <v>21374.942999999999</v>
      </c>
      <c r="F11" s="229">
        <f>Data2!I7</f>
        <v>2007.3400000000001</v>
      </c>
      <c r="G11" s="229">
        <f>Data2!J7</f>
        <v>23382.282999999999</v>
      </c>
      <c r="H11" s="231"/>
      <c r="I11" s="229">
        <f>Data2!K7</f>
        <v>25039.040000000001</v>
      </c>
      <c r="J11" s="229">
        <f>Data2!L7</f>
        <v>1734.5500000000002</v>
      </c>
      <c r="K11" s="229">
        <f>Data2!M7</f>
        <v>1008.79</v>
      </c>
      <c r="L11" s="228"/>
      <c r="M11" s="233">
        <f t="shared" si="1"/>
        <v>0.93383304631487463</v>
      </c>
      <c r="N11" s="233">
        <f t="shared" si="2"/>
        <v>13.480316508604535</v>
      </c>
      <c r="O11" s="233">
        <f t="shared" si="3"/>
        <v>21.188694376431169</v>
      </c>
    </row>
    <row r="12" spans="2:15" x14ac:dyDescent="0.35">
      <c r="B12" s="228" t="str">
        <f>Data2!C8</f>
        <v>Thangamayil Jew.</v>
      </c>
      <c r="C12" s="229">
        <f>Data2!D8</f>
        <v>4905.2</v>
      </c>
      <c r="D12" s="230">
        <f>Data2!E8</f>
        <v>3.11</v>
      </c>
      <c r="E12" s="229">
        <f t="shared" si="0"/>
        <v>15255.171999999999</v>
      </c>
      <c r="F12" s="229">
        <f>Data2!I8</f>
        <v>531.98</v>
      </c>
      <c r="G12" s="229">
        <f>Data2!J8</f>
        <v>15787.151999999998</v>
      </c>
      <c r="H12" s="231"/>
      <c r="I12" s="229">
        <f>Data2!K8</f>
        <v>9622.2800000000007</v>
      </c>
      <c r="J12" s="229">
        <f>Data2!L8</f>
        <v>636.82000000000005</v>
      </c>
      <c r="K12" s="229">
        <f>Data2!M8</f>
        <v>391.04</v>
      </c>
      <c r="L12" s="228"/>
      <c r="M12" s="233">
        <f t="shared" si="1"/>
        <v>1.6406872383676214</v>
      </c>
      <c r="N12" s="233">
        <f t="shared" si="2"/>
        <v>24.79060331019754</v>
      </c>
      <c r="O12" s="233">
        <f t="shared" si="3"/>
        <v>39.011794189852694</v>
      </c>
    </row>
    <row r="13" spans="2:15" x14ac:dyDescent="0.35">
      <c r="B13" s="228" t="str">
        <f>Data2!C9</f>
        <v>PC Jeweller</v>
      </c>
      <c r="C13" s="229">
        <f>Data2!D9</f>
        <v>14.95</v>
      </c>
      <c r="D13" s="230">
        <f>Data2!E9</f>
        <v>980.78</v>
      </c>
      <c r="E13" s="229">
        <f t="shared" si="0"/>
        <v>14662.660999999998</v>
      </c>
      <c r="F13" s="229">
        <f>Data2!I9</f>
        <v>1030.3899999999999</v>
      </c>
      <c r="G13" s="229">
        <f>Data2!J9</f>
        <v>15693.050999999998</v>
      </c>
      <c r="H13" s="231"/>
      <c r="I13" s="229">
        <f>Data2!K9</f>
        <v>3505.01</v>
      </c>
      <c r="J13" s="229">
        <f>Data2!L9</f>
        <v>901.34999999999991</v>
      </c>
      <c r="K13" s="229">
        <f>Data2!M9</f>
        <v>774.41</v>
      </c>
      <c r="L13" s="228"/>
      <c r="M13" s="233">
        <f t="shared" si="1"/>
        <v>4.4773198935238403</v>
      </c>
      <c r="N13" s="233">
        <f t="shared" si="2"/>
        <v>17.410607422200034</v>
      </c>
      <c r="O13" s="233">
        <f t="shared" si="3"/>
        <v>18.933976833976832</v>
      </c>
    </row>
    <row r="14" spans="2:15" x14ac:dyDescent="0.35">
      <c r="B14" s="228" t="str">
        <f>Data2!C10</f>
        <v>Sky Gold &amp; Diam.</v>
      </c>
      <c r="C14" s="229">
        <f>Data2!D10</f>
        <v>923.6</v>
      </c>
      <c r="D14" s="230">
        <f>Data2!E10</f>
        <v>15.49</v>
      </c>
      <c r="E14" s="229">
        <f t="shared" si="0"/>
        <v>14306.564</v>
      </c>
      <c r="F14" s="229">
        <f>Data2!I10</f>
        <v>633.66000000000008</v>
      </c>
      <c r="G14" s="229">
        <f>Data2!J10</f>
        <v>14940.224</v>
      </c>
      <c r="H14" s="231"/>
      <c r="I14" s="229">
        <f>Data2!K10</f>
        <v>7176.44</v>
      </c>
      <c r="J14" s="229">
        <f>Data2!L10</f>
        <v>559.71999999999991</v>
      </c>
      <c r="K14" s="229">
        <f>Data2!M10</f>
        <v>343.15</v>
      </c>
      <c r="L14" s="228"/>
      <c r="M14" s="233">
        <f t="shared" si="1"/>
        <v>2.081843365234016</v>
      </c>
      <c r="N14" s="233">
        <f t="shared" si="2"/>
        <v>26.692317587365114</v>
      </c>
      <c r="O14" s="233">
        <f t="shared" si="3"/>
        <v>41.691866530671724</v>
      </c>
    </row>
    <row r="15" spans="2:15" x14ac:dyDescent="0.35">
      <c r="B15" s="228" t="str">
        <f>Data2!C11</f>
        <v>Bluestone Jewel</v>
      </c>
      <c r="C15" s="229">
        <f>Data2!D11</f>
        <v>822</v>
      </c>
      <c r="D15" s="230">
        <f>Data2!E11</f>
        <v>15.28</v>
      </c>
      <c r="E15" s="229">
        <f t="shared" si="0"/>
        <v>12560.16</v>
      </c>
      <c r="F15" s="229">
        <f>Data2!I11</f>
        <v>1472.22</v>
      </c>
      <c r="G15" s="229">
        <f>Data2!J11</f>
        <v>14032.38</v>
      </c>
      <c r="H15" s="231"/>
      <c r="I15" s="229">
        <f>Data2!K11</f>
        <v>2680.6</v>
      </c>
      <c r="J15" s="229">
        <f>Data2!L11</f>
        <v>488.49</v>
      </c>
      <c r="K15" s="229">
        <f>Data2!M11</f>
        <v>53.89</v>
      </c>
      <c r="L15" s="228"/>
      <c r="M15" s="233">
        <f t="shared" si="1"/>
        <v>5.2347907184958586</v>
      </c>
      <c r="N15" s="233">
        <f t="shared" si="2"/>
        <v>28.726033286249461</v>
      </c>
      <c r="O15" s="233">
        <f t="shared" si="3"/>
        <v>233.07032844683613</v>
      </c>
    </row>
    <row r="16" spans="2:15" x14ac:dyDescent="0.35">
      <c r="B16" s="228" t="str">
        <f>Data2!C12</f>
        <v>P N Gadgil Jewe.</v>
      </c>
      <c r="C16" s="229">
        <f>Data2!D12</f>
        <v>599.95000000000005</v>
      </c>
      <c r="D16" s="230">
        <f>Data2!E12</f>
        <v>14.72</v>
      </c>
      <c r="E16" s="229">
        <f t="shared" si="0"/>
        <v>8831.264000000001</v>
      </c>
      <c r="F16" s="229">
        <f>Data2!I12</f>
        <v>1232.6399999999999</v>
      </c>
      <c r="G16" s="229">
        <f>Data2!J12</f>
        <v>10063.904</v>
      </c>
      <c r="H16" s="231"/>
      <c r="I16" s="229">
        <f>Data2!K12</f>
        <v>11437.52</v>
      </c>
      <c r="J16" s="229">
        <f>Data2!L12</f>
        <v>773.39</v>
      </c>
      <c r="K16" s="229">
        <f>Data2!M12</f>
        <v>445.82</v>
      </c>
      <c r="L16" s="228"/>
      <c r="M16" s="233">
        <f t="shared" si="1"/>
        <v>0.87990263623582732</v>
      </c>
      <c r="N16" s="233">
        <f t="shared" si="2"/>
        <v>13.012715447574964</v>
      </c>
      <c r="O16" s="233">
        <f t="shared" si="3"/>
        <v>19.809035036561845</v>
      </c>
    </row>
    <row r="17" spans="2:15" x14ac:dyDescent="0.35">
      <c r="B17" s="228" t="str">
        <f>Data2!C13</f>
        <v>Timex Group</v>
      </c>
      <c r="C17" s="229">
        <f>Data2!D13</f>
        <v>728.05</v>
      </c>
      <c r="D17" s="230">
        <f>Data2!E13</f>
        <v>10.1</v>
      </c>
      <c r="E17" s="229">
        <f t="shared" si="0"/>
        <v>7353.3049999999994</v>
      </c>
      <c r="F17" s="229">
        <f>Data2!I13</f>
        <v>37.44</v>
      </c>
      <c r="G17" s="229">
        <f>Data2!J13</f>
        <v>7390.744999999999</v>
      </c>
      <c r="H17" s="231"/>
      <c r="I17" s="229">
        <f>Data2!K13</f>
        <v>848.55</v>
      </c>
      <c r="J17" s="229">
        <f>Data2!L13</f>
        <v>129.97</v>
      </c>
      <c r="K17" s="229">
        <f>Data2!M13</f>
        <v>85.79</v>
      </c>
      <c r="L17" s="228"/>
      <c r="M17" s="233">
        <f t="shared" si="1"/>
        <v>8.7098521006422711</v>
      </c>
      <c r="N17" s="233">
        <f t="shared" si="2"/>
        <v>56.865007309379081</v>
      </c>
      <c r="O17" s="233">
        <f t="shared" si="3"/>
        <v>85.712845319967343</v>
      </c>
    </row>
    <row r="18" spans="2:15" x14ac:dyDescent="0.35">
      <c r="B18" s="228" t="str">
        <f>Data2!C14</f>
        <v>Ethos</v>
      </c>
      <c r="C18" s="229">
        <f>Data2!D14</f>
        <v>2575.0500000000002</v>
      </c>
      <c r="D18" s="230">
        <f>Data2!E14</f>
        <v>2.68</v>
      </c>
      <c r="E18" s="229">
        <f t="shared" si="0"/>
        <v>6901.1340000000009</v>
      </c>
      <c r="F18" s="229">
        <f>Data2!I14</f>
        <v>-339.33</v>
      </c>
      <c r="G18" s="229">
        <f>Data2!J14</f>
        <v>6561.804000000001</v>
      </c>
      <c r="H18" s="231"/>
      <c r="I18" s="229">
        <f>Data2!K14</f>
        <v>1727.63</v>
      </c>
      <c r="J18" s="229">
        <f>Data2!L14</f>
        <v>271.77</v>
      </c>
      <c r="K18" s="229">
        <f>Data2!M14</f>
        <v>105.78</v>
      </c>
      <c r="L18" s="228"/>
      <c r="M18" s="233">
        <f t="shared" si="1"/>
        <v>3.798153539820448</v>
      </c>
      <c r="N18" s="233">
        <f t="shared" si="2"/>
        <v>24.144695882547747</v>
      </c>
      <c r="O18" s="233">
        <f t="shared" si="3"/>
        <v>65.240442427680094</v>
      </c>
    </row>
    <row r="20" spans="2:15" x14ac:dyDescent="0.35">
      <c r="B20" s="286" t="s">
        <v>456</v>
      </c>
      <c r="C20" s="286"/>
      <c r="D20" s="286"/>
      <c r="E20" s="286"/>
      <c r="F20" s="286"/>
      <c r="G20" s="286"/>
      <c r="H20" s="302"/>
      <c r="I20" s="286"/>
      <c r="J20" s="286"/>
      <c r="K20" s="286"/>
      <c r="L20" s="286"/>
      <c r="M20" s="303">
        <f>MAX(M9:M18)</f>
        <v>8.7098521006422711</v>
      </c>
      <c r="N20" s="303">
        <f t="shared" ref="N20:O20" si="4">MAX(N9:N18)</f>
        <v>56.865007309379081</v>
      </c>
      <c r="O20" s="303">
        <f t="shared" si="4"/>
        <v>233.07032844683613</v>
      </c>
    </row>
    <row r="21" spans="2:15" x14ac:dyDescent="0.35">
      <c r="B21" s="286" t="s">
        <v>457</v>
      </c>
      <c r="C21" s="286"/>
      <c r="D21" s="286"/>
      <c r="E21" s="286"/>
      <c r="F21" s="286"/>
      <c r="G21" s="286"/>
      <c r="H21" s="302"/>
      <c r="I21" s="286"/>
      <c r="J21" s="286"/>
      <c r="K21" s="286"/>
      <c r="L21" s="286"/>
      <c r="M21" s="303">
        <f>_xlfn.QUARTILE.INC(M9:M18,3)</f>
        <v>4.5372111180837749</v>
      </c>
      <c r="N21" s="303">
        <f t="shared" ref="N21:O21" si="5">_xlfn.QUARTILE.INC(N9:N18,3)</f>
        <v>28.217604361528373</v>
      </c>
      <c r="O21" s="303">
        <f t="shared" si="5"/>
        <v>67.41120813296169</v>
      </c>
    </row>
    <row r="22" spans="2:15" x14ac:dyDescent="0.35">
      <c r="B22" s="286" t="s">
        <v>232</v>
      </c>
      <c r="C22" s="286"/>
      <c r="D22" s="286"/>
      <c r="E22" s="286"/>
      <c r="F22" s="286"/>
      <c r="G22" s="286"/>
      <c r="H22" s="302"/>
      <c r="I22" s="286"/>
      <c r="J22" s="286"/>
      <c r="K22" s="286"/>
      <c r="L22" s="286"/>
      <c r="M22" s="304">
        <f>AVERAGE(M10:M18)</f>
        <v>3.2616238090393352</v>
      </c>
      <c r="N22" s="304">
        <f t="shared" ref="N22:O22" si="6">AVERAGE(N10:N18)</f>
        <v>25.239813227445662</v>
      </c>
      <c r="O22" s="304">
        <f t="shared" si="6"/>
        <v>62.722589680520137</v>
      </c>
    </row>
    <row r="23" spans="2:15" x14ac:dyDescent="0.35">
      <c r="B23" s="286" t="s">
        <v>188</v>
      </c>
      <c r="C23" s="286"/>
      <c r="D23" s="286"/>
      <c r="E23" s="286"/>
      <c r="F23" s="286"/>
      <c r="G23" s="286"/>
      <c r="H23" s="302"/>
      <c r="I23" s="286"/>
      <c r="J23" s="286"/>
      <c r="K23" s="286"/>
      <c r="L23" s="286"/>
      <c r="M23" s="304">
        <f>MEDIAN(M9:M18)</f>
        <v>2.9399984525272318</v>
      </c>
      <c r="N23" s="304">
        <f t="shared" ref="N23:O23" si="7">MEDIAN(N9:N18)</f>
        <v>24.467649596372645</v>
      </c>
      <c r="O23" s="304">
        <f t="shared" si="7"/>
        <v>40.768095246687523</v>
      </c>
    </row>
    <row r="24" spans="2:15" x14ac:dyDescent="0.35">
      <c r="B24" s="286" t="s">
        <v>458</v>
      </c>
      <c r="C24" s="286"/>
      <c r="D24" s="286"/>
      <c r="E24" s="286"/>
      <c r="F24" s="286"/>
      <c r="G24" s="286"/>
      <c r="H24" s="302"/>
      <c r="I24" s="286"/>
      <c r="J24" s="286"/>
      <c r="K24" s="286"/>
      <c r="L24" s="286"/>
      <c r="M24" s="303">
        <f>_xlfn.QUARTILE.INC(M9:M18,1)</f>
        <v>1.6088456166313478</v>
      </c>
      <c r="N24" s="303">
        <f t="shared" ref="N24:O24" si="8">_xlfn.QUARTILE.INC(N9:N18,1)</f>
        <v>18.56696113987314</v>
      </c>
      <c r="O24" s="303">
        <f t="shared" si="8"/>
        <v>25.644469329786549</v>
      </c>
    </row>
    <row r="25" spans="2:15" x14ac:dyDescent="0.35">
      <c r="B25" s="286" t="s">
        <v>459</v>
      </c>
      <c r="C25" s="286"/>
      <c r="D25" s="286"/>
      <c r="E25" s="286"/>
      <c r="F25" s="286"/>
      <c r="G25" s="286"/>
      <c r="H25" s="302"/>
      <c r="I25" s="286"/>
      <c r="J25" s="286"/>
      <c r="K25" s="286"/>
      <c r="L25" s="286"/>
      <c r="M25" s="303">
        <f>MIN(M9:M18)</f>
        <v>0.87990263623582732</v>
      </c>
      <c r="N25" s="303">
        <f t="shared" ref="N25:O25" si="9">MIN(N9:N18)</f>
        <v>13.012715447574964</v>
      </c>
      <c r="O25" s="303">
        <f t="shared" si="9"/>
        <v>18.933976833976832</v>
      </c>
    </row>
    <row r="27" spans="2:15" x14ac:dyDescent="0.35">
      <c r="B27" s="349" t="s">
        <v>460</v>
      </c>
      <c r="C27" s="349"/>
      <c r="D27" s="349"/>
      <c r="E27" s="349"/>
      <c r="F27" s="349"/>
      <c r="G27" s="349"/>
      <c r="H27" s="349"/>
      <c r="I27" s="349"/>
      <c r="J27" s="349"/>
      <c r="K27" s="349"/>
      <c r="L27" s="301"/>
      <c r="M27" s="279" t="s">
        <v>453</v>
      </c>
      <c r="N27" s="279" t="s">
        <v>454</v>
      </c>
      <c r="O27" s="280" t="s">
        <v>455</v>
      </c>
    </row>
    <row r="28" spans="2:15" ht="3" customHeight="1" x14ac:dyDescent="0.35"/>
    <row r="29" spans="2:15" x14ac:dyDescent="0.35">
      <c r="B29" s="234" t="s">
        <v>461</v>
      </c>
      <c r="C29" s="234"/>
      <c r="D29" s="234"/>
      <c r="E29" s="234"/>
      <c r="F29" s="234"/>
      <c r="G29" s="234"/>
      <c r="H29" s="235"/>
      <c r="I29" s="234"/>
      <c r="J29" s="234"/>
      <c r="K29" s="234"/>
      <c r="L29" s="234"/>
      <c r="M29" s="236">
        <f>M23*I9</f>
        <v>271705.83698720916</v>
      </c>
      <c r="N29" s="236">
        <f>N23*J9</f>
        <v>244970.10775888292</v>
      </c>
      <c r="O29" s="236">
        <f>O31+O30</f>
        <v>263528.2286209201</v>
      </c>
    </row>
    <row r="30" spans="2:15" x14ac:dyDescent="0.35">
      <c r="B30" s="234" t="s">
        <v>423</v>
      </c>
      <c r="C30" s="234"/>
      <c r="D30" s="234"/>
      <c r="E30" s="234"/>
      <c r="F30" s="234"/>
      <c r="G30" s="234"/>
      <c r="H30" s="235"/>
      <c r="I30" s="234"/>
      <c r="J30" s="234"/>
      <c r="K30" s="234"/>
      <c r="L30" s="234"/>
      <c r="M30" s="236">
        <f>F9</f>
        <v>28704</v>
      </c>
      <c r="N30" s="236">
        <f>M30</f>
        <v>28704</v>
      </c>
      <c r="O30" s="236">
        <f>N30</f>
        <v>28704</v>
      </c>
    </row>
    <row r="31" spans="2:15" x14ac:dyDescent="0.35">
      <c r="B31" s="234" t="s">
        <v>462</v>
      </c>
      <c r="C31" s="234"/>
      <c r="D31" s="234"/>
      <c r="E31" s="234"/>
      <c r="F31" s="234"/>
      <c r="G31" s="234"/>
      <c r="H31" s="235"/>
      <c r="I31" s="234"/>
      <c r="J31" s="234"/>
      <c r="K31" s="234"/>
      <c r="L31" s="234"/>
      <c r="M31" s="236">
        <f>M29-M30</f>
        <v>243001.83698720916</v>
      </c>
      <c r="N31" s="236">
        <f t="shared" ref="N31" si="10">N29-N30</f>
        <v>216266.10775888292</v>
      </c>
      <c r="O31" s="236">
        <f>O23*K9</f>
        <v>234824.22862092013</v>
      </c>
    </row>
    <row r="32" spans="2:15" x14ac:dyDescent="0.35">
      <c r="B32" s="234" t="s">
        <v>421</v>
      </c>
      <c r="C32" s="234"/>
      <c r="D32" s="234"/>
      <c r="E32" s="234"/>
      <c r="F32" s="234"/>
      <c r="G32" s="234"/>
      <c r="H32" s="235"/>
      <c r="I32" s="234"/>
      <c r="J32" s="234"/>
      <c r="K32" s="234"/>
      <c r="L32" s="234"/>
      <c r="M32" s="236">
        <f>D9</f>
        <v>88.78</v>
      </c>
      <c r="N32" s="236">
        <f>M32</f>
        <v>88.78</v>
      </c>
      <c r="O32" s="236">
        <f>M32</f>
        <v>88.78</v>
      </c>
    </row>
    <row r="33" spans="2:15" ht="5" customHeight="1" x14ac:dyDescent="0.35">
      <c r="M33" s="115"/>
      <c r="N33" s="115"/>
      <c r="O33" s="115"/>
    </row>
    <row r="34" spans="2:15" x14ac:dyDescent="0.35">
      <c r="B34" s="237" t="s">
        <v>463</v>
      </c>
      <c r="C34" s="237"/>
      <c r="D34" s="237"/>
      <c r="E34" s="237"/>
      <c r="F34" s="237"/>
      <c r="G34" s="237"/>
      <c r="H34" s="238"/>
      <c r="I34" s="237"/>
      <c r="J34" s="237"/>
      <c r="K34" s="237"/>
      <c r="L34" s="237"/>
      <c r="M34" s="239">
        <f>M31/M32</f>
        <v>2737.1236425682491</v>
      </c>
      <c r="N34" s="239">
        <f t="shared" ref="N34:O34" si="11">N31/N32</f>
        <v>2435.9777850741489</v>
      </c>
      <c r="O34" s="239">
        <f t="shared" si="11"/>
        <v>2645.0127125582353</v>
      </c>
    </row>
    <row r="35" spans="2:15" x14ac:dyDescent="0.35">
      <c r="B35" s="240" t="s">
        <v>464</v>
      </c>
    </row>
    <row r="36" spans="2:15" x14ac:dyDescent="0.35">
      <c r="B36" s="184"/>
      <c r="C36" s="184"/>
      <c r="D36" s="184"/>
      <c r="E36" s="184"/>
      <c r="F36" s="184"/>
      <c r="G36" s="184"/>
      <c r="H36" s="232"/>
      <c r="I36" s="184"/>
      <c r="J36" s="184"/>
      <c r="K36" s="184"/>
      <c r="L36" s="184"/>
      <c r="M36" s="35" t="str">
        <f>IF(M34&gt;$C$9,"Undervalued","Overvalued")</f>
        <v>Overvalued</v>
      </c>
      <c r="N36" s="35" t="str">
        <f t="shared" ref="N36:O36" si="12">IF(N34&gt;$C$9,"Undervalued","Overvalued")</f>
        <v>Overvalued</v>
      </c>
      <c r="O36" s="35" t="str">
        <f t="shared" si="12"/>
        <v>Overvalued</v>
      </c>
    </row>
    <row r="37" spans="2:15" x14ac:dyDescent="0.35">
      <c r="B37" s="243" t="s">
        <v>473</v>
      </c>
      <c r="C37" s="243"/>
      <c r="D37" s="243"/>
    </row>
  </sheetData>
  <mergeCells count="5">
    <mergeCell ref="B27:K27"/>
    <mergeCell ref="I5:K5"/>
    <mergeCell ref="C5:G5"/>
    <mergeCell ref="B3:O3"/>
    <mergeCell ref="M5:O5"/>
  </mergeCells>
  <pageMargins left="0.25" right="0.25" top="0.75" bottom="0.75" header="0.3" footer="0.3"/>
  <pageSetup scale="76"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3:P9"/>
  <sheetViews>
    <sheetView showGridLines="0" workbookViewId="0">
      <selection activeCell="M20" sqref="M20"/>
    </sheetView>
  </sheetViews>
  <sheetFormatPr defaultRowHeight="14.5" x14ac:dyDescent="0.35"/>
  <cols>
    <col min="1" max="1" width="2.90625" customWidth="1"/>
    <col min="13" max="13" width="9.54296875" bestFit="1" customWidth="1"/>
    <col min="14" max="14" width="8.90625" customWidth="1"/>
  </cols>
  <sheetData>
    <row r="3" spans="11:16" x14ac:dyDescent="0.35">
      <c r="K3" s="345" t="s">
        <v>475</v>
      </c>
      <c r="L3" s="345"/>
      <c r="M3" s="345"/>
      <c r="N3" s="345"/>
      <c r="O3" s="345"/>
      <c r="P3" s="345"/>
    </row>
    <row r="4" spans="11:16" x14ac:dyDescent="0.35">
      <c r="M4" s="259" t="s">
        <v>481</v>
      </c>
      <c r="N4" s="259" t="s">
        <v>459</v>
      </c>
      <c r="O4" s="259" t="s">
        <v>482</v>
      </c>
      <c r="P4" s="259" t="s">
        <v>456</v>
      </c>
    </row>
    <row r="5" spans="11:16" x14ac:dyDescent="0.35">
      <c r="K5" s="10" t="s">
        <v>476</v>
      </c>
      <c r="M5" s="115">
        <f>Relative_Valuation!N34</f>
        <v>2435.9777850741489</v>
      </c>
      <c r="N5" s="115">
        <f>M5</f>
        <v>2435.9777850741489</v>
      </c>
      <c r="O5" s="115">
        <f>Relative_Valuation!M34</f>
        <v>2737.1236425682491</v>
      </c>
      <c r="P5" s="115">
        <f>O5</f>
        <v>2737.1236425682491</v>
      </c>
    </row>
    <row r="6" spans="11:16" x14ac:dyDescent="0.35">
      <c r="K6" s="10" t="s">
        <v>477</v>
      </c>
      <c r="M6" s="115">
        <f>DCF!M24</f>
        <v>215.98130291378106</v>
      </c>
      <c r="N6" s="115">
        <f>M6</f>
        <v>215.98130291378106</v>
      </c>
      <c r="O6" s="115">
        <f>DCF!M28</f>
        <v>362.40440082300302</v>
      </c>
      <c r="P6" s="115">
        <f>O6</f>
        <v>362.40440082300302</v>
      </c>
    </row>
    <row r="7" spans="11:16" x14ac:dyDescent="0.35">
      <c r="K7" s="10" t="s">
        <v>478</v>
      </c>
      <c r="M7" s="115">
        <f>DCF!K24</f>
        <v>277.92953664460561</v>
      </c>
      <c r="N7" s="115">
        <f>M7</f>
        <v>277.92953664460561</v>
      </c>
      <c r="O7" s="115">
        <f>DCF!K28</f>
        <v>484.42364908068782</v>
      </c>
      <c r="P7" s="115">
        <f>O7</f>
        <v>484.42364908068782</v>
      </c>
    </row>
    <row r="8" spans="11:16" x14ac:dyDescent="0.35">
      <c r="K8" s="10" t="s">
        <v>479</v>
      </c>
      <c r="M8" s="115">
        <f>DCF!I24</f>
        <v>316.64718272637106</v>
      </c>
      <c r="N8" s="115">
        <f>M8</f>
        <v>316.64718272637106</v>
      </c>
      <c r="O8" s="115">
        <f>DCF!I28</f>
        <v>568.31188225784626</v>
      </c>
      <c r="P8" s="115">
        <f>O8</f>
        <v>568.31188225784626</v>
      </c>
    </row>
    <row r="9" spans="11:16" x14ac:dyDescent="0.35">
      <c r="K9" s="10" t="s">
        <v>480</v>
      </c>
      <c r="M9" s="115">
        <v>3500</v>
      </c>
      <c r="N9" s="115">
        <f>M9</f>
        <v>3500</v>
      </c>
      <c r="O9" s="115">
        <f>P9</f>
        <v>5187</v>
      </c>
      <c r="P9" s="115">
        <v>5187</v>
      </c>
    </row>
  </sheetData>
  <mergeCells count="1">
    <mergeCell ref="K3:P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686"/>
  <sheetViews>
    <sheetView showGridLines="0" topLeftCell="A112" workbookViewId="0">
      <selection activeCell="B3" sqref="B3:D3"/>
    </sheetView>
  </sheetViews>
  <sheetFormatPr defaultRowHeight="14.5" x14ac:dyDescent="0.35"/>
  <cols>
    <col min="1" max="1" width="2.1796875" customWidth="1"/>
    <col min="2" max="2" width="10.453125" style="125" bestFit="1" customWidth="1"/>
    <col min="3" max="3" width="10.7265625" style="260" customWidth="1"/>
    <col min="4" max="4" width="15.453125" customWidth="1"/>
    <col min="5" max="5" width="5" customWidth="1"/>
    <col min="6" max="6" width="14.453125" customWidth="1"/>
    <col min="7" max="7" width="10.1796875" bestFit="1" customWidth="1"/>
    <col min="8" max="8" width="9.90625" bestFit="1" customWidth="1"/>
    <col min="9" max="9" width="11.81640625" bestFit="1" customWidth="1"/>
  </cols>
  <sheetData>
    <row r="3" spans="2:10" x14ac:dyDescent="0.35">
      <c r="B3" s="313" t="s">
        <v>259</v>
      </c>
      <c r="C3" s="296" t="s">
        <v>260</v>
      </c>
      <c r="D3" s="296" t="s">
        <v>483</v>
      </c>
      <c r="F3" s="352" t="s">
        <v>484</v>
      </c>
      <c r="G3" s="352"/>
      <c r="H3" s="352"/>
      <c r="I3" s="352"/>
      <c r="J3" s="352"/>
    </row>
    <row r="4" spans="2:10" x14ac:dyDescent="0.35">
      <c r="B4" s="262">
        <v>46304</v>
      </c>
      <c r="C4" s="261">
        <v>4406.3999999999996</v>
      </c>
      <c r="D4">
        <v>1.0758114462667653E-2</v>
      </c>
    </row>
    <row r="5" spans="2:10" x14ac:dyDescent="0.35">
      <c r="B5" s="262">
        <v>46303</v>
      </c>
      <c r="C5" s="261">
        <v>4359.5</v>
      </c>
      <c r="D5">
        <v>-3.9981722641078367E-3</v>
      </c>
      <c r="F5" s="263" t="s">
        <v>187</v>
      </c>
      <c r="G5" s="263"/>
      <c r="H5" s="263"/>
      <c r="I5" s="263"/>
      <c r="J5" s="264">
        <f>AVERAGE(D4:D685)</f>
        <v>3.6504918399916589E-4</v>
      </c>
    </row>
    <row r="6" spans="2:10" x14ac:dyDescent="0.35">
      <c r="B6" s="262">
        <v>46302</v>
      </c>
      <c r="C6" s="261">
        <v>4377</v>
      </c>
      <c r="D6">
        <v>-3.8021978021978022E-2</v>
      </c>
      <c r="F6" s="263" t="s">
        <v>485</v>
      </c>
      <c r="G6" s="263"/>
      <c r="H6" s="263"/>
      <c r="I6" s="263"/>
      <c r="J6" s="264">
        <f>_xlfn.STDEV.S(D4:D685)</f>
        <v>1.4594658812561797E-2</v>
      </c>
    </row>
    <row r="7" spans="2:10" x14ac:dyDescent="0.35">
      <c r="B7" s="262">
        <v>46301</v>
      </c>
      <c r="C7" s="261">
        <v>4550</v>
      </c>
      <c r="D7">
        <v>-6.5502183406113534E-3</v>
      </c>
      <c r="F7" s="263" t="s">
        <v>486</v>
      </c>
      <c r="G7" s="263"/>
      <c r="H7" s="263"/>
      <c r="I7" s="263"/>
      <c r="J7" s="264">
        <f>MIN(D4:D685)</f>
        <v>-7.1804521916296438E-2</v>
      </c>
    </row>
    <row r="8" spans="2:10" x14ac:dyDescent="0.35">
      <c r="B8" s="262">
        <v>46300</v>
      </c>
      <c r="C8" s="261">
        <v>4580</v>
      </c>
      <c r="D8">
        <v>1.4239209867794624E-2</v>
      </c>
      <c r="F8" s="263" t="s">
        <v>487</v>
      </c>
      <c r="G8" s="263"/>
      <c r="H8" s="263"/>
      <c r="I8" s="263"/>
      <c r="J8" s="264">
        <f>MAX(D4:D685)</f>
        <v>6.5264484014195975E-2</v>
      </c>
    </row>
    <row r="9" spans="2:10" x14ac:dyDescent="0.35">
      <c r="B9" s="262">
        <v>46296</v>
      </c>
      <c r="C9" s="261">
        <v>4515.7</v>
      </c>
      <c r="D9">
        <v>-1.5543928493568821E-2</v>
      </c>
      <c r="F9" s="263" t="s">
        <v>371</v>
      </c>
      <c r="G9" s="263"/>
      <c r="H9" s="263"/>
      <c r="I9" s="263"/>
      <c r="J9" s="265">
        <v>4406.3999999999996</v>
      </c>
    </row>
    <row r="10" spans="2:10" x14ac:dyDescent="0.35">
      <c r="B10" s="262">
        <v>46295</v>
      </c>
      <c r="C10" s="261">
        <v>4587</v>
      </c>
      <c r="D10">
        <v>-1.8823529411764704E-2</v>
      </c>
    </row>
    <row r="11" spans="2:10" x14ac:dyDescent="0.35">
      <c r="B11" s="262">
        <v>46294</v>
      </c>
      <c r="C11" s="261">
        <v>4675</v>
      </c>
      <c r="D11">
        <v>-2.9982363315696647E-2</v>
      </c>
      <c r="F11" s="225" t="s">
        <v>488</v>
      </c>
      <c r="G11" s="135" t="s">
        <v>492</v>
      </c>
      <c r="H11" s="266" t="s">
        <v>489</v>
      </c>
      <c r="I11" s="266" t="s">
        <v>490</v>
      </c>
      <c r="J11" s="266" t="s">
        <v>491</v>
      </c>
    </row>
    <row r="12" spans="2:10" x14ac:dyDescent="0.35">
      <c r="B12" s="262">
        <v>46293</v>
      </c>
      <c r="C12" s="261">
        <v>4819.5</v>
      </c>
      <c r="D12">
        <v>-1.3206388206388206E-2</v>
      </c>
      <c r="F12" s="267">
        <v>0.05</v>
      </c>
      <c r="G12" s="95">
        <f>100%-F12</f>
        <v>0.95</v>
      </c>
      <c r="H12" s="96">
        <f>_xlfn.PERCENTILE.INC(D4:D685,F12)</f>
        <v>-2.0871636881018389E-2</v>
      </c>
      <c r="I12" s="90">
        <f>$J$9*(1-H12)</f>
        <v>4498.3687807525193</v>
      </c>
      <c r="J12" s="97">
        <f>$J$9-I12</f>
        <v>-91.968780752519706</v>
      </c>
    </row>
    <row r="13" spans="2:10" x14ac:dyDescent="0.35">
      <c r="B13" s="262">
        <v>46290</v>
      </c>
      <c r="C13" s="261">
        <v>4884</v>
      </c>
      <c r="D13">
        <v>1.065700982928091E-2</v>
      </c>
      <c r="F13" s="269">
        <v>0.01</v>
      </c>
      <c r="G13" s="270">
        <f t="shared" ref="G13:G14" si="0">100%-F13</f>
        <v>0.99</v>
      </c>
      <c r="H13" s="271">
        <f>_xlfn.PERCENTILE.INC(D5:D686,F13)</f>
        <v>-3.537831763860292E-2</v>
      </c>
      <c r="I13" s="272">
        <f t="shared" ref="I13:I14" si="1">$J$9*(1-H13)</f>
        <v>4562.2910188427395</v>
      </c>
      <c r="J13" s="273">
        <f t="shared" ref="J13:J14" si="2">$J$9-I13</f>
        <v>-155.89101884273987</v>
      </c>
    </row>
    <row r="14" spans="2:10" x14ac:dyDescent="0.35">
      <c r="B14" s="262">
        <v>46289</v>
      </c>
      <c r="C14" s="261">
        <v>4832.5</v>
      </c>
      <c r="D14">
        <v>-9.7336065573770496E-3</v>
      </c>
      <c r="F14" s="66">
        <v>5.0000000000000001E-3</v>
      </c>
      <c r="G14" s="66">
        <f t="shared" si="0"/>
        <v>0.995</v>
      </c>
      <c r="H14" s="51">
        <f>_xlfn.PERCENTILE.INC(D6:D687,F14)</f>
        <v>-5.4972062348136341E-2</v>
      </c>
      <c r="I14" s="49">
        <f t="shared" si="1"/>
        <v>4648.6288955308273</v>
      </c>
      <c r="J14" s="268">
        <f t="shared" si="2"/>
        <v>-242.22889553082769</v>
      </c>
    </row>
    <row r="15" spans="2:10" x14ac:dyDescent="0.35">
      <c r="B15" s="262">
        <v>46288</v>
      </c>
      <c r="C15" s="261">
        <v>4880</v>
      </c>
      <c r="D15">
        <v>-9.8407223293091196E-3</v>
      </c>
    </row>
    <row r="16" spans="2:10" x14ac:dyDescent="0.35">
      <c r="B16" s="262">
        <v>46287</v>
      </c>
      <c r="C16" s="261">
        <v>4928.5</v>
      </c>
      <c r="D16">
        <v>1.0974358974358974E-2</v>
      </c>
    </row>
    <row r="17" spans="2:4" x14ac:dyDescent="0.35">
      <c r="B17" s="262">
        <v>46286</v>
      </c>
      <c r="C17" s="261">
        <v>4875</v>
      </c>
      <c r="D17">
        <v>1.594248202563301E-2</v>
      </c>
    </row>
    <row r="18" spans="2:4" x14ac:dyDescent="0.35">
      <c r="B18" s="262">
        <v>46283</v>
      </c>
      <c r="C18" s="261">
        <v>4798.5</v>
      </c>
      <c r="D18">
        <v>-8.7791778558149146E-3</v>
      </c>
    </row>
    <row r="19" spans="2:4" x14ac:dyDescent="0.35">
      <c r="B19" s="262">
        <v>46282</v>
      </c>
      <c r="C19" s="261">
        <v>4841</v>
      </c>
      <c r="D19">
        <v>-1.3751655291840685E-2</v>
      </c>
    </row>
    <row r="20" spans="2:4" x14ac:dyDescent="0.35">
      <c r="B20" s="262">
        <v>46281</v>
      </c>
      <c r="C20" s="261">
        <v>4908.5</v>
      </c>
      <c r="D20">
        <v>1.0811367380560133E-2</v>
      </c>
    </row>
    <row r="21" spans="2:4" x14ac:dyDescent="0.35">
      <c r="B21" s="262">
        <v>46280</v>
      </c>
      <c r="C21" s="261">
        <v>4856</v>
      </c>
      <c r="D21">
        <v>-3.0641780616828027E-2</v>
      </c>
    </row>
    <row r="22" spans="2:4" x14ac:dyDescent="0.35">
      <c r="B22" s="262">
        <v>46276</v>
      </c>
      <c r="C22" s="261">
        <v>5009.5</v>
      </c>
      <c r="D22">
        <v>-2.2903804023102969E-3</v>
      </c>
    </row>
    <row r="23" spans="2:4" x14ac:dyDescent="0.35">
      <c r="B23" s="262">
        <v>46275</v>
      </c>
      <c r="C23" s="261">
        <v>5021</v>
      </c>
      <c r="D23">
        <v>3.1968031968031968E-3</v>
      </c>
    </row>
    <row r="24" spans="2:4" x14ac:dyDescent="0.35">
      <c r="B24" s="262">
        <v>46274</v>
      </c>
      <c r="C24" s="261">
        <v>5005</v>
      </c>
      <c r="D24">
        <v>3.6093843994385402E-3</v>
      </c>
    </row>
    <row r="25" spans="2:4" x14ac:dyDescent="0.35">
      <c r="B25" s="262">
        <v>46273</v>
      </c>
      <c r="C25" s="261">
        <v>4987</v>
      </c>
      <c r="D25">
        <v>-1.6016016016016017E-3</v>
      </c>
    </row>
    <row r="26" spans="2:4" x14ac:dyDescent="0.35">
      <c r="B26" s="262">
        <v>46272</v>
      </c>
      <c r="C26" s="261">
        <v>4995</v>
      </c>
      <c r="D26">
        <v>-4.9800796812749003E-3</v>
      </c>
    </row>
    <row r="27" spans="2:4" x14ac:dyDescent="0.35">
      <c r="B27" s="262">
        <v>46269</v>
      </c>
      <c r="C27" s="261">
        <v>5020</v>
      </c>
      <c r="D27">
        <v>-1.3924806047344342E-3</v>
      </c>
    </row>
    <row r="28" spans="2:4" x14ac:dyDescent="0.35">
      <c r="B28" s="262">
        <v>46268</v>
      </c>
      <c r="C28" s="261">
        <v>5027</v>
      </c>
      <c r="D28">
        <v>-9.2629089475758774E-3</v>
      </c>
    </row>
    <row r="29" spans="2:4" x14ac:dyDescent="0.35">
      <c r="B29" s="262">
        <v>46267</v>
      </c>
      <c r="C29" s="261">
        <v>5074</v>
      </c>
      <c r="D29">
        <v>4.7524752475247524E-3</v>
      </c>
    </row>
    <row r="30" spans="2:4" x14ac:dyDescent="0.35">
      <c r="B30" s="262">
        <v>46266</v>
      </c>
      <c r="C30" s="261">
        <v>5050</v>
      </c>
      <c r="D30">
        <v>-1.0269677014738092E-2</v>
      </c>
    </row>
    <row r="31" spans="2:4" x14ac:dyDescent="0.35">
      <c r="B31" s="262">
        <v>46265</v>
      </c>
      <c r="C31" s="261">
        <v>5102.3999999999996</v>
      </c>
      <c r="D31">
        <v>-1.2922695968428419E-2</v>
      </c>
    </row>
    <row r="32" spans="2:4" x14ac:dyDescent="0.35">
      <c r="B32" s="262">
        <v>46262</v>
      </c>
      <c r="C32" s="261">
        <v>5169.2</v>
      </c>
      <c r="D32">
        <v>5.8179129453426797E-3</v>
      </c>
    </row>
    <row r="33" spans="2:4" x14ac:dyDescent="0.35">
      <c r="B33" s="262">
        <v>46261</v>
      </c>
      <c r="C33" s="261">
        <v>5139.3</v>
      </c>
      <c r="D33">
        <v>7.7058823529412125E-3</v>
      </c>
    </row>
    <row r="34" spans="2:4" x14ac:dyDescent="0.35">
      <c r="B34" s="262">
        <v>46260</v>
      </c>
      <c r="C34" s="261">
        <v>5100</v>
      </c>
      <c r="D34">
        <v>-4.8392132375897953E-3</v>
      </c>
    </row>
    <row r="35" spans="2:4" x14ac:dyDescent="0.35">
      <c r="B35" s="262">
        <v>46259</v>
      </c>
      <c r="C35" s="261">
        <v>5124.8</v>
      </c>
      <c r="D35">
        <v>9.0175231344753262E-3</v>
      </c>
    </row>
    <row r="36" spans="2:4" x14ac:dyDescent="0.35">
      <c r="B36" s="262">
        <v>46258</v>
      </c>
      <c r="C36" s="261">
        <v>5079</v>
      </c>
      <c r="D36">
        <v>-1.3959615422426542E-3</v>
      </c>
    </row>
    <row r="37" spans="2:4" x14ac:dyDescent="0.35">
      <c r="B37" s="262">
        <v>46255</v>
      </c>
      <c r="C37" s="261">
        <v>5086.1000000000004</v>
      </c>
      <c r="D37">
        <v>3.5714285714286433E-3</v>
      </c>
    </row>
    <row r="38" spans="2:4" x14ac:dyDescent="0.35">
      <c r="B38" s="262">
        <v>46254</v>
      </c>
      <c r="C38" s="261">
        <v>5068</v>
      </c>
      <c r="D38">
        <v>0</v>
      </c>
    </row>
    <row r="39" spans="2:4" x14ac:dyDescent="0.35">
      <c r="B39" s="262">
        <v>46253</v>
      </c>
      <c r="C39" s="261">
        <v>5068</v>
      </c>
      <c r="D39">
        <v>3.8426494473714763E-3</v>
      </c>
    </row>
    <row r="40" spans="2:4" x14ac:dyDescent="0.35">
      <c r="B40" s="262">
        <v>46252</v>
      </c>
      <c r="C40" s="261">
        <v>5048.6000000000004</v>
      </c>
      <c r="D40">
        <v>-3.9262109105257246E-3</v>
      </c>
    </row>
    <row r="41" spans="2:4" x14ac:dyDescent="0.35">
      <c r="B41" s="262">
        <v>46251</v>
      </c>
      <c r="C41" s="261">
        <v>5068.5</v>
      </c>
      <c r="D41">
        <v>2.4326569360389586E-3</v>
      </c>
    </row>
    <row r="42" spans="2:4" x14ac:dyDescent="0.35">
      <c r="B42" s="262">
        <v>46248</v>
      </c>
      <c r="C42" s="261">
        <v>5056.2</v>
      </c>
      <c r="D42">
        <v>-1.4811303987203033E-3</v>
      </c>
    </row>
    <row r="43" spans="2:4" x14ac:dyDescent="0.35">
      <c r="B43" s="262">
        <v>46247</v>
      </c>
      <c r="C43" s="261">
        <v>5063.7</v>
      </c>
      <c r="D43">
        <v>-6.9229260639341404E-3</v>
      </c>
    </row>
    <row r="44" spans="2:4" x14ac:dyDescent="0.35">
      <c r="B44" s="262">
        <v>46246</v>
      </c>
      <c r="C44" s="261">
        <v>5099</v>
      </c>
      <c r="D44">
        <v>-5.6552262090483621E-3</v>
      </c>
    </row>
    <row r="45" spans="2:4" x14ac:dyDescent="0.35">
      <c r="B45" s="262">
        <v>46245</v>
      </c>
      <c r="C45" s="261">
        <v>5128</v>
      </c>
      <c r="D45">
        <v>7.4656188605108052E-3</v>
      </c>
    </row>
    <row r="46" spans="2:4" x14ac:dyDescent="0.35">
      <c r="B46" s="262">
        <v>46244</v>
      </c>
      <c r="C46" s="261">
        <v>5090</v>
      </c>
      <c r="D46">
        <v>3.0155838899008299E-2</v>
      </c>
    </row>
    <row r="47" spans="2:4" x14ac:dyDescent="0.35">
      <c r="B47" s="262">
        <v>46241</v>
      </c>
      <c r="C47" s="261">
        <v>4941</v>
      </c>
      <c r="D47">
        <v>-1.1404561824729893E-2</v>
      </c>
    </row>
    <row r="48" spans="2:4" x14ac:dyDescent="0.35">
      <c r="B48" s="262">
        <v>46240</v>
      </c>
      <c r="C48" s="261">
        <v>4998</v>
      </c>
      <c r="D48">
        <v>1.7425291100073358E-2</v>
      </c>
    </row>
    <row r="49" spans="2:4" x14ac:dyDescent="0.35">
      <c r="B49" s="262">
        <v>46239</v>
      </c>
      <c r="C49" s="261">
        <v>4912.3999999999996</v>
      </c>
      <c r="D49">
        <v>-4.5795339412361422E-3</v>
      </c>
    </row>
    <row r="50" spans="2:4" x14ac:dyDescent="0.35">
      <c r="B50" s="262">
        <v>46238</v>
      </c>
      <c r="C50" s="261">
        <v>4935</v>
      </c>
      <c r="D50">
        <v>-1.2999999999999999E-2</v>
      </c>
    </row>
    <row r="51" spans="2:4" x14ac:dyDescent="0.35">
      <c r="B51" s="262">
        <v>46237</v>
      </c>
      <c r="C51" s="261">
        <v>5000</v>
      </c>
      <c r="D51">
        <v>2.5598949786675457E-2</v>
      </c>
    </row>
    <row r="52" spans="2:4" x14ac:dyDescent="0.35">
      <c r="B52" s="262">
        <v>46234</v>
      </c>
      <c r="C52" s="261">
        <v>4875.2</v>
      </c>
      <c r="D52">
        <v>5.1958762886597561E-3</v>
      </c>
    </row>
    <row r="53" spans="2:4" x14ac:dyDescent="0.35">
      <c r="B53" s="262">
        <v>46233</v>
      </c>
      <c r="C53" s="261">
        <v>4850</v>
      </c>
      <c r="D53">
        <v>-4.1235412972623418E-5</v>
      </c>
    </row>
    <row r="54" spans="2:4" x14ac:dyDescent="0.35">
      <c r="B54" s="262">
        <v>46232</v>
      </c>
      <c r="C54" s="261">
        <v>4850.2</v>
      </c>
      <c r="D54">
        <v>1.0309916077283131E-4</v>
      </c>
    </row>
    <row r="55" spans="2:4" x14ac:dyDescent="0.35">
      <c r="B55" s="262">
        <v>46231</v>
      </c>
      <c r="C55" s="261">
        <v>4849.7</v>
      </c>
      <c r="D55">
        <v>2.3121875065926761E-2</v>
      </c>
    </row>
    <row r="56" spans="2:4" x14ac:dyDescent="0.35">
      <c r="B56" s="262">
        <v>46230</v>
      </c>
      <c r="C56" s="261">
        <v>4740.1000000000004</v>
      </c>
      <c r="D56">
        <v>1.3491554415223511E-2</v>
      </c>
    </row>
    <row r="57" spans="2:4" x14ac:dyDescent="0.35">
      <c r="B57" s="262">
        <v>46227</v>
      </c>
      <c r="C57" s="261">
        <v>4677</v>
      </c>
      <c r="D57">
        <v>-4.3216315755860131E-3</v>
      </c>
    </row>
    <row r="58" spans="2:4" x14ac:dyDescent="0.35">
      <c r="B58" s="262">
        <v>46226</v>
      </c>
      <c r="C58" s="261">
        <v>4697.3</v>
      </c>
      <c r="D58">
        <v>-3.0350623991850286E-3</v>
      </c>
    </row>
    <row r="59" spans="2:4" x14ac:dyDescent="0.35">
      <c r="B59" s="262">
        <v>46225</v>
      </c>
      <c r="C59" s="261">
        <v>4711.6000000000004</v>
      </c>
      <c r="D59">
        <v>4.8840830080833803E-3</v>
      </c>
    </row>
    <row r="60" spans="2:4" x14ac:dyDescent="0.35">
      <c r="B60" s="262">
        <v>46224</v>
      </c>
      <c r="C60" s="261">
        <v>4688.7</v>
      </c>
      <c r="D60">
        <v>9.7557824008270202E-3</v>
      </c>
    </row>
    <row r="61" spans="2:4" x14ac:dyDescent="0.35">
      <c r="B61" s="262">
        <v>46223</v>
      </c>
      <c r="C61" s="261">
        <v>4643.3999999999996</v>
      </c>
      <c r="D61">
        <v>1.1427092990662711E-3</v>
      </c>
    </row>
    <row r="62" spans="2:4" x14ac:dyDescent="0.35">
      <c r="B62" s="262">
        <v>46220</v>
      </c>
      <c r="C62" s="261">
        <v>4638.1000000000004</v>
      </c>
      <c r="D62">
        <v>2.6589995244066284E-3</v>
      </c>
    </row>
    <row r="63" spans="2:4" x14ac:dyDescent="0.35">
      <c r="B63" s="262">
        <v>46219</v>
      </c>
      <c r="C63" s="261">
        <v>4625.8</v>
      </c>
      <c r="D63">
        <v>1.0132331746517131E-2</v>
      </c>
    </row>
    <row r="64" spans="2:4" x14ac:dyDescent="0.35">
      <c r="B64" s="262">
        <v>46218</v>
      </c>
      <c r="C64" s="261">
        <v>4579.3999999999996</v>
      </c>
      <c r="D64">
        <v>1.2462557666658982E-3</v>
      </c>
    </row>
    <row r="65" spans="2:4" x14ac:dyDescent="0.35">
      <c r="B65" s="262">
        <v>46217</v>
      </c>
      <c r="C65" s="261">
        <v>4573.7</v>
      </c>
      <c r="D65">
        <v>-6.0415082038466116E-3</v>
      </c>
    </row>
    <row r="66" spans="2:4" x14ac:dyDescent="0.35">
      <c r="B66" s="262">
        <v>46216</v>
      </c>
      <c r="C66" s="261">
        <v>4601.5</v>
      </c>
      <c r="D66">
        <v>3.7300410086380693E-3</v>
      </c>
    </row>
    <row r="67" spans="2:4" x14ac:dyDescent="0.35">
      <c r="B67" s="262">
        <v>46213</v>
      </c>
      <c r="C67" s="261">
        <v>4584.3999999999996</v>
      </c>
      <c r="D67">
        <v>6.2777119276525425E-3</v>
      </c>
    </row>
    <row r="68" spans="2:4" x14ac:dyDescent="0.35">
      <c r="B68" s="262">
        <v>46212</v>
      </c>
      <c r="C68" s="261">
        <v>4555.8</v>
      </c>
      <c r="D68">
        <v>-6.6718995290422677E-3</v>
      </c>
    </row>
    <row r="69" spans="2:4" x14ac:dyDescent="0.35">
      <c r="B69" s="262">
        <v>46211</v>
      </c>
      <c r="C69" s="261">
        <v>4586.3999999999996</v>
      </c>
      <c r="D69">
        <v>-3.8660353590200649E-3</v>
      </c>
    </row>
    <row r="70" spans="2:4" x14ac:dyDescent="0.35">
      <c r="B70" s="262">
        <v>46210</v>
      </c>
      <c r="C70" s="261">
        <v>4604.2</v>
      </c>
      <c r="D70">
        <v>2.6714833645526757E-2</v>
      </c>
    </row>
    <row r="71" spans="2:4" x14ac:dyDescent="0.35">
      <c r="B71" s="262">
        <v>46209</v>
      </c>
      <c r="C71" s="261">
        <v>4484.3999999999996</v>
      </c>
      <c r="D71">
        <v>5.2229270807646706E-3</v>
      </c>
    </row>
    <row r="72" spans="2:4" x14ac:dyDescent="0.35">
      <c r="B72" s="262">
        <v>46206</v>
      </c>
      <c r="C72" s="261">
        <v>4461.1000000000004</v>
      </c>
      <c r="D72">
        <v>-4.4631898417799194E-3</v>
      </c>
    </row>
    <row r="73" spans="2:4" x14ac:dyDescent="0.35">
      <c r="B73" s="262">
        <v>46205</v>
      </c>
      <c r="C73" s="261">
        <v>4481.1000000000004</v>
      </c>
      <c r="D73">
        <v>1.8755967807938888E-2</v>
      </c>
    </row>
    <row r="74" spans="2:4" x14ac:dyDescent="0.35">
      <c r="B74" s="262">
        <v>46204</v>
      </c>
      <c r="C74" s="261">
        <v>4398.6000000000004</v>
      </c>
      <c r="D74">
        <v>-1.2261580381470565E-3</v>
      </c>
    </row>
    <row r="75" spans="2:4" x14ac:dyDescent="0.35">
      <c r="B75" s="262">
        <v>46203</v>
      </c>
      <c r="C75" s="261">
        <v>4404</v>
      </c>
      <c r="D75">
        <v>2.964556251753488E-2</v>
      </c>
    </row>
    <row r="76" spans="2:4" x14ac:dyDescent="0.35">
      <c r="B76" s="262">
        <v>46202</v>
      </c>
      <c r="C76" s="261">
        <v>4277.2</v>
      </c>
      <c r="D76">
        <v>-3.285717614708914E-3</v>
      </c>
    </row>
    <row r="77" spans="2:4" x14ac:dyDescent="0.35">
      <c r="B77" s="262">
        <v>46198</v>
      </c>
      <c r="C77" s="261">
        <v>4291.3</v>
      </c>
      <c r="D77">
        <v>-7.5165363800360789E-3</v>
      </c>
    </row>
    <row r="78" spans="2:4" x14ac:dyDescent="0.35">
      <c r="B78" s="262">
        <v>46197</v>
      </c>
      <c r="C78" s="261">
        <v>4323.8</v>
      </c>
      <c r="D78">
        <v>4.2970292430260376E-3</v>
      </c>
    </row>
    <row r="79" spans="2:4" x14ac:dyDescent="0.35">
      <c r="B79" s="262">
        <v>46196</v>
      </c>
      <c r="C79" s="261">
        <v>4305.3</v>
      </c>
      <c r="D79">
        <v>-1.536878216123495E-2</v>
      </c>
    </row>
    <row r="80" spans="2:4" x14ac:dyDescent="0.35">
      <c r="B80" s="262">
        <v>46195</v>
      </c>
      <c r="C80" s="261">
        <v>4372.5</v>
      </c>
      <c r="D80">
        <v>-1.072422452996666E-2</v>
      </c>
    </row>
    <row r="81" spans="2:4" x14ac:dyDescent="0.35">
      <c r="B81" s="262">
        <v>46192</v>
      </c>
      <c r="C81" s="261">
        <v>4419.8999999999996</v>
      </c>
      <c r="D81">
        <v>7.2927824243943576E-3</v>
      </c>
    </row>
    <row r="82" spans="2:4" x14ac:dyDescent="0.35">
      <c r="B82" s="262">
        <v>46191</v>
      </c>
      <c r="C82" s="261">
        <v>4387.8999999999996</v>
      </c>
      <c r="D82">
        <v>1.6893048738727625E-3</v>
      </c>
    </row>
    <row r="83" spans="2:4" x14ac:dyDescent="0.35">
      <c r="B83" s="262">
        <v>46190</v>
      </c>
      <c r="C83" s="261">
        <v>4380.5</v>
      </c>
      <c r="D83">
        <v>9.797141539880129E-3</v>
      </c>
    </row>
    <row r="84" spans="2:4" x14ac:dyDescent="0.35">
      <c r="B84" s="262">
        <v>46189</v>
      </c>
      <c r="C84" s="261">
        <v>4338</v>
      </c>
      <c r="D84">
        <v>1.2723240340842769E-2</v>
      </c>
    </row>
    <row r="85" spans="2:4" x14ac:dyDescent="0.35">
      <c r="B85" s="262">
        <v>46188</v>
      </c>
      <c r="C85" s="261">
        <v>4283.5</v>
      </c>
      <c r="D85">
        <v>2.3781070745697897E-2</v>
      </c>
    </row>
    <row r="86" spans="2:4" x14ac:dyDescent="0.35">
      <c r="B86" s="262">
        <v>46185</v>
      </c>
      <c r="C86" s="261">
        <v>4184</v>
      </c>
      <c r="D86">
        <v>3.945145582828187E-2</v>
      </c>
    </row>
    <row r="87" spans="2:4" x14ac:dyDescent="0.35">
      <c r="B87" s="262">
        <v>46184</v>
      </c>
      <c r="C87" s="261">
        <v>4025.2</v>
      </c>
      <c r="D87">
        <v>-4.1809950273372981E-3</v>
      </c>
    </row>
    <row r="88" spans="2:4" x14ac:dyDescent="0.35">
      <c r="B88" s="262">
        <v>46183</v>
      </c>
      <c r="C88" s="261">
        <v>4042.1</v>
      </c>
      <c r="D88">
        <v>-1.5298789251869652E-2</v>
      </c>
    </row>
    <row r="89" spans="2:4" x14ac:dyDescent="0.35">
      <c r="B89" s="262">
        <v>46182</v>
      </c>
      <c r="C89" s="261">
        <v>4104.8999999999996</v>
      </c>
      <c r="D89">
        <v>-2.0871100085869669E-2</v>
      </c>
    </row>
    <row r="90" spans="2:4" x14ac:dyDescent="0.35">
      <c r="B90" s="262">
        <v>46181</v>
      </c>
      <c r="C90" s="261">
        <v>4192.3999999999996</v>
      </c>
      <c r="D90">
        <v>-1.5914745786582835E-2</v>
      </c>
    </row>
    <row r="91" spans="2:4" x14ac:dyDescent="0.35">
      <c r="B91" s="262">
        <v>46178</v>
      </c>
      <c r="C91" s="261">
        <v>4260.2</v>
      </c>
      <c r="D91">
        <v>6.9014417395414362E-3</v>
      </c>
    </row>
    <row r="92" spans="2:4" x14ac:dyDescent="0.35">
      <c r="B92" s="262">
        <v>46177</v>
      </c>
      <c r="C92" s="261">
        <v>4231</v>
      </c>
      <c r="D92">
        <v>3.4777929954998975E-2</v>
      </c>
    </row>
    <row r="93" spans="2:4" x14ac:dyDescent="0.35">
      <c r="B93" s="262">
        <v>46176</v>
      </c>
      <c r="C93" s="261">
        <v>4088.8</v>
      </c>
      <c r="D93">
        <v>2.6237708736912466E-3</v>
      </c>
    </row>
    <row r="94" spans="2:4" x14ac:dyDescent="0.35">
      <c r="B94" s="262">
        <v>46175</v>
      </c>
      <c r="C94" s="261">
        <v>4078.1</v>
      </c>
      <c r="D94">
        <v>1.3293246533817025E-2</v>
      </c>
    </row>
    <row r="95" spans="2:4" x14ac:dyDescent="0.35">
      <c r="B95" s="262">
        <v>46174</v>
      </c>
      <c r="C95" s="261">
        <v>4024.6</v>
      </c>
      <c r="D95">
        <v>-1.2343861199047873E-2</v>
      </c>
    </row>
    <row r="96" spans="2:4" x14ac:dyDescent="0.35">
      <c r="B96" s="262">
        <v>46171</v>
      </c>
      <c r="C96" s="261">
        <v>4074.9</v>
      </c>
      <c r="D96">
        <v>-1.5225114188356304E-2</v>
      </c>
    </row>
    <row r="97" spans="2:4" x14ac:dyDescent="0.35">
      <c r="B97" s="262">
        <v>46169</v>
      </c>
      <c r="C97" s="261">
        <v>4137.8999999999996</v>
      </c>
      <c r="D97">
        <v>7.793662777953677E-3</v>
      </c>
    </row>
    <row r="98" spans="2:4" x14ac:dyDescent="0.35">
      <c r="B98" s="262">
        <v>46168</v>
      </c>
      <c r="C98" s="261">
        <v>4105.8999999999996</v>
      </c>
      <c r="D98">
        <v>-1.2814964416233936E-2</v>
      </c>
    </row>
    <row r="99" spans="2:4" x14ac:dyDescent="0.35">
      <c r="B99" s="262">
        <v>46167</v>
      </c>
      <c r="C99" s="261">
        <v>4159.2</v>
      </c>
      <c r="D99">
        <v>1.9461738320505816E-2</v>
      </c>
    </row>
    <row r="100" spans="2:4" x14ac:dyDescent="0.35">
      <c r="B100" s="262">
        <v>46164</v>
      </c>
      <c r="C100" s="261">
        <v>4079.8</v>
      </c>
      <c r="D100">
        <v>-8.0820944870312441E-4</v>
      </c>
    </row>
    <row r="101" spans="2:4" x14ac:dyDescent="0.35">
      <c r="B101" s="262">
        <v>46163</v>
      </c>
      <c r="C101" s="261">
        <v>4083.1</v>
      </c>
      <c r="D101">
        <v>-5.6740697447885567E-3</v>
      </c>
    </row>
    <row r="102" spans="2:4" x14ac:dyDescent="0.35">
      <c r="B102" s="262">
        <v>46162</v>
      </c>
      <c r="C102" s="261">
        <v>4106.3999999999996</v>
      </c>
      <c r="D102">
        <v>1.0726474890296529E-3</v>
      </c>
    </row>
    <row r="103" spans="2:4" x14ac:dyDescent="0.35">
      <c r="B103" s="262">
        <v>46161</v>
      </c>
      <c r="C103" s="261">
        <v>4102</v>
      </c>
      <c r="D103">
        <v>-1.6236180060915612E-2</v>
      </c>
    </row>
    <row r="104" spans="2:4" x14ac:dyDescent="0.35">
      <c r="B104" s="262">
        <v>46160</v>
      </c>
      <c r="C104" s="261">
        <v>4169.7</v>
      </c>
      <c r="D104">
        <v>1.4391595308326839E-4</v>
      </c>
    </row>
    <row r="105" spans="2:4" x14ac:dyDescent="0.35">
      <c r="B105" s="262">
        <v>46157</v>
      </c>
      <c r="C105" s="261">
        <v>4169.1000000000004</v>
      </c>
      <c r="D105">
        <v>8.1979106210099996E-3</v>
      </c>
    </row>
    <row r="106" spans="2:4" x14ac:dyDescent="0.35">
      <c r="B106" s="262">
        <v>46156</v>
      </c>
      <c r="C106" s="261">
        <v>4135.2</v>
      </c>
      <c r="D106">
        <v>1.0878333781504388E-2</v>
      </c>
    </row>
    <row r="107" spans="2:4" x14ac:dyDescent="0.35">
      <c r="B107" s="262">
        <v>46155</v>
      </c>
      <c r="C107" s="261">
        <v>4090.7</v>
      </c>
      <c r="D107">
        <v>8.7293171898502296E-3</v>
      </c>
    </row>
    <row r="108" spans="2:4" x14ac:dyDescent="0.35">
      <c r="B108" s="262">
        <v>46154</v>
      </c>
      <c r="C108" s="261">
        <v>4055.3</v>
      </c>
      <c r="D108">
        <v>-3.5738063534335215E-2</v>
      </c>
    </row>
    <row r="109" spans="2:4" x14ac:dyDescent="0.35">
      <c r="B109" s="262">
        <v>46153</v>
      </c>
      <c r="C109" s="261">
        <v>4205.6000000000004</v>
      </c>
      <c r="D109">
        <v>-6.7287646928365405E-2</v>
      </c>
    </row>
    <row r="110" spans="2:4" x14ac:dyDescent="0.35">
      <c r="B110" s="262">
        <v>46150</v>
      </c>
      <c r="C110" s="261">
        <v>4509</v>
      </c>
      <c r="D110">
        <v>4.6778874056877542E-2</v>
      </c>
    </row>
    <row r="111" spans="2:4" x14ac:dyDescent="0.35">
      <c r="B111" s="262">
        <v>46149</v>
      </c>
      <c r="C111" s="261">
        <v>4307.5</v>
      </c>
      <c r="D111">
        <v>-1.1950637673181108E-2</v>
      </c>
    </row>
    <row r="112" spans="2:4" x14ac:dyDescent="0.35">
      <c r="B112" s="262">
        <v>46148</v>
      </c>
      <c r="C112" s="261">
        <v>4359.6000000000004</v>
      </c>
      <c r="D112">
        <v>-3.201024327784891E-3</v>
      </c>
    </row>
    <row r="113" spans="2:4" x14ac:dyDescent="0.35">
      <c r="B113" s="262">
        <v>46147</v>
      </c>
      <c r="C113" s="261">
        <v>4373.6000000000004</v>
      </c>
      <c r="D113">
        <v>2.4295209718084719E-3</v>
      </c>
    </row>
    <row r="114" spans="2:4" x14ac:dyDescent="0.35">
      <c r="B114" s="262">
        <v>46146</v>
      </c>
      <c r="C114" s="261">
        <v>4363</v>
      </c>
      <c r="D114">
        <v>-5.0624828970171985E-3</v>
      </c>
    </row>
    <row r="115" spans="2:4" x14ac:dyDescent="0.35">
      <c r="B115" s="262">
        <v>46142</v>
      </c>
      <c r="C115" s="261">
        <v>4385.2</v>
      </c>
      <c r="D115">
        <v>-1.2297851254561098E-2</v>
      </c>
    </row>
    <row r="116" spans="2:4" x14ac:dyDescent="0.35">
      <c r="B116" s="262">
        <v>46141</v>
      </c>
      <c r="C116" s="261">
        <v>4439.8</v>
      </c>
      <c r="D116">
        <v>5.1618745755037769E-3</v>
      </c>
    </row>
    <row r="117" spans="2:4" x14ac:dyDescent="0.35">
      <c r="B117" s="262">
        <v>46140</v>
      </c>
      <c r="C117" s="261">
        <v>4417</v>
      </c>
      <c r="D117">
        <v>-5.5833220766356387E-3</v>
      </c>
    </row>
    <row r="118" spans="2:4" x14ac:dyDescent="0.35">
      <c r="B118" s="262">
        <v>46139</v>
      </c>
      <c r="C118" s="261">
        <v>4441.8</v>
      </c>
      <c r="D118">
        <v>7.2108843537415377E-3</v>
      </c>
    </row>
    <row r="119" spans="2:4" x14ac:dyDescent="0.35">
      <c r="B119" s="262">
        <v>46136</v>
      </c>
      <c r="C119" s="261">
        <v>4410</v>
      </c>
      <c r="D119">
        <v>-1.0434197239986537E-2</v>
      </c>
    </row>
    <row r="120" spans="2:4" x14ac:dyDescent="0.35">
      <c r="B120" s="262">
        <v>46135</v>
      </c>
      <c r="C120" s="261">
        <v>4456.5</v>
      </c>
      <c r="D120">
        <v>4.2652538948494503E-4</v>
      </c>
    </row>
    <row r="121" spans="2:4" x14ac:dyDescent="0.35">
      <c r="B121" s="262">
        <v>46134</v>
      </c>
      <c r="C121" s="261">
        <v>4454.6000000000004</v>
      </c>
      <c r="D121">
        <v>-5.6030537759223734E-3</v>
      </c>
    </row>
    <row r="122" spans="2:4" x14ac:dyDescent="0.35">
      <c r="B122" s="262">
        <v>46133</v>
      </c>
      <c r="C122" s="261">
        <v>4479.7</v>
      </c>
      <c r="D122">
        <v>-7.3786838023488103E-3</v>
      </c>
    </row>
    <row r="123" spans="2:4" x14ac:dyDescent="0.35">
      <c r="B123" s="262">
        <v>46132</v>
      </c>
      <c r="C123" s="261">
        <v>4513</v>
      </c>
      <c r="D123">
        <v>-2.8502618263769939E-3</v>
      </c>
    </row>
    <row r="124" spans="2:4" x14ac:dyDescent="0.35">
      <c r="B124" s="262">
        <v>46129</v>
      </c>
      <c r="C124" s="261">
        <v>4525.8999999999996</v>
      </c>
      <c r="D124">
        <v>1.4457345227955351E-2</v>
      </c>
    </row>
    <row r="125" spans="2:4" x14ac:dyDescent="0.35">
      <c r="B125" s="262">
        <v>46128</v>
      </c>
      <c r="C125" s="261">
        <v>4461.3999999999996</v>
      </c>
      <c r="D125">
        <v>-1.3444783512449734E-2</v>
      </c>
    </row>
    <row r="126" spans="2:4" x14ac:dyDescent="0.35">
      <c r="B126" s="262">
        <v>46127</v>
      </c>
      <c r="C126" s="261">
        <v>4522.2</v>
      </c>
      <c r="D126">
        <v>1.8674115288446293E-2</v>
      </c>
    </row>
    <row r="127" spans="2:4" x14ac:dyDescent="0.35">
      <c r="B127" s="262">
        <v>46125</v>
      </c>
      <c r="C127" s="261">
        <v>4439.3</v>
      </c>
      <c r="D127">
        <v>-1.4583795782463889E-2</v>
      </c>
    </row>
    <row r="128" spans="2:4" x14ac:dyDescent="0.35">
      <c r="B128" s="262">
        <v>46122</v>
      </c>
      <c r="C128" s="261">
        <v>4505</v>
      </c>
      <c r="D128">
        <v>1.4685346186765128E-2</v>
      </c>
    </row>
    <row r="129" spans="2:4" x14ac:dyDescent="0.35">
      <c r="B129" s="262">
        <v>46121</v>
      </c>
      <c r="C129" s="261">
        <v>4439.8</v>
      </c>
      <c r="D129">
        <v>-1.1730662214802408E-2</v>
      </c>
    </row>
    <row r="130" spans="2:4" x14ac:dyDescent="0.35">
      <c r="B130" s="262">
        <v>46120</v>
      </c>
      <c r="C130" s="261">
        <v>4492.5</v>
      </c>
      <c r="D130">
        <v>6.19061126081406E-2</v>
      </c>
    </row>
    <row r="131" spans="2:4" x14ac:dyDescent="0.35">
      <c r="B131" s="262">
        <v>46119</v>
      </c>
      <c r="C131" s="261">
        <v>4230.6000000000004</v>
      </c>
      <c r="D131">
        <v>-3.6504086102541154E-3</v>
      </c>
    </row>
    <row r="132" spans="2:4" x14ac:dyDescent="0.35">
      <c r="B132" s="262">
        <v>46118</v>
      </c>
      <c r="C132" s="261">
        <v>4246.1000000000004</v>
      </c>
      <c r="D132">
        <v>3.6341892023821279E-2</v>
      </c>
    </row>
    <row r="133" spans="2:4" x14ac:dyDescent="0.35">
      <c r="B133" s="262">
        <v>46114</v>
      </c>
      <c r="C133" s="261">
        <v>4097.2</v>
      </c>
      <c r="D133">
        <v>7.7973189029639199E-3</v>
      </c>
    </row>
    <row r="134" spans="2:4" x14ac:dyDescent="0.35">
      <c r="B134" s="262">
        <v>46113</v>
      </c>
      <c r="C134" s="261">
        <v>4065.5</v>
      </c>
      <c r="D134">
        <v>2.8875841473907957E-2</v>
      </c>
    </row>
    <row r="135" spans="2:4" x14ac:dyDescent="0.35">
      <c r="B135" s="262">
        <v>46111</v>
      </c>
      <c r="C135" s="261">
        <v>3951.4</v>
      </c>
      <c r="D135">
        <v>-7.5599648373728262E-3</v>
      </c>
    </row>
    <row r="136" spans="2:4" x14ac:dyDescent="0.35">
      <c r="B136" s="262">
        <v>46108</v>
      </c>
      <c r="C136" s="261">
        <v>3981.5</v>
      </c>
      <c r="D136">
        <v>-1.4309410046295195E-2</v>
      </c>
    </row>
    <row r="137" spans="2:4" x14ac:dyDescent="0.35">
      <c r="B137" s="262">
        <v>46106</v>
      </c>
      <c r="C137" s="261">
        <v>4039.3</v>
      </c>
      <c r="D137">
        <v>3.5850750096166221E-2</v>
      </c>
    </row>
    <row r="138" spans="2:4" x14ac:dyDescent="0.35">
      <c r="B138" s="262">
        <v>46105</v>
      </c>
      <c r="C138" s="261">
        <v>3899.5</v>
      </c>
      <c r="D138">
        <v>1.2042251693441669E-2</v>
      </c>
    </row>
    <row r="139" spans="2:4" x14ac:dyDescent="0.35">
      <c r="B139" s="262">
        <v>46104</v>
      </c>
      <c r="C139" s="261">
        <v>3853.1</v>
      </c>
      <c r="D139">
        <v>-6.172989821263343E-2</v>
      </c>
    </row>
    <row r="140" spans="2:4" x14ac:dyDescent="0.35">
      <c r="B140" s="262">
        <v>46101</v>
      </c>
      <c r="C140" s="261">
        <v>4106.6000000000004</v>
      </c>
      <c r="D140">
        <v>1.7013794299016883E-2</v>
      </c>
    </row>
    <row r="141" spans="2:4" x14ac:dyDescent="0.35">
      <c r="B141" s="262">
        <v>46100</v>
      </c>
      <c r="C141" s="261">
        <v>4037.9</v>
      </c>
      <c r="D141">
        <v>-2.5955855747195732E-2</v>
      </c>
    </row>
    <row r="142" spans="2:4" x14ac:dyDescent="0.35">
      <c r="B142" s="262">
        <v>46099</v>
      </c>
      <c r="C142" s="261">
        <v>4145.5</v>
      </c>
      <c r="D142">
        <v>1.3445789023346779E-2</v>
      </c>
    </row>
    <row r="143" spans="2:4" x14ac:dyDescent="0.35">
      <c r="B143" s="262">
        <v>46098</v>
      </c>
      <c r="C143" s="261">
        <v>4090.5</v>
      </c>
      <c r="D143">
        <v>-7.3335288941082894E-5</v>
      </c>
    </row>
    <row r="144" spans="2:4" x14ac:dyDescent="0.35">
      <c r="B144" s="262">
        <v>46097</v>
      </c>
      <c r="C144" s="261">
        <v>4090.8</v>
      </c>
      <c r="D144">
        <v>4.3209270352549262E-3</v>
      </c>
    </row>
    <row r="145" spans="2:4" x14ac:dyDescent="0.35">
      <c r="B145" s="262">
        <v>46094</v>
      </c>
      <c r="C145" s="261">
        <v>4073.2</v>
      </c>
      <c r="D145">
        <v>-1.3657497094149686E-2</v>
      </c>
    </row>
    <row r="146" spans="2:4" x14ac:dyDescent="0.35">
      <c r="B146" s="262">
        <v>46093</v>
      </c>
      <c r="C146" s="261">
        <v>4129.6000000000004</v>
      </c>
      <c r="D146">
        <v>-2.5843537907880632E-3</v>
      </c>
    </row>
    <row r="147" spans="2:4" x14ac:dyDescent="0.35">
      <c r="B147" s="262">
        <v>46092</v>
      </c>
      <c r="C147" s="261">
        <v>4140.3</v>
      </c>
      <c r="D147">
        <v>-1.8909504514111081E-2</v>
      </c>
    </row>
    <row r="148" spans="2:4" x14ac:dyDescent="0.35">
      <c r="B148" s="262">
        <v>46091</v>
      </c>
      <c r="C148" s="261">
        <v>4220.1000000000004</v>
      </c>
      <c r="D148">
        <v>1.4642238892094766E-2</v>
      </c>
    </row>
    <row r="149" spans="2:4" x14ac:dyDescent="0.35">
      <c r="B149" s="262">
        <v>46090</v>
      </c>
      <c r="C149" s="261">
        <v>4159.2</v>
      </c>
      <c r="D149">
        <v>-2.0119681477642308E-2</v>
      </c>
    </row>
    <row r="150" spans="2:4" x14ac:dyDescent="0.35">
      <c r="B150" s="262">
        <v>46087</v>
      </c>
      <c r="C150" s="261">
        <v>4244.6000000000004</v>
      </c>
      <c r="D150">
        <v>-7.1575598802393935E-3</v>
      </c>
    </row>
    <row r="151" spans="2:4" x14ac:dyDescent="0.35">
      <c r="B151" s="262">
        <v>46086</v>
      </c>
      <c r="C151" s="261">
        <v>4275.2</v>
      </c>
      <c r="D151">
        <v>1.6839501474645652E-2</v>
      </c>
    </row>
    <row r="152" spans="2:4" x14ac:dyDescent="0.35">
      <c r="B152" s="262">
        <v>46085</v>
      </c>
      <c r="C152" s="261">
        <v>4204.3999999999996</v>
      </c>
      <c r="D152">
        <v>-1.5432171041847305E-2</v>
      </c>
    </row>
    <row r="153" spans="2:4" x14ac:dyDescent="0.35">
      <c r="B153" s="262">
        <v>46083</v>
      </c>
      <c r="C153" s="261">
        <v>4270.3</v>
      </c>
      <c r="D153">
        <v>-1.3217793183131096E-2</v>
      </c>
    </row>
    <row r="154" spans="2:4" x14ac:dyDescent="0.35">
      <c r="B154" s="262">
        <v>46080</v>
      </c>
      <c r="C154" s="261">
        <v>4327.5</v>
      </c>
      <c r="D154">
        <v>-3.4771795698430347E-3</v>
      </c>
    </row>
    <row r="155" spans="2:4" x14ac:dyDescent="0.35">
      <c r="B155" s="262">
        <v>46079</v>
      </c>
      <c r="C155" s="261">
        <v>4342.6000000000004</v>
      </c>
      <c r="D155">
        <v>4.0693641618497955E-3</v>
      </c>
    </row>
    <row r="156" spans="2:4" x14ac:dyDescent="0.35">
      <c r="B156" s="262">
        <v>46078</v>
      </c>
      <c r="C156" s="261">
        <v>4325</v>
      </c>
      <c r="D156">
        <v>7.1021073466061239E-3</v>
      </c>
    </row>
    <row r="157" spans="2:4" x14ac:dyDescent="0.35">
      <c r="B157" s="262">
        <v>46077</v>
      </c>
      <c r="C157" s="261">
        <v>4294.5</v>
      </c>
      <c r="D157">
        <v>5.1021602265546801E-3</v>
      </c>
    </row>
    <row r="158" spans="2:4" x14ac:dyDescent="0.35">
      <c r="B158" s="262">
        <v>46076</v>
      </c>
      <c r="C158" s="261">
        <v>4272.7</v>
      </c>
      <c r="D158">
        <v>8.5685959777169734E-3</v>
      </c>
    </row>
    <row r="159" spans="2:4" x14ac:dyDescent="0.35">
      <c r="B159" s="262">
        <v>46073</v>
      </c>
      <c r="C159" s="261">
        <v>4236.3999999999996</v>
      </c>
      <c r="D159">
        <v>9.0991377256919199E-3</v>
      </c>
    </row>
    <row r="160" spans="2:4" x14ac:dyDescent="0.35">
      <c r="B160" s="262">
        <v>46072</v>
      </c>
      <c r="C160" s="261">
        <v>4198.2</v>
      </c>
      <c r="D160">
        <v>-1.1862731252648058E-2</v>
      </c>
    </row>
    <row r="161" spans="2:4" x14ac:dyDescent="0.35">
      <c r="B161" s="262">
        <v>46071</v>
      </c>
      <c r="C161" s="261">
        <v>4248.6000000000004</v>
      </c>
      <c r="D161">
        <v>2.8798036068361649E-3</v>
      </c>
    </row>
    <row r="162" spans="2:4" x14ac:dyDescent="0.35">
      <c r="B162" s="262">
        <v>46070</v>
      </c>
      <c r="C162" s="261">
        <v>4236.3999999999996</v>
      </c>
      <c r="D162">
        <v>1.3226184496902554E-2</v>
      </c>
    </row>
    <row r="163" spans="2:4" x14ac:dyDescent="0.35">
      <c r="B163" s="262">
        <v>46069</v>
      </c>
      <c r="C163" s="261">
        <v>4181.1000000000004</v>
      </c>
      <c r="D163">
        <v>4.546324655437753E-4</v>
      </c>
    </row>
    <row r="164" spans="2:4" x14ac:dyDescent="0.35">
      <c r="B164" s="262">
        <v>46066</v>
      </c>
      <c r="C164" s="261">
        <v>4179.2</v>
      </c>
      <c r="D164">
        <v>-2.259226343608222E-2</v>
      </c>
    </row>
    <row r="165" spans="2:4" x14ac:dyDescent="0.35">
      <c r="B165" s="262">
        <v>46065</v>
      </c>
      <c r="C165" s="261">
        <v>4275.8</v>
      </c>
      <c r="D165">
        <v>6.2836836035865982E-3</v>
      </c>
    </row>
    <row r="166" spans="2:4" x14ac:dyDescent="0.35">
      <c r="B166" s="262">
        <v>46064</v>
      </c>
      <c r="C166" s="261">
        <v>4249.1000000000004</v>
      </c>
      <c r="D166">
        <v>-4.6848281839263544E-3</v>
      </c>
    </row>
    <row r="167" spans="2:4" x14ac:dyDescent="0.35">
      <c r="B167" s="262">
        <v>46063</v>
      </c>
      <c r="C167" s="261">
        <v>4269.1000000000004</v>
      </c>
      <c r="D167">
        <v>2.6539527455493872E-3</v>
      </c>
    </row>
    <row r="168" spans="2:4" x14ac:dyDescent="0.35">
      <c r="B168" s="262">
        <v>46062</v>
      </c>
      <c r="C168" s="261">
        <v>4257.8</v>
      </c>
      <c r="D168">
        <v>2.8205747404008736E-2</v>
      </c>
    </row>
    <row r="169" spans="2:4" x14ac:dyDescent="0.35">
      <c r="B169" s="262">
        <v>46059</v>
      </c>
      <c r="C169" s="261">
        <v>4141</v>
      </c>
      <c r="D169">
        <v>1.059156579461139E-2</v>
      </c>
    </row>
    <row r="170" spans="2:4" x14ac:dyDescent="0.35">
      <c r="B170" s="262">
        <v>46058</v>
      </c>
      <c r="C170" s="261">
        <v>4097.6000000000004</v>
      </c>
      <c r="D170">
        <v>-1.1196911196911109E-2</v>
      </c>
    </row>
    <row r="171" spans="2:4" x14ac:dyDescent="0.35">
      <c r="B171" s="262">
        <v>46057</v>
      </c>
      <c r="C171" s="261">
        <v>4144</v>
      </c>
      <c r="D171">
        <v>1.8532173229120603E-2</v>
      </c>
    </row>
    <row r="172" spans="2:4" x14ac:dyDescent="0.35">
      <c r="B172" s="262">
        <v>46056</v>
      </c>
      <c r="C172" s="261">
        <v>4068.6</v>
      </c>
      <c r="D172">
        <v>2.9191541030051629E-2</v>
      </c>
    </row>
    <row r="173" spans="2:4" x14ac:dyDescent="0.35">
      <c r="B173" s="262">
        <v>46055</v>
      </c>
      <c r="C173" s="261">
        <v>3953.2</v>
      </c>
      <c r="D173">
        <v>-8.0546006574160941E-3</v>
      </c>
    </row>
    <row r="174" spans="2:4" x14ac:dyDescent="0.35">
      <c r="B174" s="262">
        <v>46054</v>
      </c>
      <c r="C174" s="261">
        <v>3985.3</v>
      </c>
      <c r="D174">
        <v>1.9862221551767713E-3</v>
      </c>
    </row>
    <row r="175" spans="2:4" x14ac:dyDescent="0.35">
      <c r="B175" s="262">
        <v>46052</v>
      </c>
      <c r="C175" s="261">
        <v>3977.4</v>
      </c>
      <c r="D175">
        <v>9.569256542376392E-3</v>
      </c>
    </row>
    <row r="176" spans="2:4" x14ac:dyDescent="0.35">
      <c r="B176" s="262">
        <v>46051</v>
      </c>
      <c r="C176" s="261">
        <v>3939.7</v>
      </c>
      <c r="D176">
        <v>-8.930368283356813E-3</v>
      </c>
    </row>
    <row r="177" spans="2:4" x14ac:dyDescent="0.35">
      <c r="B177" s="262">
        <v>46050</v>
      </c>
      <c r="C177" s="261">
        <v>3975.2</v>
      </c>
      <c r="D177">
        <v>-5.4540905679259901E-3</v>
      </c>
    </row>
    <row r="178" spans="2:4" x14ac:dyDescent="0.35">
      <c r="B178" s="262">
        <v>46049</v>
      </c>
      <c r="C178" s="261">
        <v>3997</v>
      </c>
      <c r="D178">
        <v>-6.1663931572927995E-3</v>
      </c>
    </row>
    <row r="179" spans="2:4" x14ac:dyDescent="0.35">
      <c r="B179" s="262">
        <v>46045</v>
      </c>
      <c r="C179" s="261">
        <v>4021.8</v>
      </c>
      <c r="D179">
        <v>7.962972179366627E-4</v>
      </c>
    </row>
    <row r="180" spans="2:4" x14ac:dyDescent="0.35">
      <c r="B180" s="262">
        <v>46044</v>
      </c>
      <c r="C180" s="261">
        <v>4018.6</v>
      </c>
      <c r="D180">
        <v>-1.4855854089037045E-2</v>
      </c>
    </row>
    <row r="181" spans="2:4" x14ac:dyDescent="0.35">
      <c r="B181" s="262">
        <v>46043</v>
      </c>
      <c r="C181" s="261">
        <v>4079.2</v>
      </c>
      <c r="D181">
        <v>9.0786406575875801E-4</v>
      </c>
    </row>
    <row r="182" spans="2:4" x14ac:dyDescent="0.35">
      <c r="B182" s="262">
        <v>46042</v>
      </c>
      <c r="C182" s="261">
        <v>4075.5</v>
      </c>
      <c r="D182">
        <v>-1.6553654593277276E-2</v>
      </c>
    </row>
    <row r="183" spans="2:4" x14ac:dyDescent="0.35">
      <c r="B183" s="262">
        <v>46041</v>
      </c>
      <c r="C183" s="261">
        <v>4144.1000000000004</v>
      </c>
      <c r="D183">
        <v>-1.2580714336772207E-2</v>
      </c>
    </row>
    <row r="184" spans="2:4" x14ac:dyDescent="0.35">
      <c r="B184" s="262">
        <v>46038</v>
      </c>
      <c r="C184" s="261">
        <v>4196.8999999999996</v>
      </c>
      <c r="D184">
        <v>-5.8273125666233241E-3</v>
      </c>
    </row>
    <row r="185" spans="2:4" x14ac:dyDescent="0.35">
      <c r="B185" s="262">
        <v>46036</v>
      </c>
      <c r="C185" s="261">
        <v>4221.5</v>
      </c>
      <c r="D185">
        <v>-4.1753160973768211E-3</v>
      </c>
    </row>
    <row r="186" spans="2:4" x14ac:dyDescent="0.35">
      <c r="B186" s="262">
        <v>46035</v>
      </c>
      <c r="C186" s="261">
        <v>4239.2</v>
      </c>
      <c r="D186">
        <v>1.7960109651194475E-3</v>
      </c>
    </row>
    <row r="187" spans="2:4" x14ac:dyDescent="0.35">
      <c r="B187" s="262">
        <v>46034</v>
      </c>
      <c r="C187" s="261">
        <v>4231.6000000000004</v>
      </c>
      <c r="D187">
        <v>7.0921985815603269E-3</v>
      </c>
    </row>
    <row r="188" spans="2:4" x14ac:dyDescent="0.35">
      <c r="B188" s="262">
        <v>46031</v>
      </c>
      <c r="C188" s="261">
        <v>4201.8</v>
      </c>
      <c r="D188">
        <v>-1.1108496116733306E-2</v>
      </c>
    </row>
    <row r="189" spans="2:4" x14ac:dyDescent="0.35">
      <c r="B189" s="262">
        <v>46030</v>
      </c>
      <c r="C189" s="261">
        <v>4249</v>
      </c>
      <c r="D189">
        <v>-5.6632032200692262E-3</v>
      </c>
    </row>
    <row r="190" spans="2:4" x14ac:dyDescent="0.35">
      <c r="B190" s="262">
        <v>46029</v>
      </c>
      <c r="C190" s="261">
        <v>4273.2</v>
      </c>
      <c r="D190">
        <v>3.925288194951107E-2</v>
      </c>
    </row>
    <row r="191" spans="2:4" x14ac:dyDescent="0.35">
      <c r="B191" s="262">
        <v>46028</v>
      </c>
      <c r="C191" s="261">
        <v>4111.8</v>
      </c>
      <c r="D191">
        <v>7.8682256048239734E-3</v>
      </c>
    </row>
    <row r="192" spans="2:4" x14ac:dyDescent="0.35">
      <c r="B192" s="262">
        <v>46027</v>
      </c>
      <c r="C192" s="261">
        <v>4079.7</v>
      </c>
      <c r="D192">
        <v>6.9106794678776813E-3</v>
      </c>
    </row>
    <row r="193" spans="2:4" x14ac:dyDescent="0.35">
      <c r="B193" s="262">
        <v>46024</v>
      </c>
      <c r="C193" s="261">
        <v>4051.7</v>
      </c>
      <c r="D193">
        <v>5.9269503370944015E-4</v>
      </c>
    </row>
    <row r="194" spans="2:4" x14ac:dyDescent="0.35">
      <c r="B194" s="262">
        <v>46023</v>
      </c>
      <c r="C194" s="261">
        <v>4049.3</v>
      </c>
      <c r="D194">
        <v>-5.4300876218679945E-4</v>
      </c>
    </row>
    <row r="195" spans="2:4" x14ac:dyDescent="0.35">
      <c r="B195" s="262">
        <v>46022</v>
      </c>
      <c r="C195" s="261">
        <v>4051.5</v>
      </c>
      <c r="D195">
        <v>1.9476107797992023E-2</v>
      </c>
    </row>
    <row r="196" spans="2:4" x14ac:dyDescent="0.35">
      <c r="B196" s="262">
        <v>46021</v>
      </c>
      <c r="C196" s="261">
        <v>3974.1</v>
      </c>
      <c r="D196">
        <v>-2.40982001656749E-3</v>
      </c>
    </row>
    <row r="197" spans="2:4" x14ac:dyDescent="0.35">
      <c r="B197" s="262">
        <v>46020</v>
      </c>
      <c r="C197" s="261">
        <v>3983.7</v>
      </c>
      <c r="D197">
        <v>-2.0791583166333122E-3</v>
      </c>
    </row>
    <row r="198" spans="2:4" x14ac:dyDescent="0.35">
      <c r="B198" s="262">
        <v>46017</v>
      </c>
      <c r="C198" s="261">
        <v>3992</v>
      </c>
      <c r="D198">
        <v>2.115468242396332E-2</v>
      </c>
    </row>
    <row r="199" spans="2:4" x14ac:dyDescent="0.35">
      <c r="B199" s="262">
        <v>46015</v>
      </c>
      <c r="C199" s="261">
        <v>3909.3</v>
      </c>
      <c r="D199">
        <v>-4.2029650007641755E-3</v>
      </c>
    </row>
    <row r="200" spans="2:4" x14ac:dyDescent="0.35">
      <c r="B200" s="262">
        <v>46014</v>
      </c>
      <c r="C200" s="261">
        <v>3925.8</v>
      </c>
      <c r="D200">
        <v>-2.0336570237429455E-3</v>
      </c>
    </row>
    <row r="201" spans="2:4" x14ac:dyDescent="0.35">
      <c r="B201" s="262">
        <v>46013</v>
      </c>
      <c r="C201" s="261">
        <v>3933.8</v>
      </c>
      <c r="D201">
        <v>9.4145187145372206E-4</v>
      </c>
    </row>
    <row r="202" spans="2:4" x14ac:dyDescent="0.35">
      <c r="B202" s="262">
        <v>46010</v>
      </c>
      <c r="C202" s="261">
        <v>3930.1</v>
      </c>
      <c r="D202">
        <v>2.7555941111932557E-3</v>
      </c>
    </row>
    <row r="203" spans="2:4" x14ac:dyDescent="0.35">
      <c r="B203" s="262">
        <v>46009</v>
      </c>
      <c r="C203" s="261">
        <v>3919.3</v>
      </c>
      <c r="D203">
        <v>2.9171677883262342E-3</v>
      </c>
    </row>
    <row r="204" spans="2:4" x14ac:dyDescent="0.35">
      <c r="B204" s="262">
        <v>46008</v>
      </c>
      <c r="C204" s="261">
        <v>3907.9</v>
      </c>
      <c r="D204">
        <v>-5.4968825550324235E-3</v>
      </c>
    </row>
    <row r="205" spans="2:4" x14ac:dyDescent="0.35">
      <c r="B205" s="262">
        <v>46007</v>
      </c>
      <c r="C205" s="261">
        <v>3929.5</v>
      </c>
      <c r="D205">
        <v>1.6372665666546011E-2</v>
      </c>
    </row>
    <row r="206" spans="2:4" x14ac:dyDescent="0.35">
      <c r="B206" s="262">
        <v>46006</v>
      </c>
      <c r="C206" s="261">
        <v>3866.2</v>
      </c>
      <c r="D206">
        <v>-3.6080614401319522E-3</v>
      </c>
    </row>
    <row r="207" spans="2:4" x14ac:dyDescent="0.35">
      <c r="B207" s="262">
        <v>46003</v>
      </c>
      <c r="C207" s="261">
        <v>3880.2</v>
      </c>
      <c r="D207">
        <v>9.207240948813887E-3</v>
      </c>
    </row>
    <row r="208" spans="2:4" x14ac:dyDescent="0.35">
      <c r="B208" s="262">
        <v>46002</v>
      </c>
      <c r="C208" s="261">
        <v>3844.8</v>
      </c>
      <c r="D208">
        <v>-2.3402761525850594E-4</v>
      </c>
    </row>
    <row r="209" spans="2:4" x14ac:dyDescent="0.35">
      <c r="B209" s="262">
        <v>46001</v>
      </c>
      <c r="C209" s="261">
        <v>3845.7</v>
      </c>
      <c r="D209">
        <v>-8.5736554949342213E-4</v>
      </c>
    </row>
    <row r="210" spans="2:4" x14ac:dyDescent="0.35">
      <c r="B210" s="262">
        <v>46000</v>
      </c>
      <c r="C210" s="261">
        <v>3849</v>
      </c>
      <c r="D210">
        <v>2.1767985134058934E-2</v>
      </c>
    </row>
    <row r="211" spans="2:4" x14ac:dyDescent="0.35">
      <c r="B211" s="262">
        <v>45999</v>
      </c>
      <c r="C211" s="261">
        <v>3767</v>
      </c>
      <c r="D211">
        <v>-1.2141714525476669E-2</v>
      </c>
    </row>
    <row r="212" spans="2:4" x14ac:dyDescent="0.35">
      <c r="B212" s="262">
        <v>45996</v>
      </c>
      <c r="C212" s="261">
        <v>3813.3</v>
      </c>
      <c r="D212">
        <v>3.394379538995919E-3</v>
      </c>
    </row>
    <row r="213" spans="2:4" x14ac:dyDescent="0.35">
      <c r="B213" s="262">
        <v>45995</v>
      </c>
      <c r="C213" s="261">
        <v>3800.4</v>
      </c>
      <c r="D213">
        <v>-4.5575986170045815E-3</v>
      </c>
    </row>
    <row r="214" spans="2:4" x14ac:dyDescent="0.35">
      <c r="B214" s="262">
        <v>45994</v>
      </c>
      <c r="C214" s="261">
        <v>3817.8</v>
      </c>
      <c r="D214">
        <v>-1.74996139791034E-2</v>
      </c>
    </row>
    <row r="215" spans="2:4" x14ac:dyDescent="0.35">
      <c r="B215" s="262">
        <v>45993</v>
      </c>
      <c r="C215" s="261">
        <v>3885.8</v>
      </c>
      <c r="D215">
        <v>-2.3363886107473641E-3</v>
      </c>
    </row>
    <row r="216" spans="2:4" x14ac:dyDescent="0.35">
      <c r="B216" s="262">
        <v>45992</v>
      </c>
      <c r="C216" s="261">
        <v>3894.9</v>
      </c>
      <c r="D216">
        <v>-3.2755841031808296E-3</v>
      </c>
    </row>
    <row r="217" spans="2:4" x14ac:dyDescent="0.35">
      <c r="B217" s="262">
        <v>45989</v>
      </c>
      <c r="C217" s="261">
        <v>3907.7</v>
      </c>
      <c r="D217">
        <v>1.127251300181804E-3</v>
      </c>
    </row>
    <row r="218" spans="2:4" x14ac:dyDescent="0.35">
      <c r="B218" s="262">
        <v>45988</v>
      </c>
      <c r="C218" s="261">
        <v>3903.3</v>
      </c>
      <c r="D218">
        <v>1.4367447469021126E-3</v>
      </c>
    </row>
    <row r="219" spans="2:4" x14ac:dyDescent="0.35">
      <c r="B219" s="262">
        <v>45987</v>
      </c>
      <c r="C219" s="261">
        <v>3897.7</v>
      </c>
      <c r="D219">
        <v>1.1050297009156678E-2</v>
      </c>
    </row>
    <row r="220" spans="2:4" x14ac:dyDescent="0.35">
      <c r="B220" s="262">
        <v>45986</v>
      </c>
      <c r="C220" s="261">
        <v>3855.1</v>
      </c>
      <c r="D220">
        <v>-4.9557339390342179E-3</v>
      </c>
    </row>
    <row r="221" spans="2:4" x14ac:dyDescent="0.35">
      <c r="B221" s="262">
        <v>45985</v>
      </c>
      <c r="C221" s="261">
        <v>3874.3</v>
      </c>
      <c r="D221">
        <v>-7.6584191383637203E-3</v>
      </c>
    </row>
    <row r="222" spans="2:4" x14ac:dyDescent="0.35">
      <c r="B222" s="262">
        <v>45982</v>
      </c>
      <c r="C222" s="261">
        <v>3904.2</v>
      </c>
      <c r="D222">
        <v>4.6125461254605552E-4</v>
      </c>
    </row>
    <row r="223" spans="2:4" x14ac:dyDescent="0.35">
      <c r="B223" s="262">
        <v>45981</v>
      </c>
      <c r="C223" s="261">
        <v>3902.4</v>
      </c>
      <c r="D223">
        <v>-7.8055477867330653E-3</v>
      </c>
    </row>
    <row r="224" spans="2:4" x14ac:dyDescent="0.35">
      <c r="B224" s="262">
        <v>45980</v>
      </c>
      <c r="C224" s="261">
        <v>3933.1</v>
      </c>
      <c r="D224">
        <v>1.3894617446896291E-2</v>
      </c>
    </row>
    <row r="225" spans="2:4" x14ac:dyDescent="0.35">
      <c r="B225" s="262">
        <v>45979</v>
      </c>
      <c r="C225" s="261">
        <v>3879.2</v>
      </c>
      <c r="D225">
        <v>2.7400093056919581E-3</v>
      </c>
    </row>
    <row r="226" spans="2:4" x14ac:dyDescent="0.35">
      <c r="B226" s="262">
        <v>45978</v>
      </c>
      <c r="C226" s="261">
        <v>3868.6</v>
      </c>
      <c r="D226">
        <v>1.0289355478951242E-2</v>
      </c>
    </row>
    <row r="227" spans="2:4" x14ac:dyDescent="0.35">
      <c r="B227" s="262">
        <v>45975</v>
      </c>
      <c r="C227" s="261">
        <v>3829.2</v>
      </c>
      <c r="D227">
        <v>-2.6047093144405085E-3</v>
      </c>
    </row>
    <row r="228" spans="2:4" x14ac:dyDescent="0.35">
      <c r="B228" s="262">
        <v>45974</v>
      </c>
      <c r="C228" s="261">
        <v>3839.2</v>
      </c>
      <c r="D228">
        <v>-3.0900262262730364E-3</v>
      </c>
    </row>
    <row r="229" spans="2:4" x14ac:dyDescent="0.35">
      <c r="B229" s="262">
        <v>45973</v>
      </c>
      <c r="C229" s="261">
        <v>3851.1</v>
      </c>
      <c r="D229">
        <v>1.0151085930122709E-2</v>
      </c>
    </row>
    <row r="230" spans="2:4" x14ac:dyDescent="0.35">
      <c r="B230" s="262">
        <v>45972</v>
      </c>
      <c r="C230" s="261">
        <v>3812.4</v>
      </c>
      <c r="D230">
        <v>2.4717328424927929E-3</v>
      </c>
    </row>
    <row r="231" spans="2:4" x14ac:dyDescent="0.35">
      <c r="B231" s="262">
        <v>45971</v>
      </c>
      <c r="C231" s="261">
        <v>3803</v>
      </c>
      <c r="D231">
        <v>8.940652110471391E-3</v>
      </c>
    </row>
    <row r="232" spans="2:4" x14ac:dyDescent="0.35">
      <c r="B232" s="262">
        <v>45968</v>
      </c>
      <c r="C232" s="261">
        <v>3769.3</v>
      </c>
      <c r="D232">
        <v>-1.3512081390419429E-3</v>
      </c>
    </row>
    <row r="233" spans="2:4" x14ac:dyDescent="0.35">
      <c r="B233" s="262">
        <v>45967</v>
      </c>
      <c r="C233" s="261">
        <v>3774.4</v>
      </c>
      <c r="D233">
        <v>-1.0253048380752566E-2</v>
      </c>
    </row>
    <row r="234" spans="2:4" x14ac:dyDescent="0.35">
      <c r="B234" s="262">
        <v>45965</v>
      </c>
      <c r="C234" s="261">
        <v>3813.5</v>
      </c>
      <c r="D234">
        <v>2.389582494294536E-2</v>
      </c>
    </row>
    <row r="235" spans="2:4" x14ac:dyDescent="0.35">
      <c r="B235" s="262">
        <v>45964</v>
      </c>
      <c r="C235" s="261">
        <v>3724.5</v>
      </c>
      <c r="D235">
        <v>-5.9252141884858197E-3</v>
      </c>
    </row>
    <row r="236" spans="2:4" x14ac:dyDescent="0.35">
      <c r="B236" s="262">
        <v>45961</v>
      </c>
      <c r="C236" s="261">
        <v>3746.7</v>
      </c>
      <c r="D236">
        <v>-1.0664675927160264E-3</v>
      </c>
    </row>
    <row r="237" spans="2:4" x14ac:dyDescent="0.35">
      <c r="B237" s="262">
        <v>45960</v>
      </c>
      <c r="C237" s="261">
        <v>3750.7</v>
      </c>
      <c r="D237">
        <v>6.4029026492000006E-4</v>
      </c>
    </row>
    <row r="238" spans="2:4" x14ac:dyDescent="0.35">
      <c r="B238" s="262">
        <v>45959</v>
      </c>
      <c r="C238" s="261">
        <v>3748.3</v>
      </c>
      <c r="D238">
        <v>8.4207694377186389E-3</v>
      </c>
    </row>
    <row r="239" spans="2:4" x14ac:dyDescent="0.35">
      <c r="B239" s="262">
        <v>45958</v>
      </c>
      <c r="C239" s="261">
        <v>3717</v>
      </c>
      <c r="D239">
        <v>-6.096582704957533E-3</v>
      </c>
    </row>
    <row r="240" spans="2:4" x14ac:dyDescent="0.35">
      <c r="B240" s="262">
        <v>45957</v>
      </c>
      <c r="C240" s="261">
        <v>3739.8</v>
      </c>
      <c r="D240">
        <v>6.7027376241621823E-3</v>
      </c>
    </row>
    <row r="241" spans="2:4" x14ac:dyDescent="0.35">
      <c r="B241" s="262">
        <v>45954</v>
      </c>
      <c r="C241" s="261">
        <v>3714.9</v>
      </c>
      <c r="D241">
        <v>-1.5216181109667866E-2</v>
      </c>
    </row>
    <row r="242" spans="2:4" x14ac:dyDescent="0.35">
      <c r="B242" s="262">
        <v>45953</v>
      </c>
      <c r="C242" s="261">
        <v>3772.3</v>
      </c>
      <c r="D242">
        <v>1.1611692142665643E-2</v>
      </c>
    </row>
    <row r="243" spans="2:4" x14ac:dyDescent="0.35">
      <c r="B243" s="262">
        <v>45951</v>
      </c>
      <c r="C243" s="261">
        <v>3729</v>
      </c>
      <c r="D243">
        <v>-2.1941560526596965E-3</v>
      </c>
    </row>
    <row r="244" spans="2:4" x14ac:dyDescent="0.35">
      <c r="B244" s="262">
        <v>45950</v>
      </c>
      <c r="C244" s="261">
        <v>3737.2</v>
      </c>
      <c r="D244">
        <v>1.6980515946445965E-2</v>
      </c>
    </row>
    <row r="245" spans="2:4" x14ac:dyDescent="0.35">
      <c r="B245" s="262">
        <v>45947</v>
      </c>
      <c r="C245" s="261">
        <v>3674.8</v>
      </c>
      <c r="D245">
        <v>9.4772408867401028E-3</v>
      </c>
    </row>
    <row r="246" spans="2:4" x14ac:dyDescent="0.35">
      <c r="B246" s="262">
        <v>45946</v>
      </c>
      <c r="C246" s="261">
        <v>3640.3</v>
      </c>
      <c r="D246">
        <v>2.5725556494787315E-2</v>
      </c>
    </row>
    <row r="247" spans="2:4" x14ac:dyDescent="0.35">
      <c r="B247" s="262">
        <v>45945</v>
      </c>
      <c r="C247" s="261">
        <v>3549</v>
      </c>
      <c r="D247">
        <v>3.2792446429580789E-3</v>
      </c>
    </row>
    <row r="248" spans="2:4" x14ac:dyDescent="0.35">
      <c r="B248" s="262">
        <v>45944</v>
      </c>
      <c r="C248" s="261">
        <v>3537.4</v>
      </c>
      <c r="D248">
        <v>1.0753905365633296E-3</v>
      </c>
    </row>
    <row r="249" spans="2:4" x14ac:dyDescent="0.35">
      <c r="B249" s="262">
        <v>45943</v>
      </c>
      <c r="C249" s="261">
        <v>3533.6</v>
      </c>
      <c r="D249">
        <v>4.8132733089833177E-4</v>
      </c>
    </row>
    <row r="250" spans="2:4" x14ac:dyDescent="0.35">
      <c r="B250" s="262">
        <v>45940</v>
      </c>
      <c r="C250" s="261">
        <v>3531.9</v>
      </c>
      <c r="D250">
        <v>-5.266715484706759E-3</v>
      </c>
    </row>
    <row r="251" spans="2:4" x14ac:dyDescent="0.35">
      <c r="B251" s="262">
        <v>45939</v>
      </c>
      <c r="C251" s="261">
        <v>3550.6</v>
      </c>
      <c r="D251">
        <v>-4.2068656046668164E-3</v>
      </c>
    </row>
    <row r="252" spans="2:4" x14ac:dyDescent="0.35">
      <c r="B252" s="262">
        <v>45938</v>
      </c>
      <c r="C252" s="261">
        <v>3565.6</v>
      </c>
      <c r="D252">
        <v>4.312211105260081E-2</v>
      </c>
    </row>
    <row r="253" spans="2:4" x14ac:dyDescent="0.35">
      <c r="B253" s="262">
        <v>45937</v>
      </c>
      <c r="C253" s="261">
        <v>3418.2</v>
      </c>
      <c r="D253">
        <v>-2.1019442984761701E-3</v>
      </c>
    </row>
    <row r="254" spans="2:4" x14ac:dyDescent="0.35">
      <c r="B254" s="262">
        <v>45936</v>
      </c>
      <c r="C254" s="261">
        <v>3425.4</v>
      </c>
      <c r="D254">
        <v>-8.0792285639823044E-3</v>
      </c>
    </row>
    <row r="255" spans="2:4" x14ac:dyDescent="0.35">
      <c r="B255" s="262">
        <v>45933</v>
      </c>
      <c r="C255" s="261">
        <v>3453.3</v>
      </c>
      <c r="D255">
        <v>1.3203063110641669E-2</v>
      </c>
    </row>
    <row r="256" spans="2:4" x14ac:dyDescent="0.35">
      <c r="B256" s="262">
        <v>45931</v>
      </c>
      <c r="C256" s="261">
        <v>3408.3</v>
      </c>
      <c r="D256">
        <v>1.2266112266112321E-2</v>
      </c>
    </row>
    <row r="257" spans="2:4" x14ac:dyDescent="0.35">
      <c r="B257" s="262">
        <v>45930</v>
      </c>
      <c r="C257" s="261">
        <v>3367</v>
      </c>
      <c r="D257">
        <v>-1.005527460896149E-2</v>
      </c>
    </row>
    <row r="258" spans="2:4" x14ac:dyDescent="0.35">
      <c r="B258" s="262">
        <v>45929</v>
      </c>
      <c r="C258" s="261">
        <v>3401.2</v>
      </c>
      <c r="D258">
        <v>2.2210200462837625E-2</v>
      </c>
    </row>
    <row r="259" spans="2:4" x14ac:dyDescent="0.35">
      <c r="B259" s="262">
        <v>45926</v>
      </c>
      <c r="C259" s="261">
        <v>3327.3</v>
      </c>
      <c r="D259">
        <v>-1.5154654432440379E-2</v>
      </c>
    </row>
    <row r="260" spans="2:4" x14ac:dyDescent="0.35">
      <c r="B260" s="262">
        <v>45925</v>
      </c>
      <c r="C260" s="261">
        <v>3378.5</v>
      </c>
      <c r="D260">
        <v>-1.1643214463329778E-2</v>
      </c>
    </row>
    <row r="261" spans="2:4" x14ac:dyDescent="0.35">
      <c r="B261" s="262">
        <v>45924</v>
      </c>
      <c r="C261" s="261">
        <v>3418.3</v>
      </c>
      <c r="D261">
        <v>-6.0769946499184806E-3</v>
      </c>
    </row>
    <row r="262" spans="2:4" x14ac:dyDescent="0.35">
      <c r="B262" s="262">
        <v>45923</v>
      </c>
      <c r="C262" s="261">
        <v>3439.2</v>
      </c>
      <c r="D262">
        <v>-5.2928416485900744E-3</v>
      </c>
    </row>
    <row r="263" spans="2:4" x14ac:dyDescent="0.35">
      <c r="B263" s="262">
        <v>45922</v>
      </c>
      <c r="C263" s="261">
        <v>3457.5</v>
      </c>
      <c r="D263">
        <v>-2.7976465159205753E-3</v>
      </c>
    </row>
    <row r="264" spans="2:4" x14ac:dyDescent="0.35">
      <c r="B264" s="262">
        <v>45919</v>
      </c>
      <c r="C264" s="261">
        <v>3467.2</v>
      </c>
      <c r="D264">
        <v>-1.2559450915615403E-2</v>
      </c>
    </row>
    <row r="265" spans="2:4" x14ac:dyDescent="0.35">
      <c r="B265" s="262">
        <v>45918</v>
      </c>
      <c r="C265" s="261">
        <v>3511.3</v>
      </c>
      <c r="D265">
        <v>-3.3210332103320518E-3</v>
      </c>
    </row>
    <row r="266" spans="2:4" x14ac:dyDescent="0.35">
      <c r="B266" s="262">
        <v>45917</v>
      </c>
      <c r="C266" s="261">
        <v>3523</v>
      </c>
      <c r="D266">
        <v>-9.5029239766082386E-3</v>
      </c>
    </row>
    <row r="267" spans="2:4" x14ac:dyDescent="0.35">
      <c r="B267" s="262">
        <v>45916</v>
      </c>
      <c r="C267" s="261">
        <v>3556.8</v>
      </c>
      <c r="D267">
        <v>6.4231346028692663E-3</v>
      </c>
    </row>
    <row r="268" spans="2:4" x14ac:dyDescent="0.35">
      <c r="B268" s="262">
        <v>45915</v>
      </c>
      <c r="C268" s="261">
        <v>3534.1</v>
      </c>
      <c r="D268">
        <v>-1.0582603096391327E-2</v>
      </c>
    </row>
    <row r="269" spans="2:4" x14ac:dyDescent="0.35">
      <c r="B269" s="262">
        <v>45912</v>
      </c>
      <c r="C269" s="261">
        <v>3571.9</v>
      </c>
      <c r="D269">
        <v>-3.4317281401706735E-3</v>
      </c>
    </row>
    <row r="270" spans="2:4" x14ac:dyDescent="0.35">
      <c r="B270" s="262">
        <v>45911</v>
      </c>
      <c r="C270" s="261">
        <v>3584.2</v>
      </c>
      <c r="D270">
        <v>-1.0053582279180271E-2</v>
      </c>
    </row>
    <row r="271" spans="2:4" x14ac:dyDescent="0.35">
      <c r="B271" s="262">
        <v>45910</v>
      </c>
      <c r="C271" s="261">
        <v>3620.6</v>
      </c>
      <c r="D271">
        <v>-2.6170077959284869E-3</v>
      </c>
    </row>
    <row r="272" spans="2:4" x14ac:dyDescent="0.35">
      <c r="B272" s="262">
        <v>45909</v>
      </c>
      <c r="C272" s="261">
        <v>3630.1</v>
      </c>
      <c r="D272">
        <v>-7.6271186440678212E-3</v>
      </c>
    </row>
    <row r="273" spans="2:4" x14ac:dyDescent="0.35">
      <c r="B273" s="262">
        <v>45908</v>
      </c>
      <c r="C273" s="261">
        <v>3658</v>
      </c>
      <c r="D273">
        <v>-1.9916514337162527E-3</v>
      </c>
    </row>
    <row r="274" spans="2:4" x14ac:dyDescent="0.35">
      <c r="B274" s="262">
        <v>45905</v>
      </c>
      <c r="C274" s="261">
        <v>3665.3</v>
      </c>
      <c r="D274">
        <v>-6.9897862425834381E-3</v>
      </c>
    </row>
    <row r="275" spans="2:4" x14ac:dyDescent="0.35">
      <c r="B275" s="262">
        <v>45904</v>
      </c>
      <c r="C275" s="261">
        <v>3691.1</v>
      </c>
      <c r="D275">
        <v>1.3547932585487456E-4</v>
      </c>
    </row>
    <row r="276" spans="2:4" x14ac:dyDescent="0.35">
      <c r="B276" s="262">
        <v>45903</v>
      </c>
      <c r="C276" s="261">
        <v>3690.6</v>
      </c>
      <c r="D276">
        <v>1.9333812075346627E-2</v>
      </c>
    </row>
    <row r="277" spans="2:4" x14ac:dyDescent="0.35">
      <c r="B277" s="262">
        <v>45902</v>
      </c>
      <c r="C277" s="261">
        <v>3620.6</v>
      </c>
      <c r="D277">
        <v>5.5269993920300674E-4</v>
      </c>
    </row>
    <row r="278" spans="2:4" x14ac:dyDescent="0.35">
      <c r="B278" s="262">
        <v>45901</v>
      </c>
      <c r="C278" s="261">
        <v>3618.6</v>
      </c>
      <c r="D278">
        <v>-2.8108465608466357E-3</v>
      </c>
    </row>
    <row r="279" spans="2:4" x14ac:dyDescent="0.35">
      <c r="B279" s="262">
        <v>45898</v>
      </c>
      <c r="C279" s="261">
        <v>3628.8</v>
      </c>
      <c r="D279">
        <v>-2.4466008741786394E-3</v>
      </c>
    </row>
    <row r="280" spans="2:4" x14ac:dyDescent="0.35">
      <c r="B280" s="262">
        <v>45897</v>
      </c>
      <c r="C280" s="261">
        <v>3637.7</v>
      </c>
      <c r="D280">
        <v>1.2159154145798502E-2</v>
      </c>
    </row>
    <row r="281" spans="2:4" x14ac:dyDescent="0.35">
      <c r="B281" s="262">
        <v>45895</v>
      </c>
      <c r="C281" s="261">
        <v>3594</v>
      </c>
      <c r="D281">
        <v>-1.5719997809059562E-2</v>
      </c>
    </row>
    <row r="282" spans="2:4" x14ac:dyDescent="0.35">
      <c r="B282" s="262">
        <v>45894</v>
      </c>
      <c r="C282" s="261">
        <v>3651.4</v>
      </c>
      <c r="D282">
        <v>8.3954708644021232E-3</v>
      </c>
    </row>
    <row r="283" spans="2:4" x14ac:dyDescent="0.35">
      <c r="B283" s="262">
        <v>45891</v>
      </c>
      <c r="C283" s="261">
        <v>3621</v>
      </c>
      <c r="D283">
        <v>1.2996709343803938E-3</v>
      </c>
    </row>
    <row r="284" spans="2:4" x14ac:dyDescent="0.35">
      <c r="B284" s="262">
        <v>45890</v>
      </c>
      <c r="C284" s="261">
        <v>3616.3</v>
      </c>
      <c r="D284">
        <v>5.9248956884562394E-3</v>
      </c>
    </row>
    <row r="285" spans="2:4" x14ac:dyDescent="0.35">
      <c r="B285" s="262">
        <v>45889</v>
      </c>
      <c r="C285" s="261">
        <v>3595</v>
      </c>
      <c r="D285">
        <v>7.5390263725792694E-3</v>
      </c>
    </row>
    <row r="286" spans="2:4" x14ac:dyDescent="0.35">
      <c r="B286" s="262">
        <v>45888</v>
      </c>
      <c r="C286" s="261">
        <v>3568.1</v>
      </c>
      <c r="D286">
        <v>3.7414200517609224E-3</v>
      </c>
    </row>
    <row r="287" spans="2:4" x14ac:dyDescent="0.35">
      <c r="B287" s="262">
        <v>45887</v>
      </c>
      <c r="C287" s="261">
        <v>3554.8</v>
      </c>
      <c r="D287">
        <v>1.8742477216713502E-2</v>
      </c>
    </row>
    <row r="288" spans="2:4" x14ac:dyDescent="0.35">
      <c r="B288" s="262">
        <v>45883</v>
      </c>
      <c r="C288" s="261">
        <v>3489.4</v>
      </c>
      <c r="D288">
        <v>6.5189800392292342E-3</v>
      </c>
    </row>
    <row r="289" spans="2:4" x14ac:dyDescent="0.35">
      <c r="B289" s="262">
        <v>45882</v>
      </c>
      <c r="C289" s="261">
        <v>3466.8</v>
      </c>
      <c r="D289">
        <v>-5.7359183205231154E-3</v>
      </c>
    </row>
    <row r="290" spans="2:4" x14ac:dyDescent="0.35">
      <c r="B290" s="262">
        <v>45881</v>
      </c>
      <c r="C290" s="261">
        <v>3486.8</v>
      </c>
      <c r="D290">
        <v>5.449984140257819E-3</v>
      </c>
    </row>
    <row r="291" spans="2:4" x14ac:dyDescent="0.35">
      <c r="B291" s="262">
        <v>45880</v>
      </c>
      <c r="C291" s="261">
        <v>3467.9</v>
      </c>
      <c r="D291">
        <v>2.2253048956708496E-3</v>
      </c>
    </row>
    <row r="292" spans="2:4" x14ac:dyDescent="0.35">
      <c r="B292" s="262">
        <v>45877</v>
      </c>
      <c r="C292" s="261">
        <v>3460.2</v>
      </c>
      <c r="D292">
        <v>1.3028076236203414E-2</v>
      </c>
    </row>
    <row r="293" spans="2:4" x14ac:dyDescent="0.35">
      <c r="B293" s="262">
        <v>45876</v>
      </c>
      <c r="C293" s="261">
        <v>3415.7</v>
      </c>
      <c r="D293">
        <v>-5.8518886970769816E-4</v>
      </c>
    </row>
    <row r="294" spans="2:4" x14ac:dyDescent="0.35">
      <c r="B294" s="262">
        <v>45875</v>
      </c>
      <c r="C294" s="261">
        <v>3417.7</v>
      </c>
      <c r="D294">
        <v>-1.4627581768182084E-4</v>
      </c>
    </row>
    <row r="295" spans="2:4" x14ac:dyDescent="0.35">
      <c r="B295" s="262">
        <v>45874</v>
      </c>
      <c r="C295" s="261">
        <v>3418.2</v>
      </c>
      <c r="D295">
        <v>1.8442928224532858E-2</v>
      </c>
    </row>
    <row r="296" spans="2:4" x14ac:dyDescent="0.35">
      <c r="B296" s="262">
        <v>45873</v>
      </c>
      <c r="C296" s="261">
        <v>3356.3</v>
      </c>
      <c r="D296">
        <v>1.2153196622436725E-2</v>
      </c>
    </row>
    <row r="297" spans="2:4" x14ac:dyDescent="0.35">
      <c r="B297" s="262">
        <v>45870</v>
      </c>
      <c r="C297" s="261">
        <v>3316</v>
      </c>
      <c r="D297">
        <v>-9.3508200639321783E-3</v>
      </c>
    </row>
    <row r="298" spans="2:4" x14ac:dyDescent="0.35">
      <c r="B298" s="262">
        <v>45869</v>
      </c>
      <c r="C298" s="261">
        <v>3347.3</v>
      </c>
      <c r="D298">
        <v>-8.6480082926106375E-3</v>
      </c>
    </row>
    <row r="299" spans="2:4" x14ac:dyDescent="0.35">
      <c r="B299" s="262">
        <v>45868</v>
      </c>
      <c r="C299" s="261">
        <v>3376.5</v>
      </c>
      <c r="D299">
        <v>-7.9900568181812798E-4</v>
      </c>
    </row>
    <row r="300" spans="2:4" x14ac:dyDescent="0.35">
      <c r="B300" s="262">
        <v>45867</v>
      </c>
      <c r="C300" s="261">
        <v>3379.2</v>
      </c>
      <c r="D300">
        <v>-4.0671971706455002E-3</v>
      </c>
    </row>
    <row r="301" spans="2:4" x14ac:dyDescent="0.35">
      <c r="B301" s="262">
        <v>45866</v>
      </c>
      <c r="C301" s="261">
        <v>3393</v>
      </c>
      <c r="D301">
        <v>-2.0157098301952229E-2</v>
      </c>
    </row>
    <row r="302" spans="2:4" x14ac:dyDescent="0.35">
      <c r="B302" s="262">
        <v>45863</v>
      </c>
      <c r="C302" s="261">
        <v>3462.8</v>
      </c>
      <c r="D302">
        <v>-6.1990586614624928E-3</v>
      </c>
    </row>
    <row r="303" spans="2:4" x14ac:dyDescent="0.35">
      <c r="B303" s="262">
        <v>45862</v>
      </c>
      <c r="C303" s="261">
        <v>3484.4</v>
      </c>
      <c r="D303">
        <v>3.7448867891916805E-3</v>
      </c>
    </row>
    <row r="304" spans="2:4" x14ac:dyDescent="0.35">
      <c r="B304" s="262">
        <v>45861</v>
      </c>
      <c r="C304" s="261">
        <v>3471.4</v>
      </c>
      <c r="D304">
        <v>-2.8798525515493607E-4</v>
      </c>
    </row>
    <row r="305" spans="2:4" x14ac:dyDescent="0.35">
      <c r="B305" s="262">
        <v>45860</v>
      </c>
      <c r="C305" s="261">
        <v>3472.4</v>
      </c>
      <c r="D305">
        <v>1.1476842411884675E-2</v>
      </c>
    </row>
    <row r="306" spans="2:4" x14ac:dyDescent="0.35">
      <c r="B306" s="262">
        <v>45859</v>
      </c>
      <c r="C306" s="261">
        <v>3433</v>
      </c>
      <c r="D306">
        <v>8.8453965735108015E-3</v>
      </c>
    </row>
    <row r="307" spans="2:4" x14ac:dyDescent="0.35">
      <c r="B307" s="262">
        <v>45856</v>
      </c>
      <c r="C307" s="261">
        <v>3402.9</v>
      </c>
      <c r="D307">
        <v>-8.8544548976203907E-3</v>
      </c>
    </row>
    <row r="308" spans="2:4" x14ac:dyDescent="0.35">
      <c r="B308" s="262">
        <v>45855</v>
      </c>
      <c r="C308" s="261">
        <v>3433.3</v>
      </c>
      <c r="D308">
        <v>4.6820589354168492E-3</v>
      </c>
    </row>
    <row r="309" spans="2:4" x14ac:dyDescent="0.35">
      <c r="B309" s="262">
        <v>45854</v>
      </c>
      <c r="C309" s="261">
        <v>3417.3</v>
      </c>
      <c r="D309">
        <v>6.7349926793563162E-4</v>
      </c>
    </row>
    <row r="310" spans="2:4" x14ac:dyDescent="0.35">
      <c r="B310" s="262">
        <v>45853</v>
      </c>
      <c r="C310" s="261">
        <v>3415</v>
      </c>
      <c r="D310">
        <v>3.0252298293535944E-3</v>
      </c>
    </row>
    <row r="311" spans="2:4" x14ac:dyDescent="0.35">
      <c r="B311" s="262">
        <v>45852</v>
      </c>
      <c r="C311" s="261">
        <v>3404.7</v>
      </c>
      <c r="D311">
        <v>1.2821275583055661E-2</v>
      </c>
    </row>
    <row r="312" spans="2:4" x14ac:dyDescent="0.35">
      <c r="B312" s="262">
        <v>45849</v>
      </c>
      <c r="C312" s="261">
        <v>3361.6</v>
      </c>
      <c r="D312">
        <v>-1.7018539095853637E-2</v>
      </c>
    </row>
    <row r="313" spans="2:4" x14ac:dyDescent="0.35">
      <c r="B313" s="262">
        <v>45848</v>
      </c>
      <c r="C313" s="261">
        <v>3419.8</v>
      </c>
      <c r="D313">
        <v>-3.5838116604993233E-3</v>
      </c>
    </row>
    <row r="314" spans="2:4" x14ac:dyDescent="0.35">
      <c r="B314" s="262">
        <v>45847</v>
      </c>
      <c r="C314" s="261">
        <v>3432.1</v>
      </c>
      <c r="D314">
        <v>-2.6734083050010964E-3</v>
      </c>
    </row>
    <row r="315" spans="2:4" x14ac:dyDescent="0.35">
      <c r="B315" s="262">
        <v>45846</v>
      </c>
      <c r="C315" s="261">
        <v>3441.3</v>
      </c>
      <c r="D315">
        <v>-6.1318567414964061E-2</v>
      </c>
    </row>
    <row r="316" spans="2:4" x14ac:dyDescent="0.35">
      <c r="B316" s="262">
        <v>45845</v>
      </c>
      <c r="C316" s="261">
        <v>3666.1</v>
      </c>
      <c r="D316">
        <v>-5.64159592069223E-3</v>
      </c>
    </row>
    <row r="317" spans="2:4" x14ac:dyDescent="0.35">
      <c r="B317" s="262">
        <v>45842</v>
      </c>
      <c r="C317" s="261">
        <v>3686.9</v>
      </c>
      <c r="D317">
        <v>2.2290483051078569E-3</v>
      </c>
    </row>
    <row r="318" spans="2:4" x14ac:dyDescent="0.35">
      <c r="B318" s="262">
        <v>45841</v>
      </c>
      <c r="C318" s="261">
        <v>3678.7</v>
      </c>
      <c r="D318">
        <v>-7.9018338727077087E-3</v>
      </c>
    </row>
    <row r="319" spans="2:4" x14ac:dyDescent="0.35">
      <c r="B319" s="262">
        <v>45840</v>
      </c>
      <c r="C319" s="261">
        <v>3708</v>
      </c>
      <c r="D319">
        <v>2.0267531414673691E-3</v>
      </c>
    </row>
    <row r="320" spans="2:4" x14ac:dyDescent="0.35">
      <c r="B320" s="262">
        <v>45839</v>
      </c>
      <c r="C320" s="261">
        <v>3700.5</v>
      </c>
      <c r="D320">
        <v>2.7911766299930038E-3</v>
      </c>
    </row>
    <row r="321" spans="2:4" x14ac:dyDescent="0.35">
      <c r="B321" s="262">
        <v>45838</v>
      </c>
      <c r="C321" s="261">
        <v>3690.2</v>
      </c>
      <c r="D321">
        <v>6.5462877093448264E-3</v>
      </c>
    </row>
    <row r="322" spans="2:4" x14ac:dyDescent="0.35">
      <c r="B322" s="262">
        <v>45835</v>
      </c>
      <c r="C322" s="261">
        <v>3666.2</v>
      </c>
      <c r="D322">
        <v>-7.7137521314315106E-3</v>
      </c>
    </row>
    <row r="323" spans="2:4" x14ac:dyDescent="0.35">
      <c r="B323" s="262">
        <v>45834</v>
      </c>
      <c r="C323" s="261">
        <v>3694.7</v>
      </c>
      <c r="D323">
        <v>1.1636821641750179E-2</v>
      </c>
    </row>
    <row r="324" spans="2:4" x14ac:dyDescent="0.35">
      <c r="B324" s="262">
        <v>45833</v>
      </c>
      <c r="C324" s="261">
        <v>3652.2</v>
      </c>
      <c r="D324">
        <v>3.5791264889393028E-2</v>
      </c>
    </row>
    <row r="325" spans="2:4" x14ac:dyDescent="0.35">
      <c r="B325" s="262">
        <v>45832</v>
      </c>
      <c r="C325" s="261">
        <v>3526</v>
      </c>
      <c r="D325">
        <v>5.7905696437231318E-3</v>
      </c>
    </row>
    <row r="326" spans="2:4" x14ac:dyDescent="0.35">
      <c r="B326" s="262">
        <v>45831</v>
      </c>
      <c r="C326" s="261">
        <v>3505.7</v>
      </c>
      <c r="D326">
        <v>-3.7794828076158516E-3</v>
      </c>
    </row>
    <row r="327" spans="2:4" x14ac:dyDescent="0.35">
      <c r="B327" s="262">
        <v>45828</v>
      </c>
      <c r="C327" s="261">
        <v>3519</v>
      </c>
      <c r="D327">
        <v>3.8797284190106433E-3</v>
      </c>
    </row>
    <row r="328" spans="2:4" x14ac:dyDescent="0.35">
      <c r="B328" s="262">
        <v>45827</v>
      </c>
      <c r="C328" s="261">
        <v>3505.4</v>
      </c>
      <c r="D328">
        <v>1.0842609147009605E-2</v>
      </c>
    </row>
    <row r="329" spans="2:4" x14ac:dyDescent="0.35">
      <c r="B329" s="262">
        <v>45826</v>
      </c>
      <c r="C329" s="261">
        <v>3467.8</v>
      </c>
      <c r="D329">
        <v>1.8234136888158194E-2</v>
      </c>
    </row>
    <row r="330" spans="2:4" x14ac:dyDescent="0.35">
      <c r="B330" s="262">
        <v>45825</v>
      </c>
      <c r="C330" s="261">
        <v>3405.7</v>
      </c>
      <c r="D330">
        <v>-9.4238096623135131E-3</v>
      </c>
    </row>
    <row r="331" spans="2:4" x14ac:dyDescent="0.35">
      <c r="B331" s="262">
        <v>45824</v>
      </c>
      <c r="C331" s="261">
        <v>3438.1</v>
      </c>
      <c r="D331">
        <v>4.7342119874922758E-3</v>
      </c>
    </row>
    <row r="332" spans="2:4" x14ac:dyDescent="0.35">
      <c r="B332" s="262">
        <v>45821</v>
      </c>
      <c r="C332" s="261">
        <v>3421.9</v>
      </c>
      <c r="D332">
        <v>-8.9205549280272616E-3</v>
      </c>
    </row>
    <row r="333" spans="2:4" x14ac:dyDescent="0.35">
      <c r="B333" s="262">
        <v>45820</v>
      </c>
      <c r="C333" s="261">
        <v>3452.7</v>
      </c>
      <c r="D333">
        <v>-2.5101648972215975E-2</v>
      </c>
    </row>
    <row r="334" spans="2:4" x14ac:dyDescent="0.35">
      <c r="B334" s="262">
        <v>45819</v>
      </c>
      <c r="C334" s="261">
        <v>3541.6</v>
      </c>
      <c r="D334">
        <v>4.9372907326485707E-3</v>
      </c>
    </row>
    <row r="335" spans="2:4" x14ac:dyDescent="0.35">
      <c r="B335" s="262">
        <v>45818</v>
      </c>
      <c r="C335" s="261">
        <v>3524.2</v>
      </c>
      <c r="D335">
        <v>-2.744842808228946E-3</v>
      </c>
    </row>
    <row r="336" spans="2:4" x14ac:dyDescent="0.35">
      <c r="B336" s="262">
        <v>45817</v>
      </c>
      <c r="C336" s="261">
        <v>3533.9</v>
      </c>
      <c r="D336">
        <v>-7.3035759431444702E-3</v>
      </c>
    </row>
    <row r="337" spans="2:4" x14ac:dyDescent="0.35">
      <c r="B337" s="262">
        <v>45814</v>
      </c>
      <c r="C337" s="261">
        <v>3559.9</v>
      </c>
      <c r="D337">
        <v>1.5953196347031989E-2</v>
      </c>
    </row>
    <row r="338" spans="2:4" x14ac:dyDescent="0.35">
      <c r="B338" s="262">
        <v>45813</v>
      </c>
      <c r="C338" s="261">
        <v>3504</v>
      </c>
      <c r="D338">
        <v>1.2000685753471108E-3</v>
      </c>
    </row>
    <row r="339" spans="2:4" x14ac:dyDescent="0.35">
      <c r="B339" s="262">
        <v>45812</v>
      </c>
      <c r="C339" s="261">
        <v>3499.8</v>
      </c>
      <c r="D339">
        <v>-5.6821410307403824E-3</v>
      </c>
    </row>
    <row r="340" spans="2:4" x14ac:dyDescent="0.35">
      <c r="B340" s="262">
        <v>45811</v>
      </c>
      <c r="C340" s="261">
        <v>3519.8</v>
      </c>
      <c r="D340">
        <v>-1.6167919444049974E-3</v>
      </c>
    </row>
    <row r="341" spans="2:4" x14ac:dyDescent="0.35">
      <c r="B341" s="262">
        <v>45810</v>
      </c>
      <c r="C341" s="261">
        <v>3525.5</v>
      </c>
      <c r="D341">
        <v>-8.2981715893108293E-3</v>
      </c>
    </row>
    <row r="342" spans="2:4" x14ac:dyDescent="0.35">
      <c r="B342" s="262">
        <v>45807</v>
      </c>
      <c r="C342" s="261">
        <v>3555</v>
      </c>
      <c r="D342">
        <v>-9.2801605216955609E-3</v>
      </c>
    </row>
    <row r="343" spans="2:4" x14ac:dyDescent="0.35">
      <c r="B343" s="262">
        <v>45806</v>
      </c>
      <c r="C343" s="261">
        <v>3588.3</v>
      </c>
      <c r="D343">
        <v>3.8045150642012937E-3</v>
      </c>
    </row>
    <row r="344" spans="2:4" x14ac:dyDescent="0.35">
      <c r="B344" s="262">
        <v>45805</v>
      </c>
      <c r="C344" s="261">
        <v>3574.7</v>
      </c>
      <c r="D344">
        <v>-4.0953919875188812E-3</v>
      </c>
    </row>
    <row r="345" spans="2:4" x14ac:dyDescent="0.35">
      <c r="B345" s="262">
        <v>45804</v>
      </c>
      <c r="C345" s="261">
        <v>3589.4</v>
      </c>
      <c r="D345">
        <v>-5.7889926044927265E-3</v>
      </c>
    </row>
    <row r="346" spans="2:4" x14ac:dyDescent="0.35">
      <c r="B346" s="262">
        <v>45803</v>
      </c>
      <c r="C346" s="261">
        <v>3610.3</v>
      </c>
      <c r="D346">
        <v>8.5482023633266374E-3</v>
      </c>
    </row>
    <row r="347" spans="2:4" x14ac:dyDescent="0.35">
      <c r="B347" s="262">
        <v>45800</v>
      </c>
      <c r="C347" s="261">
        <v>3579.7</v>
      </c>
      <c r="D347">
        <v>1.0929116068907037E-2</v>
      </c>
    </row>
    <row r="348" spans="2:4" x14ac:dyDescent="0.35">
      <c r="B348" s="262">
        <v>45799</v>
      </c>
      <c r="C348" s="261">
        <v>3541</v>
      </c>
      <c r="D348">
        <v>-1.1031978773914259E-2</v>
      </c>
    </row>
    <row r="349" spans="2:4" x14ac:dyDescent="0.35">
      <c r="B349" s="262">
        <v>45798</v>
      </c>
      <c r="C349" s="261">
        <v>3580.5</v>
      </c>
      <c r="D349">
        <v>-2.7928280176481331E-5</v>
      </c>
    </row>
    <row r="350" spans="2:4" x14ac:dyDescent="0.35">
      <c r="B350" s="262">
        <v>45797</v>
      </c>
      <c r="C350" s="261">
        <v>3580.6</v>
      </c>
      <c r="D350">
        <v>-1.0255134477706805E-2</v>
      </c>
    </row>
    <row r="351" spans="2:4" x14ac:dyDescent="0.35">
      <c r="B351" s="262">
        <v>45796</v>
      </c>
      <c r="C351" s="261">
        <v>3617.7</v>
      </c>
      <c r="D351">
        <v>-4.4032253625780884E-3</v>
      </c>
    </row>
    <row r="352" spans="2:4" x14ac:dyDescent="0.35">
      <c r="B352" s="262">
        <v>45793</v>
      </c>
      <c r="C352" s="261">
        <v>3633.7</v>
      </c>
      <c r="D352">
        <v>-8.5239771227462705E-4</v>
      </c>
    </row>
    <row r="353" spans="2:4" x14ac:dyDescent="0.35">
      <c r="B353" s="262">
        <v>45792</v>
      </c>
      <c r="C353" s="261">
        <v>3636.8</v>
      </c>
      <c r="D353">
        <v>1.371390344520021E-2</v>
      </c>
    </row>
    <row r="354" spans="2:4" x14ac:dyDescent="0.35">
      <c r="B354" s="262">
        <v>45791</v>
      </c>
      <c r="C354" s="261">
        <v>3587.6</v>
      </c>
      <c r="D354">
        <v>6.8477772788504976E-3</v>
      </c>
    </row>
    <row r="355" spans="2:4" x14ac:dyDescent="0.35">
      <c r="B355" s="262">
        <v>45790</v>
      </c>
      <c r="C355" s="261">
        <v>3563.2</v>
      </c>
      <c r="D355">
        <v>8.4201072160242261E-5</v>
      </c>
    </row>
    <row r="356" spans="2:4" x14ac:dyDescent="0.35">
      <c r="B356" s="262">
        <v>45789</v>
      </c>
      <c r="C356" s="261">
        <v>3562.9</v>
      </c>
      <c r="D356">
        <v>1.4984474261459107E-2</v>
      </c>
    </row>
    <row r="357" spans="2:4" x14ac:dyDescent="0.35">
      <c r="B357" s="262">
        <v>45786</v>
      </c>
      <c r="C357" s="261">
        <v>3510.3</v>
      </c>
      <c r="D357">
        <v>4.1848455168729405E-2</v>
      </c>
    </row>
    <row r="358" spans="2:4" x14ac:dyDescent="0.35">
      <c r="B358" s="262">
        <v>45785</v>
      </c>
      <c r="C358" s="261">
        <v>3369.3</v>
      </c>
      <c r="D358">
        <v>9.1047949923627816E-3</v>
      </c>
    </row>
    <row r="359" spans="2:4" x14ac:dyDescent="0.35">
      <c r="B359" s="262">
        <v>45784</v>
      </c>
      <c r="C359" s="261">
        <v>3338.9</v>
      </c>
      <c r="D359">
        <v>1.2002545994604888E-2</v>
      </c>
    </row>
    <row r="360" spans="2:4" x14ac:dyDescent="0.35">
      <c r="B360" s="262">
        <v>45783</v>
      </c>
      <c r="C360" s="261">
        <v>3299.3</v>
      </c>
      <c r="D360">
        <v>-6.7734360888674809E-3</v>
      </c>
    </row>
    <row r="361" spans="2:4" x14ac:dyDescent="0.35">
      <c r="B361" s="262">
        <v>45782</v>
      </c>
      <c r="C361" s="261">
        <v>3321.8</v>
      </c>
      <c r="D361">
        <v>-5.7467824004788443E-3</v>
      </c>
    </row>
    <row r="362" spans="2:4" x14ac:dyDescent="0.35">
      <c r="B362" s="262">
        <v>45779</v>
      </c>
      <c r="C362" s="261">
        <v>3341</v>
      </c>
      <c r="D362">
        <v>-1.1450720478148895E-2</v>
      </c>
    </row>
    <row r="363" spans="2:4" x14ac:dyDescent="0.35">
      <c r="B363" s="262">
        <v>45777</v>
      </c>
      <c r="C363" s="261">
        <v>3379.7</v>
      </c>
      <c r="D363">
        <v>3.2557864204105517E-4</v>
      </c>
    </row>
    <row r="364" spans="2:4" x14ac:dyDescent="0.35">
      <c r="B364" s="262">
        <v>45776</v>
      </c>
      <c r="C364" s="261">
        <v>3378.6</v>
      </c>
      <c r="D364">
        <v>2.8197441453207089E-3</v>
      </c>
    </row>
    <row r="365" spans="2:4" x14ac:dyDescent="0.35">
      <c r="B365" s="262">
        <v>45775</v>
      </c>
      <c r="C365" s="261">
        <v>3369.1</v>
      </c>
      <c r="D365">
        <v>1.1589207179365539E-3</v>
      </c>
    </row>
    <row r="366" spans="2:4" x14ac:dyDescent="0.35">
      <c r="B366" s="262">
        <v>45772</v>
      </c>
      <c r="C366" s="261">
        <v>3365.2</v>
      </c>
      <c r="D366">
        <v>-5.1439720924732722E-3</v>
      </c>
    </row>
    <row r="367" spans="2:4" x14ac:dyDescent="0.35">
      <c r="B367" s="262">
        <v>45771</v>
      </c>
      <c r="C367" s="261">
        <v>3382.6</v>
      </c>
      <c r="D367">
        <v>7.5358174723735519E-3</v>
      </c>
    </row>
    <row r="368" spans="2:4" x14ac:dyDescent="0.35">
      <c r="B368" s="262">
        <v>45770</v>
      </c>
      <c r="C368" s="261">
        <v>3357.3</v>
      </c>
      <c r="D368">
        <v>5.962725474920624E-3</v>
      </c>
    </row>
    <row r="369" spans="2:4" x14ac:dyDescent="0.35">
      <c r="B369" s="262">
        <v>45769</v>
      </c>
      <c r="C369" s="261">
        <v>3337.4</v>
      </c>
      <c r="D369">
        <v>3.8967656844824257E-4</v>
      </c>
    </row>
    <row r="370" spans="2:4" x14ac:dyDescent="0.35">
      <c r="B370" s="262">
        <v>45768</v>
      </c>
      <c r="C370" s="261">
        <v>3336.1</v>
      </c>
      <c r="D370">
        <v>2.5845229151014002E-3</v>
      </c>
    </row>
    <row r="371" spans="2:4" x14ac:dyDescent="0.35">
      <c r="B371" s="262">
        <v>45764</v>
      </c>
      <c r="C371" s="261">
        <v>3327.5</v>
      </c>
      <c r="D371">
        <v>1.6931022890498484E-2</v>
      </c>
    </row>
    <row r="372" spans="2:4" x14ac:dyDescent="0.35">
      <c r="B372" s="262">
        <v>45763</v>
      </c>
      <c r="C372" s="261">
        <v>3272.1</v>
      </c>
      <c r="D372">
        <v>-3.9714058776812544E-4</v>
      </c>
    </row>
    <row r="373" spans="2:4" x14ac:dyDescent="0.35">
      <c r="B373" s="262">
        <v>45762</v>
      </c>
      <c r="C373" s="261">
        <v>3273.4</v>
      </c>
      <c r="D373">
        <v>1.1901449812977217E-2</v>
      </c>
    </row>
    <row r="374" spans="2:4" x14ac:dyDescent="0.35">
      <c r="B374" s="262">
        <v>45758</v>
      </c>
      <c r="C374" s="261">
        <v>3234.9</v>
      </c>
      <c r="D374">
        <v>1.9138982089693304E-2</v>
      </c>
    </row>
    <row r="375" spans="2:4" x14ac:dyDescent="0.35">
      <c r="B375" s="262">
        <v>45756</v>
      </c>
      <c r="C375" s="261">
        <v>3174.15</v>
      </c>
      <c r="D375">
        <v>1.6606347884572239E-2</v>
      </c>
    </row>
    <row r="376" spans="2:4" x14ac:dyDescent="0.35">
      <c r="B376" s="262">
        <v>45755</v>
      </c>
      <c r="C376" s="261">
        <v>3122.3</v>
      </c>
      <c r="D376">
        <v>3.3121567070346226E-2</v>
      </c>
    </row>
    <row r="377" spans="2:4" x14ac:dyDescent="0.35">
      <c r="B377" s="262">
        <v>45754</v>
      </c>
      <c r="C377" s="261">
        <v>3022.2</v>
      </c>
      <c r="D377">
        <v>-1.7554125219426567E-2</v>
      </c>
    </row>
    <row r="378" spans="2:4" x14ac:dyDescent="0.35">
      <c r="B378" s="262">
        <v>45751</v>
      </c>
      <c r="C378" s="261">
        <v>3076.2</v>
      </c>
      <c r="D378">
        <v>-1.641860242042505E-2</v>
      </c>
    </row>
    <row r="379" spans="2:4" x14ac:dyDescent="0.35">
      <c r="B379" s="262">
        <v>45750</v>
      </c>
      <c r="C379" s="261">
        <v>3127.55</v>
      </c>
      <c r="D379">
        <v>9.3917926705289305E-3</v>
      </c>
    </row>
    <row r="380" spans="2:4" x14ac:dyDescent="0.35">
      <c r="B380" s="262">
        <v>45749</v>
      </c>
      <c r="C380" s="261">
        <v>3098.45</v>
      </c>
      <c r="D380">
        <v>3.7329048025577932E-2</v>
      </c>
    </row>
    <row r="381" spans="2:4" x14ac:dyDescent="0.35">
      <c r="B381" s="262">
        <v>45748</v>
      </c>
      <c r="C381" s="261">
        <v>2986.95</v>
      </c>
      <c r="D381">
        <v>-2.4940016648440463E-2</v>
      </c>
    </row>
    <row r="382" spans="2:4" x14ac:dyDescent="0.35">
      <c r="B382" s="262">
        <v>45744</v>
      </c>
      <c r="C382" s="261">
        <v>3063.35</v>
      </c>
      <c r="D382">
        <v>-7.8700629928910928E-3</v>
      </c>
    </row>
    <row r="383" spans="2:4" x14ac:dyDescent="0.35">
      <c r="B383" s="262">
        <v>45743</v>
      </c>
      <c r="C383" s="261">
        <v>3087.65</v>
      </c>
      <c r="D383">
        <v>9.8609975470155646E-3</v>
      </c>
    </row>
    <row r="384" spans="2:4" x14ac:dyDescent="0.35">
      <c r="B384" s="262">
        <v>45742</v>
      </c>
      <c r="C384" s="261">
        <v>3057.5</v>
      </c>
      <c r="D384">
        <v>1.2443920489898098E-3</v>
      </c>
    </row>
    <row r="385" spans="2:4" x14ac:dyDescent="0.35">
      <c r="B385" s="262">
        <v>45741</v>
      </c>
      <c r="C385" s="261">
        <v>3053.7</v>
      </c>
      <c r="D385">
        <v>-8.2491637166704854E-3</v>
      </c>
    </row>
    <row r="386" spans="2:4" x14ac:dyDescent="0.35">
      <c r="B386" s="262">
        <v>45740</v>
      </c>
      <c r="C386" s="261">
        <v>3079.1</v>
      </c>
      <c r="D386">
        <v>-2.6433110949505144E-2</v>
      </c>
    </row>
    <row r="387" spans="2:4" x14ac:dyDescent="0.35">
      <c r="B387" s="262">
        <v>45737</v>
      </c>
      <c r="C387" s="261">
        <v>3162.7</v>
      </c>
      <c r="D387">
        <v>-9.5205286398797693E-3</v>
      </c>
    </row>
    <row r="388" spans="2:4" x14ac:dyDescent="0.35">
      <c r="B388" s="262">
        <v>45736</v>
      </c>
      <c r="C388" s="261">
        <v>3193.1</v>
      </c>
      <c r="D388">
        <v>3.7967688456912431E-2</v>
      </c>
    </row>
    <row r="389" spans="2:4" x14ac:dyDescent="0.35">
      <c r="B389" s="262">
        <v>45735</v>
      </c>
      <c r="C389" s="261">
        <v>3076.3</v>
      </c>
      <c r="D389">
        <v>-1.7522795859427058E-3</v>
      </c>
    </row>
    <row r="390" spans="2:4" x14ac:dyDescent="0.35">
      <c r="B390" s="262">
        <v>45734</v>
      </c>
      <c r="C390" s="261">
        <v>3081.7</v>
      </c>
      <c r="D390">
        <v>2.1326660811639322E-2</v>
      </c>
    </row>
    <row r="391" spans="2:4" x14ac:dyDescent="0.35">
      <c r="B391" s="262">
        <v>45733</v>
      </c>
      <c r="C391" s="261">
        <v>3017.35</v>
      </c>
      <c r="D391">
        <v>2.3919073800308349E-3</v>
      </c>
    </row>
    <row r="392" spans="2:4" x14ac:dyDescent="0.35">
      <c r="B392" s="262">
        <v>45729</v>
      </c>
      <c r="C392" s="261">
        <v>3010.15</v>
      </c>
      <c r="D392">
        <v>-2.9149207505920031E-3</v>
      </c>
    </row>
    <row r="393" spans="2:4" x14ac:dyDescent="0.35">
      <c r="B393" s="262">
        <v>45728</v>
      </c>
      <c r="C393" s="261">
        <v>3018.95</v>
      </c>
      <c r="D393">
        <v>-9.0106355042017701E-3</v>
      </c>
    </row>
    <row r="394" spans="2:4" x14ac:dyDescent="0.35">
      <c r="B394" s="262">
        <v>45727</v>
      </c>
      <c r="C394" s="261">
        <v>3046.4</v>
      </c>
      <c r="D394">
        <v>6.4754856614245761E-3</v>
      </c>
    </row>
    <row r="395" spans="2:4" x14ac:dyDescent="0.35">
      <c r="B395" s="262">
        <v>45726</v>
      </c>
      <c r="C395" s="261">
        <v>3026.8</v>
      </c>
      <c r="D395">
        <v>-1.7065289752707463E-2</v>
      </c>
    </row>
    <row r="396" spans="2:4" x14ac:dyDescent="0.35">
      <c r="B396" s="262">
        <v>45723</v>
      </c>
      <c r="C396" s="261">
        <v>3079.35</v>
      </c>
      <c r="D396">
        <v>-1.337669411425459E-2</v>
      </c>
    </row>
    <row r="397" spans="2:4" x14ac:dyDescent="0.35">
      <c r="B397" s="262">
        <v>45722</v>
      </c>
      <c r="C397" s="261">
        <v>3121.1</v>
      </c>
      <c r="D397">
        <v>1.1193727624694149E-2</v>
      </c>
    </row>
    <row r="398" spans="2:4" x14ac:dyDescent="0.35">
      <c r="B398" s="262">
        <v>45721</v>
      </c>
      <c r="C398" s="261">
        <v>3086.55</v>
      </c>
      <c r="D398">
        <v>1.2481548302443884E-2</v>
      </c>
    </row>
    <row r="399" spans="2:4" x14ac:dyDescent="0.35">
      <c r="B399" s="262">
        <v>45720</v>
      </c>
      <c r="C399" s="261">
        <v>3048.5</v>
      </c>
      <c r="D399">
        <v>-1.0869565217391304E-2</v>
      </c>
    </row>
    <row r="400" spans="2:4" x14ac:dyDescent="0.35">
      <c r="B400" s="262">
        <v>45719</v>
      </c>
      <c r="C400" s="261">
        <v>3082</v>
      </c>
      <c r="D400">
        <v>1.5435859939881389E-3</v>
      </c>
    </row>
    <row r="401" spans="2:4" x14ac:dyDescent="0.35">
      <c r="B401" s="262">
        <v>45716</v>
      </c>
      <c r="C401" s="261">
        <v>3077.25</v>
      </c>
      <c r="D401">
        <v>-4.5251465979957155E-2</v>
      </c>
    </row>
    <row r="402" spans="2:4" x14ac:dyDescent="0.35">
      <c r="B402" s="262">
        <v>45715</v>
      </c>
      <c r="C402" s="261">
        <v>3223.1</v>
      </c>
      <c r="D402">
        <v>7.5965987245216098E-3</v>
      </c>
    </row>
    <row r="403" spans="2:4" x14ac:dyDescent="0.35">
      <c r="B403" s="262">
        <v>45713</v>
      </c>
      <c r="C403" s="261">
        <v>3198.8</v>
      </c>
      <c r="D403">
        <v>8.1311062086354188E-3</v>
      </c>
    </row>
    <row r="404" spans="2:4" x14ac:dyDescent="0.35">
      <c r="B404" s="262">
        <v>45712</v>
      </c>
      <c r="C404" s="261">
        <v>3173</v>
      </c>
      <c r="D404">
        <v>-2.1698795559609079E-3</v>
      </c>
    </row>
    <row r="405" spans="2:4" x14ac:dyDescent="0.35">
      <c r="B405" s="262">
        <v>45709</v>
      </c>
      <c r="C405" s="261">
        <v>3179.9</v>
      </c>
      <c r="D405">
        <v>-3.619044634883745E-3</v>
      </c>
    </row>
    <row r="406" spans="2:4" x14ac:dyDescent="0.35">
      <c r="B406" s="262">
        <v>45708</v>
      </c>
      <c r="C406" s="261">
        <v>3191.45</v>
      </c>
      <c r="D406">
        <v>-5.8717253839206188E-3</v>
      </c>
    </row>
    <row r="407" spans="2:4" x14ac:dyDescent="0.35">
      <c r="B407" s="262">
        <v>45707</v>
      </c>
      <c r="C407" s="261">
        <v>3210.3</v>
      </c>
      <c r="D407">
        <v>-3.5848968760183522E-3</v>
      </c>
    </row>
    <row r="408" spans="2:4" x14ac:dyDescent="0.35">
      <c r="B408" s="262">
        <v>45706</v>
      </c>
      <c r="C408" s="261">
        <v>3221.85</v>
      </c>
      <c r="D408">
        <v>-3.5104540393418007E-3</v>
      </c>
    </row>
    <row r="409" spans="2:4" x14ac:dyDescent="0.35">
      <c r="B409" s="262">
        <v>45705</v>
      </c>
      <c r="C409" s="261">
        <v>3233.2</v>
      </c>
      <c r="D409">
        <v>6.2086672372208256E-3</v>
      </c>
    </row>
    <row r="410" spans="2:4" x14ac:dyDescent="0.35">
      <c r="B410" s="262">
        <v>45702</v>
      </c>
      <c r="C410" s="261">
        <v>3213.25</v>
      </c>
      <c r="D410">
        <v>-5.6475321058332044E-3</v>
      </c>
    </row>
    <row r="411" spans="2:4" x14ac:dyDescent="0.35">
      <c r="B411" s="262">
        <v>45701</v>
      </c>
      <c r="C411" s="261">
        <v>3231.5</v>
      </c>
      <c r="D411">
        <v>-7.3568938242024361E-3</v>
      </c>
    </row>
    <row r="412" spans="2:4" x14ac:dyDescent="0.35">
      <c r="B412" s="262">
        <v>45700</v>
      </c>
      <c r="C412" s="261">
        <v>3255.45</v>
      </c>
      <c r="D412">
        <v>-8.0291303552929381E-3</v>
      </c>
    </row>
    <row r="413" spans="2:4" x14ac:dyDescent="0.35">
      <c r="B413" s="262">
        <v>45699</v>
      </c>
      <c r="C413" s="261">
        <v>3281.8</v>
      </c>
      <c r="D413">
        <v>-1.3719214413439613E-2</v>
      </c>
    </row>
    <row r="414" spans="2:4" x14ac:dyDescent="0.35">
      <c r="B414" s="262">
        <v>45698</v>
      </c>
      <c r="C414" s="261">
        <v>3327.45</v>
      </c>
      <c r="D414">
        <v>-2.8425017519271303E-2</v>
      </c>
    </row>
    <row r="415" spans="2:4" x14ac:dyDescent="0.35">
      <c r="B415" s="262">
        <v>45695</v>
      </c>
      <c r="C415" s="261">
        <v>3424.8</v>
      </c>
      <c r="D415">
        <v>4.1193285934179235E-3</v>
      </c>
    </row>
    <row r="416" spans="2:4" x14ac:dyDescent="0.35">
      <c r="B416" s="262">
        <v>45694</v>
      </c>
      <c r="C416" s="261">
        <v>3410.75</v>
      </c>
      <c r="D416">
        <v>-2.295969520753963E-2</v>
      </c>
    </row>
    <row r="417" spans="2:4" x14ac:dyDescent="0.35">
      <c r="B417" s="262">
        <v>45693</v>
      </c>
      <c r="C417" s="261">
        <v>3490.9</v>
      </c>
      <c r="D417">
        <v>-2.9685632487422446E-2</v>
      </c>
    </row>
    <row r="418" spans="2:4" x14ac:dyDescent="0.35">
      <c r="B418" s="262">
        <v>45692</v>
      </c>
      <c r="C418" s="261">
        <v>3597.7</v>
      </c>
      <c r="D418">
        <v>4.8599279389994234E-3</v>
      </c>
    </row>
    <row r="419" spans="2:4" x14ac:dyDescent="0.35">
      <c r="B419" s="262">
        <v>45691</v>
      </c>
      <c r="C419" s="261">
        <v>3580.3</v>
      </c>
      <c r="D419">
        <v>7.9673423423423928E-3</v>
      </c>
    </row>
    <row r="420" spans="2:4" x14ac:dyDescent="0.35">
      <c r="B420" s="262">
        <v>45689</v>
      </c>
      <c r="C420" s="261">
        <v>3552</v>
      </c>
      <c r="D420">
        <v>1.7692142396676457E-2</v>
      </c>
    </row>
    <row r="421" spans="2:4" x14ac:dyDescent="0.35">
      <c r="B421" s="262">
        <v>45688</v>
      </c>
      <c r="C421" s="261">
        <v>3490.25</v>
      </c>
      <c r="D421">
        <v>3.617444484028022E-2</v>
      </c>
    </row>
    <row r="422" spans="2:4" x14ac:dyDescent="0.35">
      <c r="B422" s="262">
        <v>45687</v>
      </c>
      <c r="C422" s="261">
        <v>3368.4</v>
      </c>
      <c r="D422">
        <v>-6.9717421938734971E-4</v>
      </c>
    </row>
    <row r="423" spans="2:4" x14ac:dyDescent="0.35">
      <c r="B423" s="262">
        <v>45686</v>
      </c>
      <c r="C423" s="261">
        <v>3370.75</v>
      </c>
      <c r="D423">
        <v>1.3485071709913079E-2</v>
      </c>
    </row>
    <row r="424" spans="2:4" x14ac:dyDescent="0.35">
      <c r="B424" s="262">
        <v>45685</v>
      </c>
      <c r="C424" s="261">
        <v>3325.9</v>
      </c>
      <c r="D424">
        <v>1.9732779007938851E-3</v>
      </c>
    </row>
    <row r="425" spans="2:4" x14ac:dyDescent="0.35">
      <c r="B425" s="262">
        <v>45684</v>
      </c>
      <c r="C425" s="261">
        <v>3319.35</v>
      </c>
      <c r="D425">
        <v>-2.4337551254353919E-2</v>
      </c>
    </row>
    <row r="426" spans="2:4" x14ac:dyDescent="0.35">
      <c r="B426" s="262">
        <v>45681</v>
      </c>
      <c r="C426" s="261">
        <v>3402.15</v>
      </c>
      <c r="D426">
        <v>1.0592752791631457E-3</v>
      </c>
    </row>
    <row r="427" spans="2:4" x14ac:dyDescent="0.35">
      <c r="B427" s="262">
        <v>45680</v>
      </c>
      <c r="C427" s="261">
        <v>3398.55</v>
      </c>
      <c r="D427">
        <v>1.2543014196547056E-2</v>
      </c>
    </row>
    <row r="428" spans="2:4" x14ac:dyDescent="0.35">
      <c r="B428" s="262">
        <v>45679</v>
      </c>
      <c r="C428" s="261">
        <v>3356.45</v>
      </c>
      <c r="D428">
        <v>9.2444868564268837E-4</v>
      </c>
    </row>
    <row r="429" spans="2:4" x14ac:dyDescent="0.35">
      <c r="B429" s="262">
        <v>45678</v>
      </c>
      <c r="C429" s="261">
        <v>3353.35</v>
      </c>
      <c r="D429">
        <v>-8.5446078793702685E-3</v>
      </c>
    </row>
    <row r="430" spans="2:4" x14ac:dyDescent="0.35">
      <c r="B430" s="262">
        <v>45677</v>
      </c>
      <c r="C430" s="261">
        <v>3382.25</v>
      </c>
      <c r="D430">
        <v>7.4015607315184098E-3</v>
      </c>
    </row>
    <row r="431" spans="2:4" x14ac:dyDescent="0.35">
      <c r="B431" s="262">
        <v>45674</v>
      </c>
      <c r="C431" s="261">
        <v>3357.4</v>
      </c>
      <c r="D431">
        <v>1.2210196267599263E-2</v>
      </c>
    </row>
    <row r="432" spans="2:4" x14ac:dyDescent="0.35">
      <c r="B432" s="262">
        <v>45673</v>
      </c>
      <c r="C432" s="261">
        <v>3316.9</v>
      </c>
      <c r="D432">
        <v>-1.9858582819316712E-3</v>
      </c>
    </row>
    <row r="433" spans="2:4" x14ac:dyDescent="0.35">
      <c r="B433" s="262">
        <v>45672</v>
      </c>
      <c r="C433" s="261">
        <v>3323.5</v>
      </c>
      <c r="D433">
        <v>3.0097817908201655E-4</v>
      </c>
    </row>
    <row r="434" spans="2:4" x14ac:dyDescent="0.35">
      <c r="B434" s="262">
        <v>45671</v>
      </c>
      <c r="C434" s="261">
        <v>3322.5</v>
      </c>
      <c r="D434">
        <v>-1.7810952627300272E-2</v>
      </c>
    </row>
    <row r="435" spans="2:4" x14ac:dyDescent="0.35">
      <c r="B435" s="262">
        <v>45670</v>
      </c>
      <c r="C435" s="261">
        <v>3382.75</v>
      </c>
      <c r="D435">
        <v>-1.6713901605987937E-2</v>
      </c>
    </row>
    <row r="436" spans="2:4" x14ac:dyDescent="0.35">
      <c r="B436" s="262">
        <v>45667</v>
      </c>
      <c r="C436" s="261">
        <v>3440.25</v>
      </c>
      <c r="D436">
        <v>-1.342108659181835E-2</v>
      </c>
    </row>
    <row r="437" spans="2:4" x14ac:dyDescent="0.35">
      <c r="B437" s="262">
        <v>45666</v>
      </c>
      <c r="C437" s="261">
        <v>3487.05</v>
      </c>
      <c r="D437">
        <v>8.6106686184182193E-4</v>
      </c>
    </row>
    <row r="438" spans="2:4" x14ac:dyDescent="0.35">
      <c r="B438" s="262">
        <v>45665</v>
      </c>
      <c r="C438" s="261">
        <v>3484.05</v>
      </c>
      <c r="D438">
        <v>-6.0055347921599174E-3</v>
      </c>
    </row>
    <row r="439" spans="2:4" x14ac:dyDescent="0.35">
      <c r="B439" s="262">
        <v>45664</v>
      </c>
      <c r="C439" s="261">
        <v>3505.1</v>
      </c>
      <c r="D439">
        <v>9.9988473951129024E-3</v>
      </c>
    </row>
    <row r="440" spans="2:4" x14ac:dyDescent="0.35">
      <c r="B440" s="262">
        <v>45663</v>
      </c>
      <c r="C440" s="261">
        <v>3470.4</v>
      </c>
      <c r="D440">
        <v>5.4321846073616962E-3</v>
      </c>
    </row>
    <row r="441" spans="2:4" x14ac:dyDescent="0.35">
      <c r="B441" s="262">
        <v>45660</v>
      </c>
      <c r="C441" s="261">
        <v>3451.65</v>
      </c>
      <c r="D441">
        <v>1.8501305714159335E-2</v>
      </c>
    </row>
    <row r="442" spans="2:4" x14ac:dyDescent="0.35">
      <c r="B442" s="262">
        <v>45659</v>
      </c>
      <c r="C442" s="261">
        <v>3388.95</v>
      </c>
      <c r="D442">
        <v>4.1520045484579778E-2</v>
      </c>
    </row>
    <row r="443" spans="2:4" x14ac:dyDescent="0.35">
      <c r="B443" s="262">
        <v>45658</v>
      </c>
      <c r="C443" s="261">
        <v>3253.85</v>
      </c>
      <c r="D443">
        <v>2.1517606012628316E-4</v>
      </c>
    </row>
    <row r="444" spans="2:4" x14ac:dyDescent="0.35">
      <c r="B444" s="262">
        <v>45657</v>
      </c>
      <c r="C444" s="261">
        <v>3253.15</v>
      </c>
      <c r="D444">
        <v>-1.2893916834235861E-3</v>
      </c>
    </row>
    <row r="445" spans="2:4" x14ac:dyDescent="0.35">
      <c r="B445" s="262">
        <v>45656</v>
      </c>
      <c r="C445" s="261">
        <v>3257.35</v>
      </c>
      <c r="D445">
        <v>-1.5668439501994414E-2</v>
      </c>
    </row>
    <row r="446" spans="2:4" x14ac:dyDescent="0.35">
      <c r="B446" s="262">
        <v>45653</v>
      </c>
      <c r="C446" s="261">
        <v>3309.2</v>
      </c>
      <c r="D446">
        <v>-4.1678578414409539E-3</v>
      </c>
    </row>
    <row r="447" spans="2:4" x14ac:dyDescent="0.35">
      <c r="B447" s="262">
        <v>45652</v>
      </c>
      <c r="C447" s="261">
        <v>3323.05</v>
      </c>
      <c r="D447">
        <v>-9.0505158943161891E-3</v>
      </c>
    </row>
    <row r="448" spans="2:4" x14ac:dyDescent="0.35">
      <c r="B448" s="262">
        <v>45650</v>
      </c>
      <c r="C448" s="261">
        <v>3353.4</v>
      </c>
      <c r="D448">
        <v>-1.2820324114278907E-2</v>
      </c>
    </row>
    <row r="449" spans="2:4" x14ac:dyDescent="0.35">
      <c r="B449" s="262">
        <v>45649</v>
      </c>
      <c r="C449" s="261">
        <v>3396.95</v>
      </c>
      <c r="D449">
        <v>1.2126629422718754E-2</v>
      </c>
    </row>
    <row r="450" spans="2:4" x14ac:dyDescent="0.35">
      <c r="B450" s="262">
        <v>45646</v>
      </c>
      <c r="C450" s="261">
        <v>3356.25</v>
      </c>
      <c r="D450">
        <v>-1.7873899638050825E-4</v>
      </c>
    </row>
    <row r="451" spans="2:4" x14ac:dyDescent="0.35">
      <c r="B451" s="262">
        <v>45645</v>
      </c>
      <c r="C451" s="261">
        <v>3356.85</v>
      </c>
      <c r="D451">
        <v>-1.3242599723683877E-2</v>
      </c>
    </row>
    <row r="452" spans="2:4" x14ac:dyDescent="0.35">
      <c r="B452" s="262">
        <v>45644</v>
      </c>
      <c r="C452" s="261">
        <v>3401.9</v>
      </c>
      <c r="D452">
        <v>-1.2330818237866821E-3</v>
      </c>
    </row>
    <row r="453" spans="2:4" x14ac:dyDescent="0.35">
      <c r="B453" s="262">
        <v>45643</v>
      </c>
      <c r="C453" s="261">
        <v>3406.1</v>
      </c>
      <c r="D453">
        <v>-9.3362806119480866E-3</v>
      </c>
    </row>
    <row r="454" spans="2:4" x14ac:dyDescent="0.35">
      <c r="B454" s="262">
        <v>45642</v>
      </c>
      <c r="C454" s="261">
        <v>3438.2</v>
      </c>
      <c r="D454">
        <v>-2.0134802000655511E-2</v>
      </c>
    </row>
    <row r="455" spans="2:4" x14ac:dyDescent="0.35">
      <c r="B455" s="262">
        <v>45639</v>
      </c>
      <c r="C455" s="261">
        <v>3508.85</v>
      </c>
      <c r="D455">
        <v>1.8312413843140075E-2</v>
      </c>
    </row>
    <row r="456" spans="2:4" x14ac:dyDescent="0.35">
      <c r="B456" s="262">
        <v>45638</v>
      </c>
      <c r="C456" s="261">
        <v>3445.75</v>
      </c>
      <c r="D456">
        <v>-7.8748092482220228E-3</v>
      </c>
    </row>
    <row r="457" spans="2:4" x14ac:dyDescent="0.35">
      <c r="B457" s="262">
        <v>45637</v>
      </c>
      <c r="C457" s="261">
        <v>3473.1</v>
      </c>
      <c r="D457">
        <v>-7.6242537581819488E-4</v>
      </c>
    </row>
    <row r="458" spans="2:4" x14ac:dyDescent="0.35">
      <c r="B458" s="262">
        <v>45636</v>
      </c>
      <c r="C458" s="261">
        <v>3475.75</v>
      </c>
      <c r="D458">
        <v>2.1769217461507936E-3</v>
      </c>
    </row>
    <row r="459" spans="2:4" x14ac:dyDescent="0.35">
      <c r="B459" s="262">
        <v>45635</v>
      </c>
      <c r="C459" s="261">
        <v>3468.2</v>
      </c>
      <c r="D459">
        <v>-5.4753465318004989E-4</v>
      </c>
    </row>
    <row r="460" spans="2:4" x14ac:dyDescent="0.35">
      <c r="B460" s="262">
        <v>45632</v>
      </c>
      <c r="C460" s="261">
        <v>3470.1</v>
      </c>
      <c r="D460">
        <v>8.4421906104240642E-3</v>
      </c>
    </row>
    <row r="461" spans="2:4" x14ac:dyDescent="0.35">
      <c r="B461" s="262">
        <v>45631</v>
      </c>
      <c r="C461" s="261">
        <v>3441.05</v>
      </c>
      <c r="D461">
        <v>2.2767465707619481E-2</v>
      </c>
    </row>
    <row r="462" spans="2:4" x14ac:dyDescent="0.35">
      <c r="B462" s="262">
        <v>45630</v>
      </c>
      <c r="C462" s="261">
        <v>3364.45</v>
      </c>
      <c r="D462">
        <v>9.5116645412946718E-3</v>
      </c>
    </row>
    <row r="463" spans="2:4" x14ac:dyDescent="0.35">
      <c r="B463" s="262">
        <v>45629</v>
      </c>
      <c r="C463" s="261">
        <v>3332.75</v>
      </c>
      <c r="D463">
        <v>7.8322270438635228E-3</v>
      </c>
    </row>
    <row r="464" spans="2:4" x14ac:dyDescent="0.35">
      <c r="B464" s="262">
        <v>45628</v>
      </c>
      <c r="C464" s="261">
        <v>3306.85</v>
      </c>
      <c r="D464">
        <v>1.7805478608802681E-2</v>
      </c>
    </row>
    <row r="465" spans="2:4" x14ac:dyDescent="0.35">
      <c r="B465" s="262">
        <v>45625</v>
      </c>
      <c r="C465" s="261">
        <v>3249</v>
      </c>
      <c r="D465">
        <v>1.1409093031581269E-2</v>
      </c>
    </row>
    <row r="466" spans="2:4" x14ac:dyDescent="0.35">
      <c r="B466" s="262">
        <v>45624</v>
      </c>
      <c r="C466" s="261">
        <v>3212.35</v>
      </c>
      <c r="D466">
        <v>-2.4091261221575861E-2</v>
      </c>
    </row>
    <row r="467" spans="2:4" x14ac:dyDescent="0.35">
      <c r="B467" s="262">
        <v>45623</v>
      </c>
      <c r="C467" s="261">
        <v>3291.65</v>
      </c>
      <c r="D467">
        <v>-1.0773854244928598E-2</v>
      </c>
    </row>
    <row r="468" spans="2:4" x14ac:dyDescent="0.35">
      <c r="B468" s="262">
        <v>45622</v>
      </c>
      <c r="C468" s="261">
        <v>3327.5</v>
      </c>
      <c r="D468">
        <v>5.5604242845486967E-3</v>
      </c>
    </row>
    <row r="469" spans="2:4" x14ac:dyDescent="0.35">
      <c r="B469" s="262">
        <v>45621</v>
      </c>
      <c r="C469" s="261">
        <v>3309.1</v>
      </c>
      <c r="D469">
        <v>1.208934022426001E-4</v>
      </c>
    </row>
    <row r="470" spans="2:4" x14ac:dyDescent="0.35">
      <c r="B470" s="262">
        <v>45618</v>
      </c>
      <c r="C470" s="261">
        <v>3308.7</v>
      </c>
      <c r="D470">
        <v>4.0979093583350376E-2</v>
      </c>
    </row>
    <row r="471" spans="2:4" x14ac:dyDescent="0.35">
      <c r="B471" s="262">
        <v>45617</v>
      </c>
      <c r="C471" s="261">
        <v>3178.45</v>
      </c>
      <c r="D471">
        <v>-1.4342419449871307E-2</v>
      </c>
    </row>
    <row r="472" spans="2:4" x14ac:dyDescent="0.35">
      <c r="B472" s="262">
        <v>45615</v>
      </c>
      <c r="C472" s="261">
        <v>3224.7</v>
      </c>
      <c r="D472">
        <v>1.6517983797244784E-2</v>
      </c>
    </row>
    <row r="473" spans="2:4" x14ac:dyDescent="0.35">
      <c r="B473" s="262">
        <v>45614</v>
      </c>
      <c r="C473" s="261">
        <v>3172.3</v>
      </c>
      <c r="D473">
        <v>-3.5807393912741896E-3</v>
      </c>
    </row>
    <row r="474" spans="2:4" x14ac:dyDescent="0.35">
      <c r="B474" s="262">
        <v>45610</v>
      </c>
      <c r="C474" s="261">
        <v>3183.7</v>
      </c>
      <c r="D474">
        <v>-1.3018178396097969E-3</v>
      </c>
    </row>
    <row r="475" spans="2:4" x14ac:dyDescent="0.35">
      <c r="B475" s="262">
        <v>45609</v>
      </c>
      <c r="C475" s="261">
        <v>3187.85</v>
      </c>
      <c r="D475">
        <v>-3.314105269740002E-3</v>
      </c>
    </row>
    <row r="476" spans="2:4" x14ac:dyDescent="0.35">
      <c r="B476" s="262">
        <v>45608</v>
      </c>
      <c r="C476" s="261">
        <v>3198.45</v>
      </c>
      <c r="D476">
        <v>-2.5416328821805311E-3</v>
      </c>
    </row>
    <row r="477" spans="2:4" x14ac:dyDescent="0.35">
      <c r="B477" s="262">
        <v>45607</v>
      </c>
      <c r="C477" s="261">
        <v>3206.6</v>
      </c>
      <c r="D477">
        <v>6.3868183601412032E-3</v>
      </c>
    </row>
    <row r="478" spans="2:4" x14ac:dyDescent="0.35">
      <c r="B478" s="262">
        <v>45604</v>
      </c>
      <c r="C478" s="261">
        <v>3186.25</v>
      </c>
      <c r="D478">
        <v>2.0955829341365362E-2</v>
      </c>
    </row>
    <row r="479" spans="2:4" x14ac:dyDescent="0.35">
      <c r="B479" s="262">
        <v>45603</v>
      </c>
      <c r="C479" s="261">
        <v>3120.85</v>
      </c>
      <c r="D479">
        <v>-1.7689365921216307E-2</v>
      </c>
    </row>
    <row r="480" spans="2:4" x14ac:dyDescent="0.35">
      <c r="B480" s="262">
        <v>45602</v>
      </c>
      <c r="C480" s="261">
        <v>3177.05</v>
      </c>
      <c r="D480">
        <v>-1.6469313520625282E-2</v>
      </c>
    </row>
    <row r="481" spans="2:4" x14ac:dyDescent="0.35">
      <c r="B481" s="262">
        <v>45601</v>
      </c>
      <c r="C481" s="261">
        <v>3230.25</v>
      </c>
      <c r="D481">
        <v>2.5605214152700185E-3</v>
      </c>
    </row>
    <row r="482" spans="2:4" x14ac:dyDescent="0.35">
      <c r="B482" s="262">
        <v>45600</v>
      </c>
      <c r="C482" s="261">
        <v>3222</v>
      </c>
      <c r="D482">
        <v>-2.1768831405410274E-2</v>
      </c>
    </row>
    <row r="483" spans="2:4" x14ac:dyDescent="0.35">
      <c r="B483" s="262">
        <v>45597</v>
      </c>
      <c r="C483" s="261">
        <v>3293.7</v>
      </c>
      <c r="D483">
        <v>8.157206042148004E-3</v>
      </c>
    </row>
    <row r="484" spans="2:4" x14ac:dyDescent="0.35">
      <c r="B484" s="262">
        <v>45596</v>
      </c>
      <c r="C484" s="261">
        <v>3267.05</v>
      </c>
      <c r="D484">
        <v>-1.2513412625247362E-2</v>
      </c>
    </row>
    <row r="485" spans="2:4" x14ac:dyDescent="0.35">
      <c r="B485" s="262">
        <v>45595</v>
      </c>
      <c r="C485" s="261">
        <v>3308.45</v>
      </c>
      <c r="D485">
        <v>7.6292867149904756E-3</v>
      </c>
    </row>
    <row r="486" spans="2:4" x14ac:dyDescent="0.35">
      <c r="B486" s="262">
        <v>45594</v>
      </c>
      <c r="C486" s="261">
        <v>3283.4</v>
      </c>
      <c r="D486">
        <v>1.0660818446259089E-4</v>
      </c>
    </row>
    <row r="487" spans="2:4" x14ac:dyDescent="0.35">
      <c r="B487" s="262">
        <v>45593</v>
      </c>
      <c r="C487" s="261">
        <v>3283.05</v>
      </c>
      <c r="D487">
        <v>5.0512008081921292E-3</v>
      </c>
    </row>
    <row r="488" spans="2:4" x14ac:dyDescent="0.35">
      <c r="B488" s="262">
        <v>45590</v>
      </c>
      <c r="C488" s="261">
        <v>3266.55</v>
      </c>
      <c r="D488">
        <v>-1.9319102945149932E-2</v>
      </c>
    </row>
    <row r="489" spans="2:4" x14ac:dyDescent="0.35">
      <c r="B489" s="262">
        <v>45589</v>
      </c>
      <c r="C489" s="261">
        <v>3330.9</v>
      </c>
      <c r="D489">
        <v>1.2862616310892229E-2</v>
      </c>
    </row>
    <row r="490" spans="2:4" x14ac:dyDescent="0.35">
      <c r="B490" s="262">
        <v>45588</v>
      </c>
      <c r="C490" s="261">
        <v>3288.6</v>
      </c>
      <c r="D490">
        <v>-1.237311550243266E-2</v>
      </c>
    </row>
    <row r="491" spans="2:4" x14ac:dyDescent="0.35">
      <c r="B491" s="262">
        <v>45587</v>
      </c>
      <c r="C491" s="261">
        <v>3329.8</v>
      </c>
      <c r="D491">
        <v>-9.9457370103322139E-3</v>
      </c>
    </row>
    <row r="492" spans="2:4" x14ac:dyDescent="0.35">
      <c r="B492" s="262">
        <v>45586</v>
      </c>
      <c r="C492" s="261">
        <v>3363.25</v>
      </c>
      <c r="D492">
        <v>-5.3823064070146883E-3</v>
      </c>
    </row>
    <row r="493" spans="2:4" x14ac:dyDescent="0.35">
      <c r="B493" s="262">
        <v>45583</v>
      </c>
      <c r="C493" s="261">
        <v>3381.45</v>
      </c>
      <c r="D493">
        <v>-6.4348362642690556E-3</v>
      </c>
    </row>
    <row r="494" spans="2:4" x14ac:dyDescent="0.35">
      <c r="B494" s="262">
        <v>45582</v>
      </c>
      <c r="C494" s="261">
        <v>3403.35</v>
      </c>
      <c r="D494">
        <v>-1.9490060501296484E-2</v>
      </c>
    </row>
    <row r="495" spans="2:4" x14ac:dyDescent="0.35">
      <c r="B495" s="262">
        <v>45581</v>
      </c>
      <c r="C495" s="261">
        <v>3471</v>
      </c>
      <c r="D495">
        <v>-1.0688328345446772E-2</v>
      </c>
    </row>
    <row r="496" spans="2:4" x14ac:dyDescent="0.35">
      <c r="B496" s="262">
        <v>45580</v>
      </c>
      <c r="C496" s="261">
        <v>3508.5</v>
      </c>
      <c r="D496">
        <v>3.0590656984389665E-3</v>
      </c>
    </row>
    <row r="497" spans="2:4" x14ac:dyDescent="0.35">
      <c r="B497" s="262">
        <v>45579</v>
      </c>
      <c r="C497" s="261">
        <v>3497.8</v>
      </c>
      <c r="D497">
        <v>6.7349758231637375E-3</v>
      </c>
    </row>
    <row r="498" spans="2:4" x14ac:dyDescent="0.35">
      <c r="B498" s="262">
        <v>45576</v>
      </c>
      <c r="C498" s="261">
        <v>3474.4</v>
      </c>
      <c r="D498">
        <v>7.8758430633113618E-3</v>
      </c>
    </row>
    <row r="499" spans="2:4" x14ac:dyDescent="0.35">
      <c r="B499" s="262">
        <v>45575</v>
      </c>
      <c r="C499" s="261">
        <v>3447.25</v>
      </c>
      <c r="D499">
        <v>-1.3224749173453126E-2</v>
      </c>
    </row>
    <row r="500" spans="2:4" x14ac:dyDescent="0.35">
      <c r="B500" s="262">
        <v>45574</v>
      </c>
      <c r="C500" s="261">
        <v>3493.45</v>
      </c>
      <c r="D500">
        <v>2.8625817624889876E-5</v>
      </c>
    </row>
    <row r="501" spans="2:4" x14ac:dyDescent="0.35">
      <c r="B501" s="262">
        <v>45573</v>
      </c>
      <c r="C501" s="261">
        <v>3493.35</v>
      </c>
      <c r="D501">
        <v>-2.6718673817649953E-2</v>
      </c>
    </row>
    <row r="502" spans="2:4" x14ac:dyDescent="0.35">
      <c r="B502" s="262">
        <v>45572</v>
      </c>
      <c r="C502" s="261">
        <v>3589.25</v>
      </c>
      <c r="D502">
        <v>-2.2029372496662192E-2</v>
      </c>
    </row>
    <row r="503" spans="2:4" x14ac:dyDescent="0.35">
      <c r="B503" s="262">
        <v>45569</v>
      </c>
      <c r="C503" s="261">
        <v>3670.1</v>
      </c>
      <c r="D503">
        <v>-1.3197458468822457E-3</v>
      </c>
    </row>
    <row r="504" spans="2:4" x14ac:dyDescent="0.35">
      <c r="B504" s="262">
        <v>45568</v>
      </c>
      <c r="C504" s="261">
        <v>3674.95</v>
      </c>
      <c r="D504">
        <v>-2.6748235543373192E-2</v>
      </c>
    </row>
    <row r="505" spans="2:4" x14ac:dyDescent="0.35">
      <c r="B505" s="262">
        <v>45566</v>
      </c>
      <c r="C505" s="261">
        <v>3775.95</v>
      </c>
      <c r="D505">
        <v>-1.2552465382654062E-2</v>
      </c>
    </row>
    <row r="506" spans="2:4" x14ac:dyDescent="0.35">
      <c r="B506" s="262">
        <v>45565</v>
      </c>
      <c r="C506" s="261">
        <v>3823.95</v>
      </c>
      <c r="D506">
        <v>1.8995467288495298E-3</v>
      </c>
    </row>
    <row r="507" spans="2:4" x14ac:dyDescent="0.35">
      <c r="B507" s="262">
        <v>45562</v>
      </c>
      <c r="C507" s="261">
        <v>3816.7</v>
      </c>
      <c r="D507">
        <v>1.5741640164468773E-2</v>
      </c>
    </row>
    <row r="508" spans="2:4" x14ac:dyDescent="0.35">
      <c r="B508" s="262">
        <v>45561</v>
      </c>
      <c r="C508" s="261">
        <v>3757.55</v>
      </c>
      <c r="D508">
        <v>5.4318014582915731E-3</v>
      </c>
    </row>
    <row r="509" spans="2:4" x14ac:dyDescent="0.35">
      <c r="B509" s="262">
        <v>45560</v>
      </c>
      <c r="C509" s="261">
        <v>3737.25</v>
      </c>
      <c r="D509">
        <v>-1.2589500383101294E-2</v>
      </c>
    </row>
    <row r="510" spans="2:4" x14ac:dyDescent="0.35">
      <c r="B510" s="262">
        <v>45559</v>
      </c>
      <c r="C510" s="261">
        <v>3784.9</v>
      </c>
      <c r="D510">
        <v>-9.2144184707206138E-3</v>
      </c>
    </row>
    <row r="511" spans="2:4" x14ac:dyDescent="0.35">
      <c r="B511" s="262">
        <v>45558</v>
      </c>
      <c r="C511" s="261">
        <v>3820.1</v>
      </c>
      <c r="D511">
        <v>6.0307595070051862E-3</v>
      </c>
    </row>
    <row r="512" spans="2:4" x14ac:dyDescent="0.35">
      <c r="B512" s="262">
        <v>45555</v>
      </c>
      <c r="C512" s="261">
        <v>3797.2</v>
      </c>
      <c r="D512">
        <v>4.297861648527487E-3</v>
      </c>
    </row>
    <row r="513" spans="2:4" x14ac:dyDescent="0.35">
      <c r="B513" s="262">
        <v>45554</v>
      </c>
      <c r="C513" s="261">
        <v>3780.95</v>
      </c>
      <c r="D513">
        <v>1.4924772169057916E-2</v>
      </c>
    </row>
    <row r="514" spans="2:4" x14ac:dyDescent="0.35">
      <c r="B514" s="262">
        <v>45553</v>
      </c>
      <c r="C514" s="261">
        <v>3725.35</v>
      </c>
      <c r="D514">
        <v>-1.1161543770239471E-2</v>
      </c>
    </row>
    <row r="515" spans="2:4" x14ac:dyDescent="0.35">
      <c r="B515" s="262">
        <v>45552</v>
      </c>
      <c r="C515" s="261">
        <v>3767.4</v>
      </c>
      <c r="D515">
        <v>7.1511635678291208E-3</v>
      </c>
    </row>
    <row r="516" spans="2:4" x14ac:dyDescent="0.35">
      <c r="B516" s="262">
        <v>45551</v>
      </c>
      <c r="C516" s="261">
        <v>3740.65</v>
      </c>
      <c r="D516">
        <v>-6.9949561985664741E-3</v>
      </c>
    </row>
    <row r="517" spans="2:4" x14ac:dyDescent="0.35">
      <c r="B517" s="262">
        <v>45548</v>
      </c>
      <c r="C517" s="261">
        <v>3767</v>
      </c>
      <c r="D517">
        <v>7.3055721591286447E-4</v>
      </c>
    </row>
    <row r="518" spans="2:4" x14ac:dyDescent="0.35">
      <c r="B518" s="262">
        <v>45547</v>
      </c>
      <c r="C518" s="261">
        <v>3764.25</v>
      </c>
      <c r="D518">
        <v>1.4321899167362801E-2</v>
      </c>
    </row>
    <row r="519" spans="2:4" x14ac:dyDescent="0.35">
      <c r="B519" s="262">
        <v>45546</v>
      </c>
      <c r="C519" s="261">
        <v>3711.1</v>
      </c>
      <c r="D519">
        <v>-4.3730214090251067E-3</v>
      </c>
    </row>
    <row r="520" spans="2:4" x14ac:dyDescent="0.35">
      <c r="B520" s="262">
        <v>45545</v>
      </c>
      <c r="C520" s="261">
        <v>3727.4</v>
      </c>
      <c r="D520">
        <v>1.1629642697208589E-2</v>
      </c>
    </row>
    <row r="521" spans="2:4" x14ac:dyDescent="0.35">
      <c r="B521" s="262">
        <v>45544</v>
      </c>
      <c r="C521" s="261">
        <v>3684.55</v>
      </c>
      <c r="D521">
        <v>-2.9630631849546256E-3</v>
      </c>
    </row>
    <row r="522" spans="2:4" x14ac:dyDescent="0.35">
      <c r="B522" s="262">
        <v>45541</v>
      </c>
      <c r="C522" s="261">
        <v>3695.5</v>
      </c>
      <c r="D522">
        <v>-7.3465221537262872E-3</v>
      </c>
    </row>
    <row r="523" spans="2:4" x14ac:dyDescent="0.35">
      <c r="B523" s="262">
        <v>45540</v>
      </c>
      <c r="C523" s="261">
        <v>3722.85</v>
      </c>
      <c r="D523">
        <v>3.191784239266017E-2</v>
      </c>
    </row>
    <row r="524" spans="2:4" x14ac:dyDescent="0.35">
      <c r="B524" s="262">
        <v>45539</v>
      </c>
      <c r="C524" s="261">
        <v>3607.7</v>
      </c>
      <c r="D524">
        <v>-3.7142896593624327E-3</v>
      </c>
    </row>
    <row r="525" spans="2:4" x14ac:dyDescent="0.35">
      <c r="B525" s="262">
        <v>45538</v>
      </c>
      <c r="C525" s="261">
        <v>3621.15</v>
      </c>
      <c r="D525">
        <v>9.3657231258100666E-3</v>
      </c>
    </row>
    <row r="526" spans="2:4" x14ac:dyDescent="0.35">
      <c r="B526" s="262">
        <v>45537</v>
      </c>
      <c r="C526" s="261">
        <v>3587.55</v>
      </c>
      <c r="D526">
        <v>6.2830455941545486E-3</v>
      </c>
    </row>
    <row r="527" spans="2:4" x14ac:dyDescent="0.35">
      <c r="B527" s="262">
        <v>45534</v>
      </c>
      <c r="C527" s="261">
        <v>3565.15</v>
      </c>
      <c r="D527">
        <v>9.0427940677007459E-3</v>
      </c>
    </row>
    <row r="528" spans="2:4" x14ac:dyDescent="0.35">
      <c r="B528" s="262">
        <v>45533</v>
      </c>
      <c r="C528" s="261">
        <v>3533.2</v>
      </c>
      <c r="D528">
        <v>1.6158752657689066E-3</v>
      </c>
    </row>
    <row r="529" spans="2:4" x14ac:dyDescent="0.35">
      <c r="B529" s="262">
        <v>45532</v>
      </c>
      <c r="C529" s="261">
        <v>3527.5</v>
      </c>
      <c r="D529">
        <v>-6.6877859908482931E-3</v>
      </c>
    </row>
    <row r="530" spans="2:4" x14ac:dyDescent="0.35">
      <c r="B530" s="262">
        <v>45531</v>
      </c>
      <c r="C530" s="261">
        <v>3551.25</v>
      </c>
      <c r="D530">
        <v>-2.1748113051622452E-2</v>
      </c>
    </row>
    <row r="531" spans="2:4" x14ac:dyDescent="0.35">
      <c r="B531" s="262">
        <v>45530</v>
      </c>
      <c r="C531" s="261">
        <v>3630.2</v>
      </c>
      <c r="D531">
        <v>1.6862745098039165E-2</v>
      </c>
    </row>
    <row r="532" spans="2:4" x14ac:dyDescent="0.35">
      <c r="B532" s="262">
        <v>45527</v>
      </c>
      <c r="C532" s="261">
        <v>3570</v>
      </c>
      <c r="D532">
        <v>-9.5438908001331951E-3</v>
      </c>
    </row>
    <row r="533" spans="2:4" x14ac:dyDescent="0.35">
      <c r="B533" s="262">
        <v>45526</v>
      </c>
      <c r="C533" s="261">
        <v>3604.4</v>
      </c>
      <c r="D533">
        <v>1.2358162004269183E-2</v>
      </c>
    </row>
    <row r="534" spans="2:4" x14ac:dyDescent="0.35">
      <c r="B534" s="262">
        <v>45525</v>
      </c>
      <c r="C534" s="261">
        <v>3560.4</v>
      </c>
      <c r="D534">
        <v>2.4605024605024603E-2</v>
      </c>
    </row>
    <row r="535" spans="2:4" x14ac:dyDescent="0.35">
      <c r="B535" s="262">
        <v>45524</v>
      </c>
      <c r="C535" s="261">
        <v>3474.9</v>
      </c>
      <c r="D535">
        <v>2.9005584657345001E-3</v>
      </c>
    </row>
    <row r="536" spans="2:4" x14ac:dyDescent="0.35">
      <c r="B536" s="262">
        <v>45523</v>
      </c>
      <c r="C536" s="261">
        <v>3464.85</v>
      </c>
      <c r="D536">
        <v>5.8349662529936595E-3</v>
      </c>
    </row>
    <row r="537" spans="2:4" x14ac:dyDescent="0.35">
      <c r="B537" s="262">
        <v>45520</v>
      </c>
      <c r="C537" s="261">
        <v>3444.75</v>
      </c>
      <c r="D537">
        <v>1.2521493761297976E-2</v>
      </c>
    </row>
    <row r="538" spans="2:4" x14ac:dyDescent="0.35">
      <c r="B538" s="262">
        <v>45518</v>
      </c>
      <c r="C538" s="261">
        <v>3402.15</v>
      </c>
      <c r="D538">
        <v>5.4971849093407542E-3</v>
      </c>
    </row>
    <row r="539" spans="2:4" x14ac:dyDescent="0.35">
      <c r="B539" s="262">
        <v>45517</v>
      </c>
      <c r="C539" s="261">
        <v>3383.55</v>
      </c>
      <c r="D539">
        <v>1.8880708252405339E-2</v>
      </c>
    </row>
    <row r="540" spans="2:4" x14ac:dyDescent="0.35">
      <c r="B540" s="262">
        <v>45516</v>
      </c>
      <c r="C540" s="261">
        <v>3320.85</v>
      </c>
      <c r="D540">
        <v>-3.2565957319086081E-3</v>
      </c>
    </row>
    <row r="541" spans="2:4" x14ac:dyDescent="0.35">
      <c r="B541" s="262">
        <v>45513</v>
      </c>
      <c r="C541" s="261">
        <v>3331.7</v>
      </c>
      <c r="D541">
        <v>1.0677991809494863E-2</v>
      </c>
    </row>
    <row r="542" spans="2:4" x14ac:dyDescent="0.35">
      <c r="B542" s="262">
        <v>45512</v>
      </c>
      <c r="C542" s="261">
        <v>3296.5</v>
      </c>
      <c r="D542">
        <v>-8.9440060127771517E-3</v>
      </c>
    </row>
    <row r="543" spans="2:4" x14ac:dyDescent="0.35">
      <c r="B543" s="262">
        <v>45511</v>
      </c>
      <c r="C543" s="261">
        <v>3326.25</v>
      </c>
      <c r="D543">
        <v>-2.6535935953944136E-3</v>
      </c>
    </row>
    <row r="544" spans="2:4" x14ac:dyDescent="0.35">
      <c r="B544" s="262">
        <v>45510</v>
      </c>
      <c r="C544" s="261">
        <v>3335.1</v>
      </c>
      <c r="D544">
        <v>-1.2100297693982407E-2</v>
      </c>
    </row>
    <row r="545" spans="2:4" x14ac:dyDescent="0.35">
      <c r="B545" s="262">
        <v>45509</v>
      </c>
      <c r="C545" s="261">
        <v>3375.95</v>
      </c>
      <c r="D545">
        <v>-2.4954149638251502E-2</v>
      </c>
    </row>
    <row r="546" spans="2:4" x14ac:dyDescent="0.35">
      <c r="B546" s="262">
        <v>45506</v>
      </c>
      <c r="C546" s="261">
        <v>3462.35</v>
      </c>
      <c r="D546">
        <v>-1.7299292170628686E-3</v>
      </c>
    </row>
    <row r="547" spans="2:4" x14ac:dyDescent="0.35">
      <c r="B547" s="262">
        <v>45505</v>
      </c>
      <c r="C547" s="261">
        <v>3468.35</v>
      </c>
      <c r="D547">
        <v>2.7175877072522273E-3</v>
      </c>
    </row>
    <row r="548" spans="2:4" x14ac:dyDescent="0.35">
      <c r="B548" s="262">
        <v>45504</v>
      </c>
      <c r="C548" s="261">
        <v>3458.95</v>
      </c>
      <c r="D548">
        <v>-2.6814675989332319E-3</v>
      </c>
    </row>
    <row r="549" spans="2:4" x14ac:dyDescent="0.35">
      <c r="B549" s="262">
        <v>45503</v>
      </c>
      <c r="C549" s="261">
        <v>3468.25</v>
      </c>
      <c r="D549">
        <v>1.6575314359410318E-2</v>
      </c>
    </row>
    <row r="550" spans="2:4" x14ac:dyDescent="0.35">
      <c r="B550" s="262">
        <v>45502</v>
      </c>
      <c r="C550" s="261">
        <v>3411.7</v>
      </c>
      <c r="D550">
        <v>-2.3596582859923092E-2</v>
      </c>
    </row>
    <row r="551" spans="2:4" x14ac:dyDescent="0.35">
      <c r="B551" s="262">
        <v>45499</v>
      </c>
      <c r="C551" s="261">
        <v>3494.15</v>
      </c>
      <c r="D551">
        <v>2.5941041752304862E-2</v>
      </c>
    </row>
    <row r="552" spans="2:4" x14ac:dyDescent="0.35">
      <c r="B552" s="262">
        <v>45498</v>
      </c>
      <c r="C552" s="261">
        <v>3405.8</v>
      </c>
      <c r="D552">
        <v>-2.0871665133394637E-2</v>
      </c>
    </row>
    <row r="553" spans="2:4" x14ac:dyDescent="0.35">
      <c r="B553" s="262">
        <v>45497</v>
      </c>
      <c r="C553" s="261">
        <v>3478.4</v>
      </c>
      <c r="D553">
        <v>3.3315545812481594E-3</v>
      </c>
    </row>
    <row r="554" spans="2:4" x14ac:dyDescent="0.35">
      <c r="B554" s="262">
        <v>45496</v>
      </c>
      <c r="C554" s="261">
        <v>3466.85</v>
      </c>
      <c r="D554">
        <v>6.5264484014195975E-2</v>
      </c>
    </row>
    <row r="555" spans="2:4" x14ac:dyDescent="0.35">
      <c r="B555" s="262">
        <v>45495</v>
      </c>
      <c r="C555" s="261">
        <v>3254.45</v>
      </c>
      <c r="D555">
        <v>-1.3961337833691874E-3</v>
      </c>
    </row>
    <row r="556" spans="2:4" x14ac:dyDescent="0.35">
      <c r="B556" s="262">
        <v>45492</v>
      </c>
      <c r="C556" s="261">
        <v>3259</v>
      </c>
      <c r="D556">
        <v>-9.5030808374970386E-4</v>
      </c>
    </row>
    <row r="557" spans="2:4" x14ac:dyDescent="0.35">
      <c r="B557" s="262">
        <v>45491</v>
      </c>
      <c r="C557" s="261">
        <v>3262.1</v>
      </c>
      <c r="D557">
        <v>8.673335291662072E-3</v>
      </c>
    </row>
    <row r="558" spans="2:4" x14ac:dyDescent="0.35">
      <c r="B558" s="262">
        <v>45489</v>
      </c>
      <c r="C558" s="261">
        <v>3234.05</v>
      </c>
      <c r="D558">
        <v>3.0550214006576405E-3</v>
      </c>
    </row>
    <row r="559" spans="2:4" x14ac:dyDescent="0.35">
      <c r="B559" s="262">
        <v>45488</v>
      </c>
      <c r="C559" s="261">
        <v>3224.2</v>
      </c>
      <c r="D559">
        <v>-1.7493072433704634E-3</v>
      </c>
    </row>
    <row r="560" spans="2:4" x14ac:dyDescent="0.35">
      <c r="B560" s="262">
        <v>45485</v>
      </c>
      <c r="C560" s="261">
        <v>3229.85</v>
      </c>
      <c r="D560">
        <v>-5.7717170473434712E-3</v>
      </c>
    </row>
    <row r="561" spans="2:4" x14ac:dyDescent="0.35">
      <c r="B561" s="262">
        <v>45484</v>
      </c>
      <c r="C561" s="261">
        <v>3248.6</v>
      </c>
      <c r="D561">
        <v>7.3178294573643127E-3</v>
      </c>
    </row>
    <row r="562" spans="2:4" x14ac:dyDescent="0.35">
      <c r="B562" s="262">
        <v>45483</v>
      </c>
      <c r="C562" s="261">
        <v>3225</v>
      </c>
      <c r="D562">
        <v>3.0636206708862445E-3</v>
      </c>
    </row>
    <row r="563" spans="2:4" x14ac:dyDescent="0.35">
      <c r="B563" s="262">
        <v>45482</v>
      </c>
      <c r="C563" s="261">
        <v>3215.15</v>
      </c>
      <c r="D563">
        <v>1.8677523604334414E-2</v>
      </c>
    </row>
    <row r="564" spans="2:4" x14ac:dyDescent="0.35">
      <c r="B564" s="262">
        <v>45481</v>
      </c>
      <c r="C564" s="261">
        <v>3156.2</v>
      </c>
      <c r="D564">
        <v>-3.4609326012816029E-2</v>
      </c>
    </row>
    <row r="565" spans="2:4" x14ac:dyDescent="0.35">
      <c r="B565" s="262">
        <v>45478</v>
      </c>
      <c r="C565" s="261">
        <v>3269.35</v>
      </c>
      <c r="D565">
        <v>-1.9979016786570769E-2</v>
      </c>
    </row>
    <row r="566" spans="2:4" x14ac:dyDescent="0.35">
      <c r="B566" s="262">
        <v>45477</v>
      </c>
      <c r="C566" s="261">
        <v>3336</v>
      </c>
      <c r="D566">
        <v>-7.2167249460605614E-3</v>
      </c>
    </row>
    <row r="567" spans="2:4" x14ac:dyDescent="0.35">
      <c r="B567" s="262">
        <v>45476</v>
      </c>
      <c r="C567" s="261">
        <v>3360.25</v>
      </c>
      <c r="D567">
        <v>-1.1589428323503917E-2</v>
      </c>
    </row>
    <row r="568" spans="2:4" x14ac:dyDescent="0.35">
      <c r="B568" s="262">
        <v>45475</v>
      </c>
      <c r="C568" s="261">
        <v>3399.65</v>
      </c>
      <c r="D568">
        <v>-9.2672193970478167E-3</v>
      </c>
    </row>
    <row r="569" spans="2:4" x14ac:dyDescent="0.35">
      <c r="B569" s="262">
        <v>45474</v>
      </c>
      <c r="C569" s="261">
        <v>3431.45</v>
      </c>
      <c r="D569">
        <v>8.0048175782856477E-3</v>
      </c>
    </row>
    <row r="570" spans="2:4" x14ac:dyDescent="0.35">
      <c r="B570" s="262">
        <v>45471</v>
      </c>
      <c r="C570" s="261">
        <v>3404.2</v>
      </c>
      <c r="D570">
        <v>6.9810092882919925E-3</v>
      </c>
    </row>
    <row r="571" spans="2:4" x14ac:dyDescent="0.35">
      <c r="B571" s="262">
        <v>45470</v>
      </c>
      <c r="C571" s="261">
        <v>3380.6</v>
      </c>
      <c r="D571">
        <v>2.3274775776443287E-3</v>
      </c>
    </row>
    <row r="572" spans="2:4" x14ac:dyDescent="0.35">
      <c r="B572" s="262">
        <v>45469</v>
      </c>
      <c r="C572" s="261">
        <v>3372.75</v>
      </c>
      <c r="D572">
        <v>-8.7290040999867206E-3</v>
      </c>
    </row>
    <row r="573" spans="2:4" x14ac:dyDescent="0.35">
      <c r="B573" s="262">
        <v>45468</v>
      </c>
      <c r="C573" s="261">
        <v>3402.45</v>
      </c>
      <c r="D573">
        <v>-2.901226427535303E-3</v>
      </c>
    </row>
    <row r="574" spans="2:4" x14ac:dyDescent="0.35">
      <c r="B574" s="262">
        <v>45467</v>
      </c>
      <c r="C574" s="261">
        <v>3412.35</v>
      </c>
      <c r="D574">
        <v>3.7061548643282328E-3</v>
      </c>
    </row>
    <row r="575" spans="2:4" x14ac:dyDescent="0.35">
      <c r="B575" s="262">
        <v>45464</v>
      </c>
      <c r="C575" s="261">
        <v>3399.75</v>
      </c>
      <c r="D575">
        <v>-1.0535659715653551E-2</v>
      </c>
    </row>
    <row r="576" spans="2:4" x14ac:dyDescent="0.35">
      <c r="B576" s="262">
        <v>45463</v>
      </c>
      <c r="C576" s="261">
        <v>3435.95</v>
      </c>
      <c r="D576">
        <v>-7.6248790561324218E-3</v>
      </c>
    </row>
    <row r="577" spans="2:4" x14ac:dyDescent="0.35">
      <c r="B577" s="262">
        <v>45462</v>
      </c>
      <c r="C577" s="261">
        <v>3462.35</v>
      </c>
      <c r="D577">
        <v>-3.5288381164669848E-2</v>
      </c>
    </row>
    <row r="578" spans="2:4" x14ac:dyDescent="0.35">
      <c r="B578" s="262">
        <v>45461</v>
      </c>
      <c r="C578" s="261">
        <v>3589</v>
      </c>
      <c r="D578">
        <v>1.6699480177334546E-2</v>
      </c>
    </row>
    <row r="579" spans="2:4" x14ac:dyDescent="0.35">
      <c r="B579" s="262">
        <v>45457</v>
      </c>
      <c r="C579" s="261">
        <v>3530.05</v>
      </c>
      <c r="D579">
        <v>1.6660906629802536E-2</v>
      </c>
    </row>
    <row r="580" spans="2:4" x14ac:dyDescent="0.35">
      <c r="B580" s="262">
        <v>45456</v>
      </c>
      <c r="C580" s="261">
        <v>3472.2</v>
      </c>
      <c r="D580">
        <v>2.6579546462466259E-2</v>
      </c>
    </row>
    <row r="581" spans="2:4" x14ac:dyDescent="0.35">
      <c r="B581" s="262">
        <v>45455</v>
      </c>
      <c r="C581" s="261">
        <v>3382.3</v>
      </c>
      <c r="D581">
        <v>-8.3267364470635472E-3</v>
      </c>
    </row>
    <row r="582" spans="2:4" x14ac:dyDescent="0.35">
      <c r="B582" s="262">
        <v>45454</v>
      </c>
      <c r="C582" s="261">
        <v>3410.7</v>
      </c>
      <c r="D582">
        <v>-3.3604114312430601E-3</v>
      </c>
    </row>
    <row r="583" spans="2:4" x14ac:dyDescent="0.35">
      <c r="B583" s="262">
        <v>45453</v>
      </c>
      <c r="C583" s="261">
        <v>3422.2</v>
      </c>
      <c r="D583">
        <v>-6.3442749089009636E-3</v>
      </c>
    </row>
    <row r="584" spans="2:4" x14ac:dyDescent="0.35">
      <c r="B584" s="262">
        <v>45450</v>
      </c>
      <c r="C584" s="261">
        <v>3444.05</v>
      </c>
      <c r="D584">
        <v>3.6849156292806315E-2</v>
      </c>
    </row>
    <row r="585" spans="2:4" x14ac:dyDescent="0.35">
      <c r="B585" s="262">
        <v>45449</v>
      </c>
      <c r="C585" s="261">
        <v>3321.65</v>
      </c>
      <c r="D585">
        <v>1.2056726900064804E-3</v>
      </c>
    </row>
    <row r="586" spans="2:4" x14ac:dyDescent="0.35">
      <c r="B586" s="262">
        <v>45448</v>
      </c>
      <c r="C586" s="261">
        <v>3317.65</v>
      </c>
      <c r="D586">
        <v>2.4297997807931668E-2</v>
      </c>
    </row>
    <row r="587" spans="2:4" x14ac:dyDescent="0.35">
      <c r="B587" s="262">
        <v>45447</v>
      </c>
      <c r="C587" s="261">
        <v>3238.95</v>
      </c>
      <c r="D587">
        <v>-6.8226419722801426E-3</v>
      </c>
    </row>
    <row r="588" spans="2:4" x14ac:dyDescent="0.35">
      <c r="B588" s="262">
        <v>45446</v>
      </c>
      <c r="C588" s="261">
        <v>3261.2</v>
      </c>
      <c r="D588">
        <v>5.9532989913321588E-3</v>
      </c>
    </row>
    <row r="589" spans="2:4" x14ac:dyDescent="0.35">
      <c r="B589" s="262">
        <v>45443</v>
      </c>
      <c r="C589" s="261">
        <v>3241.9</v>
      </c>
      <c r="D589">
        <v>-9.1538426272597517E-3</v>
      </c>
    </row>
    <row r="590" spans="2:4" x14ac:dyDescent="0.35">
      <c r="B590" s="262">
        <v>45442</v>
      </c>
      <c r="C590" s="261">
        <v>3271.85</v>
      </c>
      <c r="D590">
        <v>-3.2111584427878412E-2</v>
      </c>
    </row>
    <row r="591" spans="2:4" x14ac:dyDescent="0.35">
      <c r="B591" s="262">
        <v>45441</v>
      </c>
      <c r="C591" s="261">
        <v>3380.4</v>
      </c>
      <c r="D591">
        <v>-8.5058954654777964E-3</v>
      </c>
    </row>
    <row r="592" spans="2:4" x14ac:dyDescent="0.35">
      <c r="B592" s="262">
        <v>45440</v>
      </c>
      <c r="C592" s="261">
        <v>3409.4</v>
      </c>
      <c r="D592">
        <v>1.7629429394135276E-3</v>
      </c>
    </row>
    <row r="593" spans="2:4" x14ac:dyDescent="0.35">
      <c r="B593" s="262">
        <v>45439</v>
      </c>
      <c r="C593" s="261">
        <v>3403.4</v>
      </c>
      <c r="D593">
        <v>-2.6374399249794863E-3</v>
      </c>
    </row>
    <row r="594" spans="2:4" x14ac:dyDescent="0.35">
      <c r="B594" s="262">
        <v>45436</v>
      </c>
      <c r="C594" s="261">
        <v>3412.4</v>
      </c>
      <c r="D594">
        <v>-1.1485928651091406E-2</v>
      </c>
    </row>
    <row r="595" spans="2:4" x14ac:dyDescent="0.35">
      <c r="B595" s="262">
        <v>45435</v>
      </c>
      <c r="C595" s="261">
        <v>3452.05</v>
      </c>
      <c r="D595">
        <v>2.0154557678384172E-2</v>
      </c>
    </row>
    <row r="596" spans="2:4" x14ac:dyDescent="0.35">
      <c r="B596" s="262">
        <v>45434</v>
      </c>
      <c r="C596" s="261">
        <v>3383.85</v>
      </c>
      <c r="D596">
        <v>2.0284275984601449E-3</v>
      </c>
    </row>
    <row r="597" spans="2:4" x14ac:dyDescent="0.35">
      <c r="B597" s="262">
        <v>45433</v>
      </c>
      <c r="C597" s="261">
        <v>3377</v>
      </c>
      <c r="D597">
        <v>4.2973338686413043E-3</v>
      </c>
    </row>
    <row r="598" spans="2:4" x14ac:dyDescent="0.35">
      <c r="B598" s="262">
        <v>45430</v>
      </c>
      <c r="C598" s="261">
        <v>3362.55</v>
      </c>
      <c r="D598">
        <v>4.1652410633268103E-4</v>
      </c>
    </row>
    <row r="599" spans="2:4" x14ac:dyDescent="0.35">
      <c r="B599" s="262">
        <v>45429</v>
      </c>
      <c r="C599" s="261">
        <v>3361.15</v>
      </c>
      <c r="D599">
        <v>8.173610486217342E-3</v>
      </c>
    </row>
    <row r="600" spans="2:4" x14ac:dyDescent="0.35">
      <c r="B600" s="262">
        <v>45428</v>
      </c>
      <c r="C600" s="261">
        <v>3333.9</v>
      </c>
      <c r="D600">
        <v>1.9993575132704076E-2</v>
      </c>
    </row>
    <row r="601" spans="2:4" x14ac:dyDescent="0.35">
      <c r="B601" s="262">
        <v>45427</v>
      </c>
      <c r="C601" s="261">
        <v>3268.55</v>
      </c>
      <c r="D601">
        <v>-6.1874790963543768E-3</v>
      </c>
    </row>
    <row r="602" spans="2:4" x14ac:dyDescent="0.35">
      <c r="B602" s="262">
        <v>45426</v>
      </c>
      <c r="C602" s="261">
        <v>3288.9</v>
      </c>
      <c r="D602">
        <v>1.0833986445991425E-2</v>
      </c>
    </row>
    <row r="603" spans="2:4" x14ac:dyDescent="0.35">
      <c r="B603" s="262">
        <v>45425</v>
      </c>
      <c r="C603" s="261">
        <v>3253.65</v>
      </c>
      <c r="D603">
        <v>-1.1003541194887249E-2</v>
      </c>
    </row>
    <row r="604" spans="2:4" x14ac:dyDescent="0.35">
      <c r="B604" s="262">
        <v>45422</v>
      </c>
      <c r="C604" s="261">
        <v>3289.85</v>
      </c>
      <c r="D604">
        <v>1.3602612687555872E-2</v>
      </c>
    </row>
    <row r="605" spans="2:4" x14ac:dyDescent="0.35">
      <c r="B605" s="262">
        <v>45421</v>
      </c>
      <c r="C605" s="261">
        <v>3245.7</v>
      </c>
      <c r="D605">
        <v>-4.3406905225700848E-3</v>
      </c>
    </row>
    <row r="606" spans="2:4" x14ac:dyDescent="0.35">
      <c r="B606" s="262">
        <v>45420</v>
      </c>
      <c r="C606" s="261">
        <v>3259.85</v>
      </c>
      <c r="D606">
        <v>-3.3782750924822471E-3</v>
      </c>
    </row>
    <row r="607" spans="2:4" x14ac:dyDescent="0.35">
      <c r="B607" s="262">
        <v>45419</v>
      </c>
      <c r="C607" s="261">
        <v>3270.9</v>
      </c>
      <c r="D607">
        <v>-2.8199929881255431E-3</v>
      </c>
    </row>
    <row r="608" spans="2:4" x14ac:dyDescent="0.35">
      <c r="B608" s="262">
        <v>45418</v>
      </c>
      <c r="C608" s="261">
        <v>3280.15</v>
      </c>
      <c r="D608">
        <v>-7.1804521916296438E-2</v>
      </c>
    </row>
    <row r="609" spans="2:4" x14ac:dyDescent="0.35">
      <c r="B609" s="262">
        <v>45415</v>
      </c>
      <c r="C609" s="261">
        <v>3533.9</v>
      </c>
      <c r="D609">
        <v>-9.6820748504251788E-3</v>
      </c>
    </row>
    <row r="610" spans="2:4" x14ac:dyDescent="0.35">
      <c r="B610" s="262">
        <v>45414</v>
      </c>
      <c r="C610" s="261">
        <v>3568.45</v>
      </c>
      <c r="D610">
        <v>-5.7950825381347581E-3</v>
      </c>
    </row>
    <row r="611" spans="2:4" x14ac:dyDescent="0.35">
      <c r="B611" s="262">
        <v>45412</v>
      </c>
      <c r="C611" s="261">
        <v>3589.25</v>
      </c>
      <c r="D611">
        <v>-4.3275032248220897E-3</v>
      </c>
    </row>
    <row r="612" spans="2:4" x14ac:dyDescent="0.35">
      <c r="B612" s="262">
        <v>45411</v>
      </c>
      <c r="C612" s="261">
        <v>3604.85</v>
      </c>
      <c r="D612">
        <v>5.5930595849140053E-3</v>
      </c>
    </row>
    <row r="613" spans="2:4" x14ac:dyDescent="0.35">
      <c r="B613" s="262">
        <v>45408</v>
      </c>
      <c r="C613" s="261">
        <v>3584.8</v>
      </c>
      <c r="D613">
        <v>3.8363529444709679E-3</v>
      </c>
    </row>
    <row r="614" spans="2:4" x14ac:dyDescent="0.35">
      <c r="B614" s="262">
        <v>45407</v>
      </c>
      <c r="C614" s="261">
        <v>3571.1</v>
      </c>
      <c r="D614">
        <v>-1.0707112680933608E-2</v>
      </c>
    </row>
    <row r="615" spans="2:4" x14ac:dyDescent="0.35">
      <c r="B615" s="262">
        <v>45406</v>
      </c>
      <c r="C615" s="261">
        <v>3609.75</v>
      </c>
      <c r="D615">
        <v>-6.3996696944673822E-3</v>
      </c>
    </row>
    <row r="616" spans="2:4" x14ac:dyDescent="0.35">
      <c r="B616" s="262">
        <v>45405</v>
      </c>
      <c r="C616" s="261">
        <v>3633</v>
      </c>
      <c r="D616">
        <v>1.0078543129213873E-2</v>
      </c>
    </row>
    <row r="617" spans="2:4" x14ac:dyDescent="0.35">
      <c r="B617" s="262">
        <v>45404</v>
      </c>
      <c r="C617" s="261">
        <v>3596.75</v>
      </c>
      <c r="D617">
        <v>9.4581889111855898E-3</v>
      </c>
    </row>
    <row r="618" spans="2:4" x14ac:dyDescent="0.35">
      <c r="B618" s="262">
        <v>45401</v>
      </c>
      <c r="C618" s="261">
        <v>3563.05</v>
      </c>
      <c r="D618">
        <v>1.0765652038240127E-2</v>
      </c>
    </row>
    <row r="619" spans="2:4" x14ac:dyDescent="0.35">
      <c r="B619" s="262">
        <v>45400</v>
      </c>
      <c r="C619" s="261">
        <v>3525.1</v>
      </c>
      <c r="D619">
        <v>-3.3133108423160314E-2</v>
      </c>
    </row>
    <row r="620" spans="2:4" x14ac:dyDescent="0.35">
      <c r="B620" s="262">
        <v>45398</v>
      </c>
      <c r="C620" s="261">
        <v>3645.9</v>
      </c>
      <c r="D620">
        <v>1.2581236460589952E-2</v>
      </c>
    </row>
    <row r="621" spans="2:4" x14ac:dyDescent="0.35">
      <c r="B621" s="262">
        <v>45397</v>
      </c>
      <c r="C621" s="261">
        <v>3600.6</v>
      </c>
      <c r="D621">
        <v>-5.1667449506811458E-3</v>
      </c>
    </row>
    <row r="622" spans="2:4" x14ac:dyDescent="0.35">
      <c r="B622" s="262">
        <v>45394</v>
      </c>
      <c r="C622" s="261">
        <v>3619.3</v>
      </c>
      <c r="D622">
        <v>-2.476287993101952E-2</v>
      </c>
    </row>
    <row r="623" spans="2:4" x14ac:dyDescent="0.35">
      <c r="B623" s="262">
        <v>45392</v>
      </c>
      <c r="C623" s="261">
        <v>3711.2</v>
      </c>
      <c r="D623">
        <v>8.6564202916275725E-3</v>
      </c>
    </row>
    <row r="624" spans="2:4" x14ac:dyDescent="0.35">
      <c r="B624" s="262">
        <v>45391</v>
      </c>
      <c r="C624" s="261">
        <v>3679.35</v>
      </c>
      <c r="D624">
        <v>-1.855210861852815E-2</v>
      </c>
    </row>
    <row r="625" spans="2:4" x14ac:dyDescent="0.35">
      <c r="B625" s="262">
        <v>45390</v>
      </c>
      <c r="C625" s="261">
        <v>3748.9</v>
      </c>
      <c r="D625">
        <v>-1.4782458149661675E-3</v>
      </c>
    </row>
    <row r="626" spans="2:4" x14ac:dyDescent="0.35">
      <c r="B626" s="262">
        <v>45387</v>
      </c>
      <c r="C626" s="261">
        <v>3754.45</v>
      </c>
      <c r="D626">
        <v>-7.481329720441526E-3</v>
      </c>
    </row>
    <row r="627" spans="2:4" x14ac:dyDescent="0.35">
      <c r="B627" s="262">
        <v>45386</v>
      </c>
      <c r="C627" s="261">
        <v>3782.75</v>
      </c>
      <c r="D627">
        <v>1.8922558922558924E-2</v>
      </c>
    </row>
    <row r="628" spans="2:4" x14ac:dyDescent="0.35">
      <c r="B628" s="262">
        <v>45385</v>
      </c>
      <c r="C628" s="261">
        <v>3712.5</v>
      </c>
      <c r="D628">
        <v>-1.1568311612241861E-2</v>
      </c>
    </row>
    <row r="629" spans="2:4" x14ac:dyDescent="0.35">
      <c r="B629" s="262">
        <v>45384</v>
      </c>
      <c r="C629" s="261">
        <v>3755.95</v>
      </c>
      <c r="D629">
        <v>4.6945217205220753E-3</v>
      </c>
    </row>
    <row r="630" spans="2:4" x14ac:dyDescent="0.35">
      <c r="B630" s="262">
        <v>45383</v>
      </c>
      <c r="C630" s="261">
        <v>3738.4</v>
      </c>
      <c r="D630">
        <v>-1.6676311221000602E-2</v>
      </c>
    </row>
    <row r="631" spans="2:4" x14ac:dyDescent="0.35">
      <c r="B631" s="262">
        <v>45379</v>
      </c>
      <c r="C631" s="261">
        <v>3801.8</v>
      </c>
      <c r="D631">
        <v>1.1278395488641828E-2</v>
      </c>
    </row>
    <row r="632" spans="2:4" x14ac:dyDescent="0.35">
      <c r="B632" s="262">
        <v>45378</v>
      </c>
      <c r="C632" s="261">
        <v>3759.4</v>
      </c>
      <c r="D632">
        <v>1.6548591206532983E-2</v>
      </c>
    </row>
    <row r="633" spans="2:4" x14ac:dyDescent="0.35">
      <c r="B633" s="262">
        <v>45377</v>
      </c>
      <c r="C633" s="261">
        <v>3698.2</v>
      </c>
      <c r="D633">
        <v>-2.293144845819732E-3</v>
      </c>
    </row>
    <row r="634" spans="2:4" x14ac:dyDescent="0.35">
      <c r="B634" s="262">
        <v>45373</v>
      </c>
      <c r="C634" s="261">
        <v>3706.7</v>
      </c>
      <c r="D634">
        <v>2.1819134126338614E-2</v>
      </c>
    </row>
    <row r="635" spans="2:4" x14ac:dyDescent="0.35">
      <c r="B635" s="262">
        <v>45372</v>
      </c>
      <c r="C635" s="261">
        <v>3627.55</v>
      </c>
      <c r="D635">
        <v>1.0318897089541897E-2</v>
      </c>
    </row>
    <row r="636" spans="2:4" x14ac:dyDescent="0.35">
      <c r="B636" s="262">
        <v>45371</v>
      </c>
      <c r="C636" s="261">
        <v>3590.5</v>
      </c>
      <c r="D636">
        <v>1.9813584863537168E-3</v>
      </c>
    </row>
    <row r="637" spans="2:4" x14ac:dyDescent="0.35">
      <c r="B637" s="262">
        <v>45370</v>
      </c>
      <c r="C637" s="261">
        <v>3583.4</v>
      </c>
      <c r="D637">
        <v>1.0336061681147227E-3</v>
      </c>
    </row>
    <row r="638" spans="2:4" x14ac:dyDescent="0.35">
      <c r="B638" s="262">
        <v>45369</v>
      </c>
      <c r="C638" s="261">
        <v>3579.7</v>
      </c>
      <c r="D638">
        <v>-1.4725311020587913E-2</v>
      </c>
    </row>
    <row r="639" spans="2:4" x14ac:dyDescent="0.35">
      <c r="B639" s="262">
        <v>45366</v>
      </c>
      <c r="C639" s="261">
        <v>3633.2</v>
      </c>
      <c r="D639">
        <v>-1.9092619809623979E-3</v>
      </c>
    </row>
    <row r="640" spans="2:4" x14ac:dyDescent="0.35">
      <c r="B640" s="262">
        <v>45365</v>
      </c>
      <c r="C640" s="261">
        <v>3640.15</v>
      </c>
      <c r="D640">
        <v>3.9854372948672735E-3</v>
      </c>
    </row>
    <row r="641" spans="2:4" x14ac:dyDescent="0.35">
      <c r="B641" s="262">
        <v>45364</v>
      </c>
      <c r="C641" s="261">
        <v>3625.7</v>
      </c>
      <c r="D641">
        <v>-3.2837174562526772E-2</v>
      </c>
    </row>
    <row r="642" spans="2:4" x14ac:dyDescent="0.35">
      <c r="B642" s="262">
        <v>45363</v>
      </c>
      <c r="C642" s="261">
        <v>3748.8</v>
      </c>
      <c r="D642">
        <v>-3.5998560057595269E-4</v>
      </c>
    </row>
    <row r="643" spans="2:4" x14ac:dyDescent="0.35">
      <c r="B643" s="262">
        <v>45362</v>
      </c>
      <c r="C643" s="261">
        <v>3750.15</v>
      </c>
      <c r="D643">
        <v>-9.7045076447754095E-3</v>
      </c>
    </row>
    <row r="644" spans="2:4" x14ac:dyDescent="0.35">
      <c r="B644" s="262">
        <v>45358</v>
      </c>
      <c r="C644" s="261">
        <v>3786.9</v>
      </c>
      <c r="D644">
        <v>-6.2586105097421525E-3</v>
      </c>
    </row>
    <row r="645" spans="2:4" x14ac:dyDescent="0.35">
      <c r="B645" s="262">
        <v>45357</v>
      </c>
      <c r="C645" s="261">
        <v>3810.75</v>
      </c>
      <c r="D645">
        <v>1.5996800639872025E-2</v>
      </c>
    </row>
    <row r="646" spans="2:4" x14ac:dyDescent="0.35">
      <c r="B646" s="262">
        <v>45356</v>
      </c>
      <c r="C646" s="261">
        <v>3750.75</v>
      </c>
      <c r="D646">
        <v>4.9164076733468837E-3</v>
      </c>
    </row>
    <row r="647" spans="2:4" x14ac:dyDescent="0.35">
      <c r="B647" s="262">
        <v>45355</v>
      </c>
      <c r="C647" s="261">
        <v>3732.4</v>
      </c>
      <c r="D647">
        <v>-8.908774678367936E-3</v>
      </c>
    </row>
    <row r="648" spans="2:4" x14ac:dyDescent="0.35">
      <c r="B648" s="262">
        <v>45353</v>
      </c>
      <c r="C648" s="261">
        <v>3765.95</v>
      </c>
      <c r="D648">
        <v>1.3277038689218287E-5</v>
      </c>
    </row>
    <row r="649" spans="2:4" x14ac:dyDescent="0.35">
      <c r="B649" s="262">
        <v>45352</v>
      </c>
      <c r="C649" s="261">
        <v>3765.9</v>
      </c>
      <c r="D649">
        <v>3.9040944708089616E-2</v>
      </c>
    </row>
    <row r="650" spans="2:4" x14ac:dyDescent="0.35">
      <c r="B650" s="262">
        <v>45351</v>
      </c>
      <c r="C650" s="261">
        <v>3624.4</v>
      </c>
      <c r="D650">
        <v>8.2621637410633091E-3</v>
      </c>
    </row>
    <row r="651" spans="2:4" x14ac:dyDescent="0.35">
      <c r="B651" s="262">
        <v>45350</v>
      </c>
      <c r="C651" s="261">
        <v>3594.7</v>
      </c>
      <c r="D651">
        <v>-1.618840401220633E-2</v>
      </c>
    </row>
    <row r="652" spans="2:4" x14ac:dyDescent="0.35">
      <c r="B652" s="262">
        <v>45349</v>
      </c>
      <c r="C652" s="261">
        <v>3653.85</v>
      </c>
      <c r="D652">
        <v>8.6542443064181948E-3</v>
      </c>
    </row>
    <row r="653" spans="2:4" x14ac:dyDescent="0.35">
      <c r="B653" s="262">
        <v>45348</v>
      </c>
      <c r="C653" s="261">
        <v>3622.5</v>
      </c>
      <c r="D653">
        <v>-1.8811197334741753E-2</v>
      </c>
    </row>
    <row r="654" spans="2:4" x14ac:dyDescent="0.35">
      <c r="B654" s="262">
        <v>45345</v>
      </c>
      <c r="C654" s="261">
        <v>3691.95</v>
      </c>
      <c r="D654">
        <v>1.0925370682219476E-2</v>
      </c>
    </row>
    <row r="655" spans="2:4" x14ac:dyDescent="0.35">
      <c r="B655" s="262">
        <v>45344</v>
      </c>
      <c r="C655" s="261">
        <v>3652.05</v>
      </c>
      <c r="D655">
        <v>-1.1760362109753517E-3</v>
      </c>
    </row>
    <row r="656" spans="2:4" x14ac:dyDescent="0.35">
      <c r="B656" s="262">
        <v>45343</v>
      </c>
      <c r="C656" s="261">
        <v>3656.35</v>
      </c>
      <c r="D656">
        <v>-8.2322944638836652E-3</v>
      </c>
    </row>
    <row r="657" spans="2:4" x14ac:dyDescent="0.35">
      <c r="B657" s="262">
        <v>45342</v>
      </c>
      <c r="C657" s="261">
        <v>3686.7</v>
      </c>
      <c r="D657">
        <v>-2.2597799759138206E-3</v>
      </c>
    </row>
    <row r="658" spans="2:4" x14ac:dyDescent="0.35">
      <c r="B658" s="262">
        <v>45341</v>
      </c>
      <c r="C658" s="261">
        <v>3695.05</v>
      </c>
      <c r="D658">
        <v>1.0846966132297447E-2</v>
      </c>
    </row>
    <row r="659" spans="2:4" x14ac:dyDescent="0.35">
      <c r="B659" s="262">
        <v>45338</v>
      </c>
      <c r="C659" s="261">
        <v>3655.4</v>
      </c>
      <c r="D659">
        <v>9.2074929942987833E-3</v>
      </c>
    </row>
    <row r="660" spans="2:4" x14ac:dyDescent="0.35">
      <c r="B660" s="262">
        <v>45337</v>
      </c>
      <c r="C660" s="261">
        <v>3622.05</v>
      </c>
      <c r="D660">
        <v>1.0179749271380959E-2</v>
      </c>
    </row>
    <row r="661" spans="2:4" x14ac:dyDescent="0.35">
      <c r="B661" s="262">
        <v>45336</v>
      </c>
      <c r="C661" s="261">
        <v>3585.55</v>
      </c>
      <c r="D661">
        <v>7.1911122347225005E-3</v>
      </c>
    </row>
    <row r="662" spans="2:4" x14ac:dyDescent="0.35">
      <c r="B662" s="262">
        <v>45335</v>
      </c>
      <c r="C662" s="261">
        <v>3559.95</v>
      </c>
      <c r="D662">
        <v>-7.0566906073496081E-3</v>
      </c>
    </row>
    <row r="663" spans="2:4" x14ac:dyDescent="0.35">
      <c r="B663" s="262">
        <v>45334</v>
      </c>
      <c r="C663" s="261">
        <v>3585.25</v>
      </c>
      <c r="D663">
        <v>-1.7680142554849954E-3</v>
      </c>
    </row>
    <row r="664" spans="2:4" x14ac:dyDescent="0.35">
      <c r="B664" s="262">
        <v>45331</v>
      </c>
      <c r="C664" s="261">
        <v>3591.6</v>
      </c>
      <c r="D664">
        <v>1.197486686765659E-2</v>
      </c>
    </row>
    <row r="665" spans="2:4" x14ac:dyDescent="0.35">
      <c r="B665" s="262">
        <v>45330</v>
      </c>
      <c r="C665" s="261">
        <v>3549.1</v>
      </c>
      <c r="D665">
        <v>-7.661121207884829E-3</v>
      </c>
    </row>
    <row r="666" spans="2:4" x14ac:dyDescent="0.35">
      <c r="B666" s="262">
        <v>45329</v>
      </c>
      <c r="C666" s="261">
        <v>3576.5</v>
      </c>
      <c r="D666">
        <v>4.8747594228958904E-3</v>
      </c>
    </row>
    <row r="667" spans="2:4" x14ac:dyDescent="0.35">
      <c r="B667" s="262">
        <v>45328</v>
      </c>
      <c r="C667" s="261">
        <v>3559.15</v>
      </c>
      <c r="D667">
        <v>1.9988457369687668E-3</v>
      </c>
    </row>
    <row r="668" spans="2:4" x14ac:dyDescent="0.35">
      <c r="B668" s="262">
        <v>45327</v>
      </c>
      <c r="C668" s="261">
        <v>3552.05</v>
      </c>
      <c r="D668">
        <v>-1.6706344812313118E-2</v>
      </c>
    </row>
    <row r="669" spans="2:4" x14ac:dyDescent="0.35">
      <c r="B669" s="262">
        <v>45324</v>
      </c>
      <c r="C669" s="261">
        <v>3612.4</v>
      </c>
      <c r="D669">
        <v>-4.1489200402485844E-3</v>
      </c>
    </row>
    <row r="670" spans="2:4" x14ac:dyDescent="0.35">
      <c r="B670" s="262">
        <v>45323</v>
      </c>
      <c r="C670" s="261">
        <v>3627.45</v>
      </c>
      <c r="D670">
        <v>-1.8958499546997434E-2</v>
      </c>
    </row>
    <row r="671" spans="2:4" x14ac:dyDescent="0.35">
      <c r="B671" s="262">
        <v>45322</v>
      </c>
      <c r="C671" s="261">
        <v>3697.55</v>
      </c>
      <c r="D671">
        <v>-1.0225523656561552E-2</v>
      </c>
    </row>
    <row r="672" spans="2:4" x14ac:dyDescent="0.35">
      <c r="B672" s="262">
        <v>45321</v>
      </c>
      <c r="C672" s="261">
        <v>3735.75</v>
      </c>
      <c r="D672">
        <v>-3.3853594196526733E-2</v>
      </c>
    </row>
    <row r="673" spans="2:4" x14ac:dyDescent="0.35">
      <c r="B673" s="262">
        <v>45320</v>
      </c>
      <c r="C673" s="261">
        <v>3866.65</v>
      </c>
      <c r="D673">
        <v>2.5582197230916204E-2</v>
      </c>
    </row>
    <row r="674" spans="2:4" x14ac:dyDescent="0.35">
      <c r="B674" s="262">
        <v>45316</v>
      </c>
      <c r="C674" s="261">
        <v>3770.2</v>
      </c>
      <c r="D674">
        <v>6.2369786483005142E-4</v>
      </c>
    </row>
    <row r="675" spans="2:4" x14ac:dyDescent="0.35">
      <c r="B675" s="262">
        <v>45315</v>
      </c>
      <c r="C675" s="261">
        <v>3767.85</v>
      </c>
      <c r="D675">
        <v>7.5408126428943394E-3</v>
      </c>
    </row>
    <row r="676" spans="2:4" x14ac:dyDescent="0.35">
      <c r="B676" s="262">
        <v>45314</v>
      </c>
      <c r="C676" s="261">
        <v>3739.65</v>
      </c>
      <c r="D676">
        <v>-1.1903189156339929E-2</v>
      </c>
    </row>
    <row r="677" spans="2:4" x14ac:dyDescent="0.35">
      <c r="B677" s="262">
        <v>45311</v>
      </c>
      <c r="C677" s="261">
        <v>3784.7</v>
      </c>
      <c r="D677">
        <v>-6.7968298955545297E-3</v>
      </c>
    </row>
    <row r="678" spans="2:4" x14ac:dyDescent="0.35">
      <c r="B678" s="262">
        <v>45310</v>
      </c>
      <c r="C678" s="261">
        <v>3810.6</v>
      </c>
      <c r="D678">
        <v>2.0322917503413956E-2</v>
      </c>
    </row>
    <row r="679" spans="2:4" x14ac:dyDescent="0.35">
      <c r="B679" s="262">
        <v>45309</v>
      </c>
      <c r="C679" s="261">
        <v>3734.7</v>
      </c>
      <c r="D679">
        <v>-2.4895236354616875E-2</v>
      </c>
    </row>
    <row r="680" spans="2:4" x14ac:dyDescent="0.35">
      <c r="B680" s="262">
        <v>45308</v>
      </c>
      <c r="C680" s="261">
        <v>3830.05</v>
      </c>
      <c r="D680">
        <v>2.5521555898751404E-3</v>
      </c>
    </row>
    <row r="681" spans="2:4" x14ac:dyDescent="0.35">
      <c r="B681" s="262">
        <v>45307</v>
      </c>
      <c r="C681" s="261">
        <v>3820.3</v>
      </c>
      <c r="D681">
        <v>1.6348085185628657E-2</v>
      </c>
    </row>
    <row r="682" spans="2:4" x14ac:dyDescent="0.35">
      <c r="B682" s="262">
        <v>45306</v>
      </c>
      <c r="C682" s="261">
        <v>3758.85</v>
      </c>
      <c r="D682">
        <v>8.8164251207729222E-3</v>
      </c>
    </row>
    <row r="683" spans="2:4" x14ac:dyDescent="0.35">
      <c r="B683" s="262">
        <v>45303</v>
      </c>
      <c r="C683" s="261">
        <v>3726</v>
      </c>
      <c r="D683">
        <v>7.408208511328636E-3</v>
      </c>
    </row>
    <row r="684" spans="2:4" x14ac:dyDescent="0.35">
      <c r="B684" s="262">
        <v>45302</v>
      </c>
      <c r="C684" s="261">
        <v>3698.6</v>
      </c>
      <c r="D684">
        <v>-4.2671189543539174E-3</v>
      </c>
    </row>
    <row r="685" spans="2:4" x14ac:dyDescent="0.35">
      <c r="B685" s="262">
        <v>45301</v>
      </c>
      <c r="C685" s="261">
        <v>3714.45</v>
      </c>
      <c r="D685">
        <v>5.5360043313480833E-3</v>
      </c>
    </row>
    <row r="686" spans="2:4" x14ac:dyDescent="0.35">
      <c r="B686" s="262"/>
      <c r="C686" s="261"/>
    </row>
  </sheetData>
  <mergeCells count="1">
    <mergeCell ref="F3:J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10003"/>
  <sheetViews>
    <sheetView showGridLines="0" zoomScale="57" workbookViewId="0">
      <selection activeCell="L42" sqref="L42"/>
    </sheetView>
  </sheetViews>
  <sheetFormatPr defaultRowHeight="14.5" x14ac:dyDescent="0.35"/>
  <cols>
    <col min="1" max="1" width="2.1796875" customWidth="1"/>
    <col min="2" max="2" width="10.453125" style="125" bestFit="1" customWidth="1"/>
    <col min="3" max="3" width="10.7265625" style="260" customWidth="1"/>
    <col min="4" max="4" width="15.453125" customWidth="1"/>
    <col min="5" max="5" width="13.1796875" customWidth="1"/>
    <col min="6" max="6" width="17.08984375" bestFit="1" customWidth="1"/>
    <col min="7" max="7" width="4.08984375" customWidth="1"/>
    <col min="8" max="8" width="5" customWidth="1"/>
    <col min="9" max="9" width="14.453125" customWidth="1"/>
    <col min="10" max="10" width="10.1796875" bestFit="1" customWidth="1"/>
    <col min="11" max="11" width="9.90625" bestFit="1" customWidth="1"/>
    <col min="12" max="12" width="11.81640625" bestFit="1" customWidth="1"/>
  </cols>
  <sheetData>
    <row r="3" spans="2:13" x14ac:dyDescent="0.35">
      <c r="B3" s="313" t="s">
        <v>259</v>
      </c>
      <c r="C3" s="296" t="s">
        <v>260</v>
      </c>
      <c r="D3" s="296" t="s">
        <v>483</v>
      </c>
      <c r="E3" s="296" t="s">
        <v>493</v>
      </c>
      <c r="F3" s="296" t="s">
        <v>494</v>
      </c>
      <c r="G3" s="296"/>
      <c r="I3" s="352" t="s">
        <v>484</v>
      </c>
      <c r="J3" s="352"/>
      <c r="K3" s="352"/>
      <c r="L3" s="352"/>
      <c r="M3" s="352"/>
    </row>
    <row r="4" spans="2:13" x14ac:dyDescent="0.35">
      <c r="B4" s="262">
        <v>46304</v>
      </c>
      <c r="C4" s="261">
        <v>4406.3999999999996</v>
      </c>
      <c r="D4">
        <v>1.0758114462667653E-2</v>
      </c>
      <c r="E4">
        <v>1</v>
      </c>
      <c r="F4">
        <f ca="1">_xlfn.NORM.INV(RAND(),M$6,M$7)</f>
        <v>2.6184799930459142E-2</v>
      </c>
      <c r="I4" s="10"/>
    </row>
    <row r="5" spans="2:13" x14ac:dyDescent="0.35">
      <c r="B5" s="262">
        <v>46303</v>
      </c>
      <c r="C5" s="261">
        <v>4359.5</v>
      </c>
      <c r="D5">
        <v>-3.9981722641078367E-3</v>
      </c>
      <c r="E5">
        <v>2</v>
      </c>
      <c r="F5">
        <f t="shared" ref="F5:F68" ca="1" si="0">_xlfn.NORM.INV(RAND(),M$6,M$7)</f>
        <v>-4.0216227070849356E-3</v>
      </c>
      <c r="I5" s="10" t="s">
        <v>495</v>
      </c>
    </row>
    <row r="6" spans="2:13" x14ac:dyDescent="0.35">
      <c r="B6" s="262">
        <v>46302</v>
      </c>
      <c r="C6" s="261">
        <v>4377</v>
      </c>
      <c r="D6">
        <v>-3.8021978021978022E-2</v>
      </c>
      <c r="E6">
        <v>3</v>
      </c>
      <c r="F6">
        <f t="shared" ca="1" si="0"/>
        <v>2.2439876681345726E-3</v>
      </c>
      <c r="I6" s="263" t="s">
        <v>187</v>
      </c>
      <c r="J6" s="263"/>
      <c r="K6" s="263"/>
      <c r="L6" s="263"/>
      <c r="M6" s="264">
        <f>AVERAGE(D4:D685)</f>
        <v>3.6504918399916589E-4</v>
      </c>
    </row>
    <row r="7" spans="2:13" x14ac:dyDescent="0.35">
      <c r="B7" s="262">
        <v>46301</v>
      </c>
      <c r="C7" s="261">
        <v>4550</v>
      </c>
      <c r="D7">
        <v>-6.5502183406113534E-3</v>
      </c>
      <c r="E7">
        <v>4</v>
      </c>
      <c r="F7">
        <f t="shared" ca="1" si="0"/>
        <v>4.3693394730336833E-3</v>
      </c>
      <c r="I7" s="263" t="s">
        <v>485</v>
      </c>
      <c r="J7" s="263"/>
      <c r="K7" s="263"/>
      <c r="L7" s="263"/>
      <c r="M7" s="264">
        <f>_xlfn.STDEV.S(D4:D685)</f>
        <v>1.4594658812561797E-2</v>
      </c>
    </row>
    <row r="8" spans="2:13" x14ac:dyDescent="0.35">
      <c r="B8" s="262">
        <v>46300</v>
      </c>
      <c r="C8" s="261">
        <v>4580</v>
      </c>
      <c r="D8">
        <v>1.4239209867794624E-2</v>
      </c>
      <c r="E8">
        <v>5</v>
      </c>
      <c r="F8">
        <f t="shared" ca="1" si="0"/>
        <v>2.0267120316629469E-2</v>
      </c>
      <c r="I8" s="263" t="s">
        <v>486</v>
      </c>
      <c r="J8" s="263"/>
      <c r="K8" s="263"/>
      <c r="L8" s="263"/>
      <c r="M8" s="264">
        <f>MIN(D4:D685)</f>
        <v>-7.1804521916296438E-2</v>
      </c>
    </row>
    <row r="9" spans="2:13" x14ac:dyDescent="0.35">
      <c r="B9" s="262">
        <v>46296</v>
      </c>
      <c r="C9" s="261">
        <v>4515.7</v>
      </c>
      <c r="D9">
        <v>-1.5543928493568821E-2</v>
      </c>
      <c r="E9">
        <v>6</v>
      </c>
      <c r="F9">
        <f t="shared" ca="1" si="0"/>
        <v>2.8082701487759293E-2</v>
      </c>
      <c r="I9" s="263" t="s">
        <v>487</v>
      </c>
      <c r="J9" s="263"/>
      <c r="K9" s="263"/>
      <c r="L9" s="263"/>
      <c r="M9" s="264">
        <f>MAX(D4:D685)</f>
        <v>6.5264484014195975E-2</v>
      </c>
    </row>
    <row r="10" spans="2:13" x14ac:dyDescent="0.35">
      <c r="B10" s="262">
        <v>46295</v>
      </c>
      <c r="C10" s="261">
        <v>4587</v>
      </c>
      <c r="D10">
        <v>-1.8823529411764704E-2</v>
      </c>
      <c r="E10">
        <v>7</v>
      </c>
      <c r="F10">
        <f t="shared" ca="1" si="0"/>
        <v>2.0801257991036305E-2</v>
      </c>
      <c r="I10" s="263" t="s">
        <v>371</v>
      </c>
      <c r="J10" s="263"/>
      <c r="K10" s="263"/>
      <c r="L10" s="263"/>
      <c r="M10" s="275">
        <v>4406.3999999999996</v>
      </c>
    </row>
    <row r="11" spans="2:13" x14ac:dyDescent="0.35">
      <c r="B11" s="262">
        <v>46294</v>
      </c>
      <c r="C11" s="261">
        <v>4675</v>
      </c>
      <c r="D11">
        <v>-2.9982363315696647E-2</v>
      </c>
      <c r="E11">
        <v>8</v>
      </c>
      <c r="F11">
        <f t="shared" ca="1" si="0"/>
        <v>1.362667861810847E-3</v>
      </c>
      <c r="I11" s="8"/>
      <c r="J11" s="8"/>
      <c r="K11" s="8"/>
      <c r="L11" s="8"/>
      <c r="M11" s="274"/>
    </row>
    <row r="12" spans="2:13" x14ac:dyDescent="0.35">
      <c r="B12" s="262">
        <v>46293</v>
      </c>
      <c r="C12" s="261">
        <v>4819.5</v>
      </c>
      <c r="D12">
        <v>-1.3206388206388206E-2</v>
      </c>
      <c r="E12">
        <v>9</v>
      </c>
      <c r="F12">
        <f t="shared" ca="1" si="0"/>
        <v>1.3900175088726227E-2</v>
      </c>
      <c r="I12" s="10" t="s">
        <v>496</v>
      </c>
    </row>
    <row r="13" spans="2:13" x14ac:dyDescent="0.35">
      <c r="B13" s="262">
        <v>46290</v>
      </c>
      <c r="C13" s="261">
        <v>4884</v>
      </c>
      <c r="D13">
        <v>1.065700982928091E-2</v>
      </c>
      <c r="E13">
        <v>10</v>
      </c>
      <c r="F13">
        <f t="shared" ca="1" si="0"/>
        <v>4.5375982226291221E-3</v>
      </c>
      <c r="I13" s="263" t="s">
        <v>187</v>
      </c>
      <c r="J13" s="263"/>
      <c r="K13" s="263"/>
      <c r="L13" s="263"/>
      <c r="M13" s="264">
        <f ca="1">AVERAGE(F4:F10003)</f>
        <v>3.3169485424390695E-4</v>
      </c>
    </row>
    <row r="14" spans="2:13" x14ac:dyDescent="0.35">
      <c r="B14" s="262">
        <v>46289</v>
      </c>
      <c r="C14" s="261">
        <v>4832.5</v>
      </c>
      <c r="D14">
        <v>-9.7336065573770496E-3</v>
      </c>
      <c r="E14">
        <v>11</v>
      </c>
      <c r="F14">
        <f t="shared" ca="1" si="0"/>
        <v>2.2221019685572056E-2</v>
      </c>
      <c r="I14" s="263" t="s">
        <v>485</v>
      </c>
      <c r="J14" s="263"/>
      <c r="K14" s="263"/>
      <c r="L14" s="263"/>
      <c r="M14" s="264">
        <f ca="1">_xlfn.STDEV.S(F4:F10003)</f>
        <v>1.484459940025404E-2</v>
      </c>
    </row>
    <row r="15" spans="2:13" x14ac:dyDescent="0.35">
      <c r="B15" s="262">
        <v>46288</v>
      </c>
      <c r="C15" s="261">
        <v>4880</v>
      </c>
      <c r="D15">
        <v>-9.8407223293091196E-3</v>
      </c>
      <c r="E15">
        <v>12</v>
      </c>
      <c r="F15">
        <f t="shared" ca="1" si="0"/>
        <v>1.2581088987322583E-3</v>
      </c>
      <c r="I15" s="263" t="s">
        <v>486</v>
      </c>
      <c r="J15" s="263"/>
      <c r="K15" s="263"/>
      <c r="L15" s="263"/>
      <c r="M15" s="264">
        <f ca="1">MIN(F4:F10003)</f>
        <v>-5.5316207759086897E-2</v>
      </c>
    </row>
    <row r="16" spans="2:13" x14ac:dyDescent="0.35">
      <c r="B16" s="262">
        <v>46287</v>
      </c>
      <c r="C16" s="261">
        <v>4928.5</v>
      </c>
      <c r="D16">
        <v>1.0974358974358974E-2</v>
      </c>
      <c r="E16">
        <v>13</v>
      </c>
      <c r="F16">
        <f t="shared" ca="1" si="0"/>
        <v>-1.5188642066327526E-3</v>
      </c>
      <c r="I16" s="263" t="s">
        <v>487</v>
      </c>
      <c r="J16" s="263"/>
      <c r="K16" s="263"/>
      <c r="L16" s="263"/>
      <c r="M16" s="264">
        <f ca="1">MAX(F4:F10003)</f>
        <v>5.4178480490603843E-2</v>
      </c>
    </row>
    <row r="17" spans="2:13" x14ac:dyDescent="0.35">
      <c r="B17" s="262">
        <v>46286</v>
      </c>
      <c r="C17" s="261">
        <v>4875</v>
      </c>
      <c r="D17">
        <v>1.594248202563301E-2</v>
      </c>
      <c r="E17">
        <v>14</v>
      </c>
      <c r="F17">
        <f t="shared" ca="1" si="0"/>
        <v>2.5483477670940089E-2</v>
      </c>
      <c r="I17" s="263" t="s">
        <v>371</v>
      </c>
      <c r="J17" s="263"/>
      <c r="K17" s="263"/>
      <c r="L17" s="263"/>
      <c r="M17" s="275">
        <v>4406.3999999999996</v>
      </c>
    </row>
    <row r="18" spans="2:13" x14ac:dyDescent="0.35">
      <c r="B18" s="262">
        <v>46283</v>
      </c>
      <c r="C18" s="261">
        <v>4798.5</v>
      </c>
      <c r="D18">
        <v>-8.7791778558149146E-3</v>
      </c>
      <c r="E18">
        <v>15</v>
      </c>
      <c r="F18">
        <f t="shared" ca="1" si="0"/>
        <v>-2.872281662773811E-2</v>
      </c>
    </row>
    <row r="19" spans="2:13" x14ac:dyDescent="0.35">
      <c r="B19" s="262">
        <v>46282</v>
      </c>
      <c r="C19" s="261">
        <v>4841</v>
      </c>
      <c r="D19">
        <v>-1.3751655291840685E-2</v>
      </c>
      <c r="E19">
        <v>16</v>
      </c>
      <c r="F19">
        <f t="shared" ca="1" si="0"/>
        <v>4.515928695565153E-3</v>
      </c>
      <c r="I19" s="225" t="s">
        <v>488</v>
      </c>
      <c r="J19" s="135" t="s">
        <v>492</v>
      </c>
      <c r="K19" s="266" t="s">
        <v>489</v>
      </c>
      <c r="L19" s="266" t="s">
        <v>490</v>
      </c>
      <c r="M19" s="266" t="s">
        <v>491</v>
      </c>
    </row>
    <row r="20" spans="2:13" x14ac:dyDescent="0.35">
      <c r="B20" s="262">
        <v>46281</v>
      </c>
      <c r="C20" s="261">
        <v>4908.5</v>
      </c>
      <c r="D20">
        <v>1.0811367380560133E-2</v>
      </c>
      <c r="E20">
        <v>17</v>
      </c>
      <c r="F20">
        <f t="shared" ca="1" si="0"/>
        <v>7.9866649744852001E-3</v>
      </c>
      <c r="I20" s="267">
        <v>0.05</v>
      </c>
      <c r="J20" s="95">
        <f>100%-I20</f>
        <v>0.95</v>
      </c>
      <c r="K20" s="96">
        <f ca="1">_xlfn.PERCENTILE.INC(F4:F10003,I20)</f>
        <v>-2.3983071931074698E-2</v>
      </c>
      <c r="L20" s="90">
        <f ca="1">$M$10*(1-K20)</f>
        <v>4512.0790081570876</v>
      </c>
      <c r="M20" s="97">
        <f ca="1">$M$10-L20</f>
        <v>-105.67900815708799</v>
      </c>
    </row>
    <row r="21" spans="2:13" x14ac:dyDescent="0.35">
      <c r="B21" s="262">
        <v>46280</v>
      </c>
      <c r="C21" s="261">
        <v>4856</v>
      </c>
      <c r="D21">
        <v>-3.0641780616828027E-2</v>
      </c>
      <c r="E21">
        <v>18</v>
      </c>
      <c r="F21">
        <f t="shared" ca="1" si="0"/>
        <v>-1.1448539857342689E-2</v>
      </c>
      <c r="I21" s="269">
        <v>0.01</v>
      </c>
      <c r="J21" s="270">
        <f>100%-I21</f>
        <v>0.99</v>
      </c>
      <c r="K21" s="271">
        <f ca="1">_xlfn.PERCENTILE.INC(F4:F10003,I21)</f>
        <v>-3.4278997229088212E-2</v>
      </c>
      <c r="L21" s="272">
        <f t="shared" ref="L21:L22" ca="1" si="1">$M$10*(1-K21)</f>
        <v>4557.4469733902542</v>
      </c>
      <c r="M21" s="273">
        <f t="shared" ref="M21:M22" ca="1" si="2">$M$10-L21</f>
        <v>-151.04697339025461</v>
      </c>
    </row>
    <row r="22" spans="2:13" x14ac:dyDescent="0.35">
      <c r="B22" s="262">
        <v>46276</v>
      </c>
      <c r="C22" s="261">
        <v>5009.5</v>
      </c>
      <c r="D22">
        <v>-2.2903804023102969E-3</v>
      </c>
      <c r="E22">
        <v>19</v>
      </c>
      <c r="F22">
        <f t="shared" ca="1" si="0"/>
        <v>1.8468508327302263E-2</v>
      </c>
      <c r="I22" s="66">
        <v>5.0000000000000001E-3</v>
      </c>
      <c r="J22" s="66">
        <f>100%-I22</f>
        <v>0.995</v>
      </c>
      <c r="K22" s="51">
        <f ca="1">_xlfn.PERCENTILE.INC(F4:F10003,I22)</f>
        <v>-3.7856548648546942E-2</v>
      </c>
      <c r="L22" s="49">
        <f t="shared" ca="1" si="1"/>
        <v>4573.2110959649572</v>
      </c>
      <c r="M22" s="268">
        <f t="shared" ca="1" si="2"/>
        <v>-166.81109596495753</v>
      </c>
    </row>
    <row r="23" spans="2:13" x14ac:dyDescent="0.35">
      <c r="B23" s="262">
        <v>46275</v>
      </c>
      <c r="C23" s="261">
        <v>5021</v>
      </c>
      <c r="D23">
        <v>3.1968031968031968E-3</v>
      </c>
      <c r="E23">
        <v>20</v>
      </c>
      <c r="F23">
        <f t="shared" ca="1" si="0"/>
        <v>-9.9481101634540763E-3</v>
      </c>
    </row>
    <row r="24" spans="2:13" x14ac:dyDescent="0.35">
      <c r="B24" s="262">
        <v>46274</v>
      </c>
      <c r="C24" s="261">
        <v>5005</v>
      </c>
      <c r="D24">
        <v>3.6093843994385402E-3</v>
      </c>
      <c r="E24">
        <v>21</v>
      </c>
      <c r="F24">
        <f t="shared" ca="1" si="0"/>
        <v>3.1900869427633267E-2</v>
      </c>
    </row>
    <row r="25" spans="2:13" x14ac:dyDescent="0.35">
      <c r="B25" s="262">
        <v>46273</v>
      </c>
      <c r="C25" s="261">
        <v>4987</v>
      </c>
      <c r="D25">
        <v>-1.6016016016016017E-3</v>
      </c>
      <c r="E25">
        <v>22</v>
      </c>
      <c r="F25">
        <f t="shared" ca="1" si="0"/>
        <v>1.097069312975211E-2</v>
      </c>
    </row>
    <row r="26" spans="2:13" x14ac:dyDescent="0.35">
      <c r="B26" s="262">
        <v>46272</v>
      </c>
      <c r="C26" s="261">
        <v>4995</v>
      </c>
      <c r="D26">
        <v>-4.9800796812749003E-3</v>
      </c>
      <c r="E26">
        <v>23</v>
      </c>
      <c r="F26">
        <f t="shared" ca="1" si="0"/>
        <v>1.2303246972680554E-2</v>
      </c>
    </row>
    <row r="27" spans="2:13" x14ac:dyDescent="0.35">
      <c r="B27" s="262">
        <v>46269</v>
      </c>
      <c r="C27" s="261">
        <v>5020</v>
      </c>
      <c r="D27">
        <v>-1.3924806047344342E-3</v>
      </c>
      <c r="E27">
        <v>24</v>
      </c>
      <c r="F27">
        <f t="shared" ca="1" si="0"/>
        <v>1.7379366019065978E-2</v>
      </c>
    </row>
    <row r="28" spans="2:13" x14ac:dyDescent="0.35">
      <c r="B28" s="262">
        <v>46268</v>
      </c>
      <c r="C28" s="261">
        <v>5027</v>
      </c>
      <c r="D28">
        <v>-9.2629089475758774E-3</v>
      </c>
      <c r="E28">
        <v>25</v>
      </c>
      <c r="F28">
        <f t="shared" ca="1" si="0"/>
        <v>-2.7490253188356958E-2</v>
      </c>
    </row>
    <row r="29" spans="2:13" x14ac:dyDescent="0.35">
      <c r="B29" s="262">
        <v>46267</v>
      </c>
      <c r="C29" s="261">
        <v>5074</v>
      </c>
      <c r="D29">
        <v>4.7524752475247524E-3</v>
      </c>
      <c r="E29">
        <v>26</v>
      </c>
      <c r="F29">
        <f t="shared" ca="1" si="0"/>
        <v>-1.2712666102750425E-2</v>
      </c>
    </row>
    <row r="30" spans="2:13" x14ac:dyDescent="0.35">
      <c r="B30" s="262">
        <v>46266</v>
      </c>
      <c r="C30" s="261">
        <v>5050</v>
      </c>
      <c r="D30">
        <v>-1.0269677014738092E-2</v>
      </c>
      <c r="E30">
        <v>27</v>
      </c>
      <c r="F30">
        <f t="shared" ca="1" si="0"/>
        <v>-1.0350946755614671E-2</v>
      </c>
    </row>
    <row r="31" spans="2:13" x14ac:dyDescent="0.35">
      <c r="B31" s="262">
        <v>46265</v>
      </c>
      <c r="C31" s="261">
        <v>5102.3999999999996</v>
      </c>
      <c r="D31">
        <v>-1.2922695968428419E-2</v>
      </c>
      <c r="E31">
        <v>28</v>
      </c>
      <c r="F31">
        <f t="shared" ca="1" si="0"/>
        <v>-3.8967626774073678E-2</v>
      </c>
    </row>
    <row r="32" spans="2:13" x14ac:dyDescent="0.35">
      <c r="B32" s="262">
        <v>46262</v>
      </c>
      <c r="C32" s="261">
        <v>5169.2</v>
      </c>
      <c r="D32">
        <v>5.8179129453426797E-3</v>
      </c>
      <c r="E32">
        <v>29</v>
      </c>
      <c r="F32">
        <f t="shared" ca="1" si="0"/>
        <v>-5.786265247383314E-3</v>
      </c>
    </row>
    <row r="33" spans="2:6" x14ac:dyDescent="0.35">
      <c r="B33" s="262">
        <v>46261</v>
      </c>
      <c r="C33" s="261">
        <v>5139.3</v>
      </c>
      <c r="D33">
        <v>7.7058823529412125E-3</v>
      </c>
      <c r="E33">
        <v>30</v>
      </c>
      <c r="F33">
        <f t="shared" ca="1" si="0"/>
        <v>1.0388334957132083E-2</v>
      </c>
    </row>
    <row r="34" spans="2:6" x14ac:dyDescent="0.35">
      <c r="B34" s="262">
        <v>46260</v>
      </c>
      <c r="C34" s="261">
        <v>5100</v>
      </c>
      <c r="D34">
        <v>-4.8392132375897953E-3</v>
      </c>
      <c r="E34">
        <v>31</v>
      </c>
      <c r="F34">
        <f t="shared" ca="1" si="0"/>
        <v>1.3888666682059793E-2</v>
      </c>
    </row>
    <row r="35" spans="2:6" x14ac:dyDescent="0.35">
      <c r="B35" s="262">
        <v>46259</v>
      </c>
      <c r="C35" s="261">
        <v>5124.8</v>
      </c>
      <c r="D35">
        <v>9.0175231344753262E-3</v>
      </c>
      <c r="E35">
        <v>32</v>
      </c>
      <c r="F35">
        <f t="shared" ca="1" si="0"/>
        <v>1.1280504047961624E-2</v>
      </c>
    </row>
    <row r="36" spans="2:6" x14ac:dyDescent="0.35">
      <c r="B36" s="262">
        <v>46258</v>
      </c>
      <c r="C36" s="261">
        <v>5079</v>
      </c>
      <c r="D36">
        <v>-1.3959615422426542E-3</v>
      </c>
      <c r="E36">
        <v>33</v>
      </c>
      <c r="F36">
        <f t="shared" ca="1" si="0"/>
        <v>-2.6488911518192194E-2</v>
      </c>
    </row>
    <row r="37" spans="2:6" x14ac:dyDescent="0.35">
      <c r="B37" s="262">
        <v>46255</v>
      </c>
      <c r="C37" s="261">
        <v>5086.1000000000004</v>
      </c>
      <c r="D37">
        <v>3.5714285714286433E-3</v>
      </c>
      <c r="E37">
        <v>34</v>
      </c>
      <c r="F37">
        <f t="shared" ca="1" si="0"/>
        <v>1.9980607958588865E-2</v>
      </c>
    </row>
    <row r="38" spans="2:6" x14ac:dyDescent="0.35">
      <c r="B38" s="262">
        <v>46254</v>
      </c>
      <c r="C38" s="261">
        <v>5068</v>
      </c>
      <c r="D38">
        <v>0</v>
      </c>
      <c r="E38">
        <v>35</v>
      </c>
      <c r="F38">
        <f t="shared" ca="1" si="0"/>
        <v>-1.1753109965133275E-2</v>
      </c>
    </row>
    <row r="39" spans="2:6" x14ac:dyDescent="0.35">
      <c r="B39" s="262">
        <v>46253</v>
      </c>
      <c r="C39" s="261">
        <v>5068</v>
      </c>
      <c r="D39">
        <v>3.8426494473714763E-3</v>
      </c>
      <c r="E39">
        <v>36</v>
      </c>
      <c r="F39">
        <f t="shared" ca="1" si="0"/>
        <v>4.2022573084126444E-3</v>
      </c>
    </row>
    <row r="40" spans="2:6" x14ac:dyDescent="0.35">
      <c r="B40" s="262">
        <v>46252</v>
      </c>
      <c r="C40" s="261">
        <v>5048.6000000000004</v>
      </c>
      <c r="D40">
        <v>-3.9262109105257246E-3</v>
      </c>
      <c r="E40">
        <v>37</v>
      </c>
      <c r="F40">
        <f t="shared" ca="1" si="0"/>
        <v>-6.8479961487469647E-3</v>
      </c>
    </row>
    <row r="41" spans="2:6" x14ac:dyDescent="0.35">
      <c r="B41" s="262">
        <v>46251</v>
      </c>
      <c r="C41" s="261">
        <v>5068.5</v>
      </c>
      <c r="D41">
        <v>2.4326569360389586E-3</v>
      </c>
      <c r="E41">
        <v>38</v>
      </c>
      <c r="F41">
        <f t="shared" ca="1" si="0"/>
        <v>-1.7964772844515382E-2</v>
      </c>
    </row>
    <row r="42" spans="2:6" x14ac:dyDescent="0.35">
      <c r="B42" s="262">
        <v>46248</v>
      </c>
      <c r="C42" s="261">
        <v>5056.2</v>
      </c>
      <c r="D42">
        <v>-1.4811303987203033E-3</v>
      </c>
      <c r="E42">
        <v>39</v>
      </c>
      <c r="F42">
        <f t="shared" ca="1" si="0"/>
        <v>8.3115843973528489E-3</v>
      </c>
    </row>
    <row r="43" spans="2:6" x14ac:dyDescent="0.35">
      <c r="B43" s="262">
        <v>46247</v>
      </c>
      <c r="C43" s="261">
        <v>5063.7</v>
      </c>
      <c r="D43">
        <v>-6.9229260639341404E-3</v>
      </c>
      <c r="E43">
        <v>40</v>
      </c>
      <c r="F43">
        <f t="shared" ca="1" si="0"/>
        <v>2.8633554380782318E-3</v>
      </c>
    </row>
    <row r="44" spans="2:6" x14ac:dyDescent="0.35">
      <c r="B44" s="262">
        <v>46246</v>
      </c>
      <c r="C44" s="261">
        <v>5099</v>
      </c>
      <c r="D44">
        <v>-5.6552262090483621E-3</v>
      </c>
      <c r="E44">
        <v>41</v>
      </c>
      <c r="F44">
        <f t="shared" ca="1" si="0"/>
        <v>-7.3865831180962398E-3</v>
      </c>
    </row>
    <row r="45" spans="2:6" x14ac:dyDescent="0.35">
      <c r="B45" s="262">
        <v>46245</v>
      </c>
      <c r="C45" s="261">
        <v>5128</v>
      </c>
      <c r="D45">
        <v>7.4656188605108052E-3</v>
      </c>
      <c r="E45">
        <v>42</v>
      </c>
      <c r="F45">
        <f t="shared" ca="1" si="0"/>
        <v>3.0857204171109716E-2</v>
      </c>
    </row>
    <row r="46" spans="2:6" x14ac:dyDescent="0.35">
      <c r="B46" s="262">
        <v>46244</v>
      </c>
      <c r="C46" s="261">
        <v>5090</v>
      </c>
      <c r="D46">
        <v>3.0155838899008299E-2</v>
      </c>
      <c r="E46">
        <v>43</v>
      </c>
      <c r="F46">
        <f t="shared" ca="1" si="0"/>
        <v>-1.8939360064733055E-2</v>
      </c>
    </row>
    <row r="47" spans="2:6" x14ac:dyDescent="0.35">
      <c r="B47" s="262">
        <v>46241</v>
      </c>
      <c r="C47" s="261">
        <v>4941</v>
      </c>
      <c r="D47">
        <v>-1.1404561824729893E-2</v>
      </c>
      <c r="E47">
        <v>44</v>
      </c>
      <c r="F47">
        <f t="shared" ca="1" si="0"/>
        <v>1.6977979909367949E-3</v>
      </c>
    </row>
    <row r="48" spans="2:6" x14ac:dyDescent="0.35">
      <c r="B48" s="262">
        <v>46240</v>
      </c>
      <c r="C48" s="261">
        <v>4998</v>
      </c>
      <c r="D48">
        <v>1.7425291100073358E-2</v>
      </c>
      <c r="E48">
        <v>45</v>
      </c>
      <c r="F48">
        <f t="shared" ca="1" si="0"/>
        <v>1.7635336168714464E-2</v>
      </c>
    </row>
    <row r="49" spans="2:6" x14ac:dyDescent="0.35">
      <c r="B49" s="262">
        <v>46239</v>
      </c>
      <c r="C49" s="261">
        <v>4912.3999999999996</v>
      </c>
      <c r="D49">
        <v>-4.5795339412361422E-3</v>
      </c>
      <c r="E49">
        <v>46</v>
      </c>
      <c r="F49">
        <f t="shared" ca="1" si="0"/>
        <v>1.85019105116743E-2</v>
      </c>
    </row>
    <row r="50" spans="2:6" x14ac:dyDescent="0.35">
      <c r="B50" s="262">
        <v>46238</v>
      </c>
      <c r="C50" s="261">
        <v>4935</v>
      </c>
      <c r="D50">
        <v>-1.2999999999999999E-2</v>
      </c>
      <c r="E50">
        <v>47</v>
      </c>
      <c r="F50">
        <f t="shared" ca="1" si="0"/>
        <v>2.3264474957873202E-3</v>
      </c>
    </row>
    <row r="51" spans="2:6" x14ac:dyDescent="0.35">
      <c r="B51" s="262">
        <v>46237</v>
      </c>
      <c r="C51" s="261">
        <v>5000</v>
      </c>
      <c r="D51">
        <v>2.5598949786675457E-2</v>
      </c>
      <c r="E51">
        <v>48</v>
      </c>
      <c r="F51">
        <f t="shared" ca="1" si="0"/>
        <v>3.354925527815223E-2</v>
      </c>
    </row>
    <row r="52" spans="2:6" x14ac:dyDescent="0.35">
      <c r="B52" s="262">
        <v>46234</v>
      </c>
      <c r="C52" s="261">
        <v>4875.2</v>
      </c>
      <c r="D52">
        <v>5.1958762886597561E-3</v>
      </c>
      <c r="E52">
        <v>49</v>
      </c>
      <c r="F52">
        <f t="shared" ca="1" si="0"/>
        <v>-7.3873735336677936E-4</v>
      </c>
    </row>
    <row r="53" spans="2:6" x14ac:dyDescent="0.35">
      <c r="B53" s="262">
        <v>46233</v>
      </c>
      <c r="C53" s="261">
        <v>4850</v>
      </c>
      <c r="D53">
        <v>-4.1235412972623418E-5</v>
      </c>
      <c r="E53">
        <v>50</v>
      </c>
      <c r="F53">
        <f t="shared" ca="1" si="0"/>
        <v>4.3343425589607902E-4</v>
      </c>
    </row>
    <row r="54" spans="2:6" x14ac:dyDescent="0.35">
      <c r="B54" s="262">
        <v>46232</v>
      </c>
      <c r="C54" s="261">
        <v>4850.2</v>
      </c>
      <c r="D54">
        <v>1.0309916077283131E-4</v>
      </c>
      <c r="E54">
        <v>51</v>
      </c>
      <c r="F54">
        <f t="shared" ca="1" si="0"/>
        <v>-8.3926432781512485E-3</v>
      </c>
    </row>
    <row r="55" spans="2:6" x14ac:dyDescent="0.35">
      <c r="B55" s="262">
        <v>46231</v>
      </c>
      <c r="C55" s="261">
        <v>4849.7</v>
      </c>
      <c r="D55">
        <v>2.3121875065926761E-2</v>
      </c>
      <c r="E55">
        <v>52</v>
      </c>
      <c r="F55">
        <f t="shared" ca="1" si="0"/>
        <v>1.3070600500576457E-2</v>
      </c>
    </row>
    <row r="56" spans="2:6" x14ac:dyDescent="0.35">
      <c r="B56" s="262">
        <v>46230</v>
      </c>
      <c r="C56" s="261">
        <v>4740.1000000000004</v>
      </c>
      <c r="D56">
        <v>1.3491554415223511E-2</v>
      </c>
      <c r="E56">
        <v>53</v>
      </c>
      <c r="F56">
        <f t="shared" ca="1" si="0"/>
        <v>-4.8709636961974867E-3</v>
      </c>
    </row>
    <row r="57" spans="2:6" x14ac:dyDescent="0.35">
      <c r="B57" s="262">
        <v>46227</v>
      </c>
      <c r="C57" s="261">
        <v>4677</v>
      </c>
      <c r="D57">
        <v>-4.3216315755860131E-3</v>
      </c>
      <c r="E57">
        <v>54</v>
      </c>
      <c r="F57">
        <f t="shared" ca="1" si="0"/>
        <v>-9.0276890156245158E-3</v>
      </c>
    </row>
    <row r="58" spans="2:6" x14ac:dyDescent="0.35">
      <c r="B58" s="262">
        <v>46226</v>
      </c>
      <c r="C58" s="261">
        <v>4697.3</v>
      </c>
      <c r="D58">
        <v>-3.0350623991850286E-3</v>
      </c>
      <c r="E58">
        <v>55</v>
      </c>
      <c r="F58">
        <f t="shared" ca="1" si="0"/>
        <v>-1.7762739850437949E-2</v>
      </c>
    </row>
    <row r="59" spans="2:6" x14ac:dyDescent="0.35">
      <c r="B59" s="262">
        <v>46225</v>
      </c>
      <c r="C59" s="261">
        <v>4711.6000000000004</v>
      </c>
      <c r="D59">
        <v>4.8840830080833803E-3</v>
      </c>
      <c r="E59">
        <v>56</v>
      </c>
      <c r="F59">
        <f t="shared" ca="1" si="0"/>
        <v>-2.1929327776513397E-2</v>
      </c>
    </row>
    <row r="60" spans="2:6" x14ac:dyDescent="0.35">
      <c r="B60" s="262">
        <v>46224</v>
      </c>
      <c r="C60" s="261">
        <v>4688.7</v>
      </c>
      <c r="D60">
        <v>9.7557824008270202E-3</v>
      </c>
      <c r="E60">
        <v>57</v>
      </c>
      <c r="F60">
        <f t="shared" ca="1" si="0"/>
        <v>4.2678886381845322E-3</v>
      </c>
    </row>
    <row r="61" spans="2:6" x14ac:dyDescent="0.35">
      <c r="B61" s="262">
        <v>46223</v>
      </c>
      <c r="C61" s="261">
        <v>4643.3999999999996</v>
      </c>
      <c r="D61">
        <v>1.1427092990662711E-3</v>
      </c>
      <c r="E61">
        <v>58</v>
      </c>
      <c r="F61">
        <f t="shared" ca="1" si="0"/>
        <v>-2.0558393620792037E-2</v>
      </c>
    </row>
    <row r="62" spans="2:6" x14ac:dyDescent="0.35">
      <c r="B62" s="262">
        <v>46220</v>
      </c>
      <c r="C62" s="261">
        <v>4638.1000000000004</v>
      </c>
      <c r="D62">
        <v>2.6589995244066284E-3</v>
      </c>
      <c r="E62">
        <v>59</v>
      </c>
      <c r="F62">
        <f t="shared" ca="1" si="0"/>
        <v>9.7563871360032695E-3</v>
      </c>
    </row>
    <row r="63" spans="2:6" x14ac:dyDescent="0.35">
      <c r="B63" s="262">
        <v>46219</v>
      </c>
      <c r="C63" s="261">
        <v>4625.8</v>
      </c>
      <c r="D63">
        <v>1.0132331746517131E-2</v>
      </c>
      <c r="E63">
        <v>60</v>
      </c>
      <c r="F63">
        <f t="shared" ca="1" si="0"/>
        <v>-1.1140624309258943E-2</v>
      </c>
    </row>
    <row r="64" spans="2:6" x14ac:dyDescent="0.35">
      <c r="B64" s="262">
        <v>46218</v>
      </c>
      <c r="C64" s="261">
        <v>4579.3999999999996</v>
      </c>
      <c r="D64">
        <v>1.2462557666658982E-3</v>
      </c>
      <c r="E64">
        <v>61</v>
      </c>
      <c r="F64">
        <f t="shared" ca="1" si="0"/>
        <v>1.1914058036272169E-2</v>
      </c>
    </row>
    <row r="65" spans="2:6" x14ac:dyDescent="0.35">
      <c r="B65" s="262">
        <v>46217</v>
      </c>
      <c r="C65" s="261">
        <v>4573.7</v>
      </c>
      <c r="D65">
        <v>-6.0415082038466116E-3</v>
      </c>
      <c r="E65">
        <v>62</v>
      </c>
      <c r="F65">
        <f t="shared" ca="1" si="0"/>
        <v>2.5432326444214667E-2</v>
      </c>
    </row>
    <row r="66" spans="2:6" x14ac:dyDescent="0.35">
      <c r="B66" s="262">
        <v>46216</v>
      </c>
      <c r="C66" s="261">
        <v>4601.5</v>
      </c>
      <c r="D66">
        <v>3.7300410086380693E-3</v>
      </c>
      <c r="E66">
        <v>63</v>
      </c>
      <c r="F66">
        <f t="shared" ca="1" si="0"/>
        <v>-2.3098431836383528E-2</v>
      </c>
    </row>
    <row r="67" spans="2:6" x14ac:dyDescent="0.35">
      <c r="B67" s="262">
        <v>46213</v>
      </c>
      <c r="C67" s="261">
        <v>4584.3999999999996</v>
      </c>
      <c r="D67">
        <v>6.2777119276525425E-3</v>
      </c>
      <c r="E67">
        <v>64</v>
      </c>
      <c r="F67">
        <f t="shared" ca="1" si="0"/>
        <v>-2.6896708606989631E-2</v>
      </c>
    </row>
    <row r="68" spans="2:6" x14ac:dyDescent="0.35">
      <c r="B68" s="262">
        <v>46212</v>
      </c>
      <c r="C68" s="261">
        <v>4555.8</v>
      </c>
      <c r="D68">
        <v>-6.6718995290422677E-3</v>
      </c>
      <c r="E68">
        <v>65</v>
      </c>
      <c r="F68">
        <f t="shared" ca="1" si="0"/>
        <v>-4.7101593425355931E-4</v>
      </c>
    </row>
    <row r="69" spans="2:6" x14ac:dyDescent="0.35">
      <c r="B69" s="262">
        <v>46211</v>
      </c>
      <c r="C69" s="261">
        <v>4586.3999999999996</v>
      </c>
      <c r="D69">
        <v>-3.8660353590200649E-3</v>
      </c>
      <c r="E69">
        <v>66</v>
      </c>
      <c r="F69">
        <f t="shared" ref="F69:F132" ca="1" si="3">_xlfn.NORM.INV(RAND(),M$6,M$7)</f>
        <v>2.70071147345302E-3</v>
      </c>
    </row>
    <row r="70" spans="2:6" x14ac:dyDescent="0.35">
      <c r="B70" s="262">
        <v>46210</v>
      </c>
      <c r="C70" s="261">
        <v>4604.2</v>
      </c>
      <c r="D70">
        <v>2.6714833645526757E-2</v>
      </c>
      <c r="E70">
        <v>67</v>
      </c>
      <c r="F70">
        <f t="shared" ca="1" si="3"/>
        <v>-1.5126334746382893E-2</v>
      </c>
    </row>
    <row r="71" spans="2:6" x14ac:dyDescent="0.35">
      <c r="B71" s="262">
        <v>46209</v>
      </c>
      <c r="C71" s="261">
        <v>4484.3999999999996</v>
      </c>
      <c r="D71">
        <v>5.2229270807646706E-3</v>
      </c>
      <c r="E71">
        <v>68</v>
      </c>
      <c r="F71">
        <f t="shared" ca="1" si="3"/>
        <v>-1.2251922358909617E-3</v>
      </c>
    </row>
    <row r="72" spans="2:6" x14ac:dyDescent="0.35">
      <c r="B72" s="262">
        <v>46206</v>
      </c>
      <c r="C72" s="261">
        <v>4461.1000000000004</v>
      </c>
      <c r="D72">
        <v>-4.4631898417799194E-3</v>
      </c>
      <c r="E72">
        <v>69</v>
      </c>
      <c r="F72">
        <f t="shared" ca="1" si="3"/>
        <v>-1.2187482567358842E-2</v>
      </c>
    </row>
    <row r="73" spans="2:6" x14ac:dyDescent="0.35">
      <c r="B73" s="262">
        <v>46205</v>
      </c>
      <c r="C73" s="261">
        <v>4481.1000000000004</v>
      </c>
      <c r="D73">
        <v>1.8755967807938888E-2</v>
      </c>
      <c r="E73">
        <v>70</v>
      </c>
      <c r="F73">
        <f t="shared" ca="1" si="3"/>
        <v>1.6686505453309283E-2</v>
      </c>
    </row>
    <row r="74" spans="2:6" x14ac:dyDescent="0.35">
      <c r="B74" s="262">
        <v>46204</v>
      </c>
      <c r="C74" s="261">
        <v>4398.6000000000004</v>
      </c>
      <c r="D74">
        <v>-1.2261580381470565E-3</v>
      </c>
      <c r="E74">
        <v>71</v>
      </c>
      <c r="F74">
        <f t="shared" ca="1" si="3"/>
        <v>-1.2954114585008742E-2</v>
      </c>
    </row>
    <row r="75" spans="2:6" x14ac:dyDescent="0.35">
      <c r="B75" s="262">
        <v>46203</v>
      </c>
      <c r="C75" s="261">
        <v>4404</v>
      </c>
      <c r="D75">
        <v>2.964556251753488E-2</v>
      </c>
      <c r="E75">
        <v>72</v>
      </c>
      <c r="F75">
        <f t="shared" ca="1" si="3"/>
        <v>-1.0414483850030938E-2</v>
      </c>
    </row>
    <row r="76" spans="2:6" x14ac:dyDescent="0.35">
      <c r="B76" s="262">
        <v>46202</v>
      </c>
      <c r="C76" s="261">
        <v>4277.2</v>
      </c>
      <c r="D76">
        <v>-3.285717614708914E-3</v>
      </c>
      <c r="E76">
        <v>73</v>
      </c>
      <c r="F76">
        <f t="shared" ca="1" si="3"/>
        <v>5.2651180321269184E-3</v>
      </c>
    </row>
    <row r="77" spans="2:6" x14ac:dyDescent="0.35">
      <c r="B77" s="262">
        <v>46198</v>
      </c>
      <c r="C77" s="261">
        <v>4291.3</v>
      </c>
      <c r="D77">
        <v>-7.5165363800360789E-3</v>
      </c>
      <c r="E77">
        <v>74</v>
      </c>
      <c r="F77">
        <f t="shared" ca="1" si="3"/>
        <v>2.0025020020544826E-3</v>
      </c>
    </row>
    <row r="78" spans="2:6" x14ac:dyDescent="0.35">
      <c r="B78" s="262">
        <v>46197</v>
      </c>
      <c r="C78" s="261">
        <v>4323.8</v>
      </c>
      <c r="D78">
        <v>4.2970292430260376E-3</v>
      </c>
      <c r="E78">
        <v>75</v>
      </c>
      <c r="F78">
        <f t="shared" ca="1" si="3"/>
        <v>-9.530105756234147E-3</v>
      </c>
    </row>
    <row r="79" spans="2:6" x14ac:dyDescent="0.35">
      <c r="B79" s="262">
        <v>46196</v>
      </c>
      <c r="C79" s="261">
        <v>4305.3</v>
      </c>
      <c r="D79">
        <v>-1.536878216123495E-2</v>
      </c>
      <c r="E79">
        <v>76</v>
      </c>
      <c r="F79">
        <f t="shared" ca="1" si="3"/>
        <v>1.4569598125922838E-2</v>
      </c>
    </row>
    <row r="80" spans="2:6" x14ac:dyDescent="0.35">
      <c r="B80" s="262">
        <v>46195</v>
      </c>
      <c r="C80" s="261">
        <v>4372.5</v>
      </c>
      <c r="D80">
        <v>-1.072422452996666E-2</v>
      </c>
      <c r="E80">
        <v>77</v>
      </c>
      <c r="F80">
        <f t="shared" ca="1" si="3"/>
        <v>-8.5139792268689261E-3</v>
      </c>
    </row>
    <row r="81" spans="2:6" x14ac:dyDescent="0.35">
      <c r="B81" s="262">
        <v>46192</v>
      </c>
      <c r="C81" s="261">
        <v>4419.8999999999996</v>
      </c>
      <c r="D81">
        <v>7.2927824243943576E-3</v>
      </c>
      <c r="E81">
        <v>78</v>
      </c>
      <c r="F81">
        <f t="shared" ca="1" si="3"/>
        <v>2.6700415502833284E-2</v>
      </c>
    </row>
    <row r="82" spans="2:6" x14ac:dyDescent="0.35">
      <c r="B82" s="262">
        <v>46191</v>
      </c>
      <c r="C82" s="261">
        <v>4387.8999999999996</v>
      </c>
      <c r="D82">
        <v>1.6893048738727625E-3</v>
      </c>
      <c r="E82">
        <v>79</v>
      </c>
      <c r="F82">
        <f t="shared" ca="1" si="3"/>
        <v>8.7730830203276242E-3</v>
      </c>
    </row>
    <row r="83" spans="2:6" x14ac:dyDescent="0.35">
      <c r="B83" s="262">
        <v>46190</v>
      </c>
      <c r="C83" s="261">
        <v>4380.5</v>
      </c>
      <c r="D83">
        <v>9.797141539880129E-3</v>
      </c>
      <c r="E83">
        <v>80</v>
      </c>
      <c r="F83">
        <f t="shared" ca="1" si="3"/>
        <v>1.4337912955747613E-2</v>
      </c>
    </row>
    <row r="84" spans="2:6" x14ac:dyDescent="0.35">
      <c r="B84" s="262">
        <v>46189</v>
      </c>
      <c r="C84" s="261">
        <v>4338</v>
      </c>
      <c r="D84">
        <v>1.2723240340842769E-2</v>
      </c>
      <c r="E84">
        <v>81</v>
      </c>
      <c r="F84">
        <f t="shared" ca="1" si="3"/>
        <v>-6.11688358997204E-3</v>
      </c>
    </row>
    <row r="85" spans="2:6" x14ac:dyDescent="0.35">
      <c r="B85" s="262">
        <v>46188</v>
      </c>
      <c r="C85" s="261">
        <v>4283.5</v>
      </c>
      <c r="D85">
        <v>2.3781070745697897E-2</v>
      </c>
      <c r="E85">
        <v>82</v>
      </c>
      <c r="F85">
        <f t="shared" ca="1" si="3"/>
        <v>6.9986984547877147E-3</v>
      </c>
    </row>
    <row r="86" spans="2:6" x14ac:dyDescent="0.35">
      <c r="B86" s="262">
        <v>46185</v>
      </c>
      <c r="C86" s="261">
        <v>4184</v>
      </c>
      <c r="D86">
        <v>3.945145582828187E-2</v>
      </c>
      <c r="E86">
        <v>83</v>
      </c>
      <c r="F86">
        <f t="shared" ca="1" si="3"/>
        <v>9.0253422635323995E-3</v>
      </c>
    </row>
    <row r="87" spans="2:6" x14ac:dyDescent="0.35">
      <c r="B87" s="262">
        <v>46184</v>
      </c>
      <c r="C87" s="261">
        <v>4025.2</v>
      </c>
      <c r="D87">
        <v>-4.1809950273372981E-3</v>
      </c>
      <c r="E87">
        <v>84</v>
      </c>
      <c r="F87">
        <f t="shared" ca="1" si="3"/>
        <v>-7.3850965892776352E-3</v>
      </c>
    </row>
    <row r="88" spans="2:6" x14ac:dyDescent="0.35">
      <c r="B88" s="262">
        <v>46183</v>
      </c>
      <c r="C88" s="261">
        <v>4042.1</v>
      </c>
      <c r="D88">
        <v>-1.5298789251869652E-2</v>
      </c>
      <c r="E88">
        <v>85</v>
      </c>
      <c r="F88">
        <f t="shared" ca="1" si="3"/>
        <v>-1.2505589379510526E-2</v>
      </c>
    </row>
    <row r="89" spans="2:6" x14ac:dyDescent="0.35">
      <c r="B89" s="262">
        <v>46182</v>
      </c>
      <c r="C89" s="261">
        <v>4104.8999999999996</v>
      </c>
      <c r="D89">
        <v>-2.0871100085869669E-2</v>
      </c>
      <c r="E89">
        <v>86</v>
      </c>
      <c r="F89">
        <f t="shared" ca="1" si="3"/>
        <v>-1.9686571210140336E-2</v>
      </c>
    </row>
    <row r="90" spans="2:6" x14ac:dyDescent="0.35">
      <c r="B90" s="262">
        <v>46181</v>
      </c>
      <c r="C90" s="261">
        <v>4192.3999999999996</v>
      </c>
      <c r="D90">
        <v>-1.5914745786582835E-2</v>
      </c>
      <c r="E90">
        <v>87</v>
      </c>
      <c r="F90">
        <f t="shared" ca="1" si="3"/>
        <v>-1.8021603676456537E-2</v>
      </c>
    </row>
    <row r="91" spans="2:6" x14ac:dyDescent="0.35">
      <c r="B91" s="262">
        <v>46178</v>
      </c>
      <c r="C91" s="261">
        <v>4260.2</v>
      </c>
      <c r="D91">
        <v>6.9014417395414362E-3</v>
      </c>
      <c r="E91">
        <v>88</v>
      </c>
      <c r="F91">
        <f t="shared" ca="1" si="3"/>
        <v>-1.3731416951309425E-2</v>
      </c>
    </row>
    <row r="92" spans="2:6" x14ac:dyDescent="0.35">
      <c r="B92" s="262">
        <v>46177</v>
      </c>
      <c r="C92" s="261">
        <v>4231</v>
      </c>
      <c r="D92">
        <v>3.4777929954998975E-2</v>
      </c>
      <c r="E92">
        <v>89</v>
      </c>
      <c r="F92">
        <f t="shared" ca="1" si="3"/>
        <v>5.9054354615377359E-4</v>
      </c>
    </row>
    <row r="93" spans="2:6" x14ac:dyDescent="0.35">
      <c r="B93" s="262">
        <v>46176</v>
      </c>
      <c r="C93" s="261">
        <v>4088.8</v>
      </c>
      <c r="D93">
        <v>2.6237708736912466E-3</v>
      </c>
      <c r="E93">
        <v>90</v>
      </c>
      <c r="F93">
        <f t="shared" ca="1" si="3"/>
        <v>-2.0351774824020428E-2</v>
      </c>
    </row>
    <row r="94" spans="2:6" x14ac:dyDescent="0.35">
      <c r="B94" s="262">
        <v>46175</v>
      </c>
      <c r="C94" s="261">
        <v>4078.1</v>
      </c>
      <c r="D94">
        <v>1.3293246533817025E-2</v>
      </c>
      <c r="E94">
        <v>91</v>
      </c>
      <c r="F94">
        <f t="shared" ca="1" si="3"/>
        <v>-1.6727521573376555E-3</v>
      </c>
    </row>
    <row r="95" spans="2:6" x14ac:dyDescent="0.35">
      <c r="B95" s="262">
        <v>46174</v>
      </c>
      <c r="C95" s="261">
        <v>4024.6</v>
      </c>
      <c r="D95">
        <v>-1.2343861199047873E-2</v>
      </c>
      <c r="E95">
        <v>92</v>
      </c>
      <c r="F95">
        <f t="shared" ca="1" si="3"/>
        <v>-3.0667533129615333E-2</v>
      </c>
    </row>
    <row r="96" spans="2:6" x14ac:dyDescent="0.35">
      <c r="B96" s="262">
        <v>46171</v>
      </c>
      <c r="C96" s="261">
        <v>4074.9</v>
      </c>
      <c r="D96">
        <v>-1.5225114188356304E-2</v>
      </c>
      <c r="E96">
        <v>93</v>
      </c>
      <c r="F96">
        <f t="shared" ca="1" si="3"/>
        <v>1.9785343754903414E-2</v>
      </c>
    </row>
    <row r="97" spans="2:6" x14ac:dyDescent="0.35">
      <c r="B97" s="262">
        <v>46169</v>
      </c>
      <c r="C97" s="261">
        <v>4137.8999999999996</v>
      </c>
      <c r="D97">
        <v>7.793662777953677E-3</v>
      </c>
      <c r="E97">
        <v>94</v>
      </c>
      <c r="F97">
        <f t="shared" ca="1" si="3"/>
        <v>1.3515809045809573E-2</v>
      </c>
    </row>
    <row r="98" spans="2:6" x14ac:dyDescent="0.35">
      <c r="B98" s="262">
        <v>46168</v>
      </c>
      <c r="C98" s="261">
        <v>4105.8999999999996</v>
      </c>
      <c r="D98">
        <v>-1.2814964416233936E-2</v>
      </c>
      <c r="E98">
        <v>95</v>
      </c>
      <c r="F98">
        <f t="shared" ca="1" si="3"/>
        <v>2.2581845763338205E-2</v>
      </c>
    </row>
    <row r="99" spans="2:6" x14ac:dyDescent="0.35">
      <c r="B99" s="262">
        <v>46167</v>
      </c>
      <c r="C99" s="261">
        <v>4159.2</v>
      </c>
      <c r="D99">
        <v>1.9461738320505816E-2</v>
      </c>
      <c r="E99">
        <v>96</v>
      </c>
      <c r="F99">
        <f t="shared" ca="1" si="3"/>
        <v>2.7773785581442639E-2</v>
      </c>
    </row>
    <row r="100" spans="2:6" x14ac:dyDescent="0.35">
      <c r="B100" s="262">
        <v>46164</v>
      </c>
      <c r="C100" s="261">
        <v>4079.8</v>
      </c>
      <c r="D100">
        <v>-8.0820944870312441E-4</v>
      </c>
      <c r="E100">
        <v>97</v>
      </c>
      <c r="F100">
        <f t="shared" ca="1" si="3"/>
        <v>2.399697128425677E-2</v>
      </c>
    </row>
    <row r="101" spans="2:6" x14ac:dyDescent="0.35">
      <c r="B101" s="262">
        <v>46163</v>
      </c>
      <c r="C101" s="261">
        <v>4083.1</v>
      </c>
      <c r="D101">
        <v>-5.6740697447885567E-3</v>
      </c>
      <c r="E101">
        <v>98</v>
      </c>
      <c r="F101">
        <f t="shared" ca="1" si="3"/>
        <v>-6.9526408499159757E-3</v>
      </c>
    </row>
    <row r="102" spans="2:6" x14ac:dyDescent="0.35">
      <c r="B102" s="262">
        <v>46162</v>
      </c>
      <c r="C102" s="261">
        <v>4106.3999999999996</v>
      </c>
      <c r="D102">
        <v>1.0726474890296529E-3</v>
      </c>
      <c r="E102">
        <v>99</v>
      </c>
      <c r="F102">
        <f t="shared" ca="1" si="3"/>
        <v>-1.3470072176944471E-2</v>
      </c>
    </row>
    <row r="103" spans="2:6" x14ac:dyDescent="0.35">
      <c r="B103" s="262">
        <v>46161</v>
      </c>
      <c r="C103" s="261">
        <v>4102</v>
      </c>
      <c r="D103">
        <v>-1.6236180060915612E-2</v>
      </c>
      <c r="E103">
        <v>100</v>
      </c>
      <c r="F103">
        <f t="shared" ca="1" si="3"/>
        <v>-6.7681690690811237E-3</v>
      </c>
    </row>
    <row r="104" spans="2:6" x14ac:dyDescent="0.35">
      <c r="B104" s="262">
        <v>46160</v>
      </c>
      <c r="C104" s="261">
        <v>4169.7</v>
      </c>
      <c r="D104">
        <v>1.4391595308326839E-4</v>
      </c>
      <c r="E104">
        <v>101</v>
      </c>
      <c r="F104">
        <f t="shared" ca="1" si="3"/>
        <v>-2.3067650595822622E-2</v>
      </c>
    </row>
    <row r="105" spans="2:6" x14ac:dyDescent="0.35">
      <c r="B105" s="262">
        <v>46157</v>
      </c>
      <c r="C105" s="261">
        <v>4169.1000000000004</v>
      </c>
      <c r="D105">
        <v>8.1979106210099996E-3</v>
      </c>
      <c r="E105">
        <v>102</v>
      </c>
      <c r="F105">
        <f t="shared" ca="1" si="3"/>
        <v>3.4982139833780401E-2</v>
      </c>
    </row>
    <row r="106" spans="2:6" x14ac:dyDescent="0.35">
      <c r="B106" s="262">
        <v>46156</v>
      </c>
      <c r="C106" s="261">
        <v>4135.2</v>
      </c>
      <c r="D106">
        <v>1.0878333781504388E-2</v>
      </c>
      <c r="E106">
        <v>103</v>
      </c>
      <c r="F106">
        <f t="shared" ca="1" si="3"/>
        <v>2.7700964288864746E-2</v>
      </c>
    </row>
    <row r="107" spans="2:6" x14ac:dyDescent="0.35">
      <c r="B107" s="262">
        <v>46155</v>
      </c>
      <c r="C107" s="261">
        <v>4090.7</v>
      </c>
      <c r="D107">
        <v>8.7293171898502296E-3</v>
      </c>
      <c r="E107">
        <v>104</v>
      </c>
      <c r="F107">
        <f t="shared" ca="1" si="3"/>
        <v>-1.5733822433412325E-2</v>
      </c>
    </row>
    <row r="108" spans="2:6" x14ac:dyDescent="0.35">
      <c r="B108" s="262">
        <v>46154</v>
      </c>
      <c r="C108" s="261">
        <v>4055.3</v>
      </c>
      <c r="D108">
        <v>-3.5738063534335215E-2</v>
      </c>
      <c r="E108">
        <v>105</v>
      </c>
      <c r="F108">
        <f t="shared" ca="1" si="3"/>
        <v>1.114303282105958E-2</v>
      </c>
    </row>
    <row r="109" spans="2:6" x14ac:dyDescent="0.35">
      <c r="B109" s="262">
        <v>46153</v>
      </c>
      <c r="C109" s="261">
        <v>4205.6000000000004</v>
      </c>
      <c r="D109">
        <v>-6.7287646928365405E-2</v>
      </c>
      <c r="E109">
        <v>106</v>
      </c>
      <c r="F109">
        <f t="shared" ca="1" si="3"/>
        <v>1.210582021171867E-2</v>
      </c>
    </row>
    <row r="110" spans="2:6" x14ac:dyDescent="0.35">
      <c r="B110" s="262">
        <v>46150</v>
      </c>
      <c r="C110" s="261">
        <v>4509</v>
      </c>
      <c r="D110">
        <v>4.6778874056877542E-2</v>
      </c>
      <c r="E110">
        <v>107</v>
      </c>
      <c r="F110">
        <f t="shared" ca="1" si="3"/>
        <v>3.259917194689254E-2</v>
      </c>
    </row>
    <row r="111" spans="2:6" x14ac:dyDescent="0.35">
      <c r="B111" s="262">
        <v>46149</v>
      </c>
      <c r="C111" s="261">
        <v>4307.5</v>
      </c>
      <c r="D111">
        <v>-1.1950637673181108E-2</v>
      </c>
      <c r="E111">
        <v>108</v>
      </c>
      <c r="F111">
        <f t="shared" ca="1" si="3"/>
        <v>1.1689919025927315E-3</v>
      </c>
    </row>
    <row r="112" spans="2:6" x14ac:dyDescent="0.35">
      <c r="B112" s="262">
        <v>46148</v>
      </c>
      <c r="C112" s="261">
        <v>4359.6000000000004</v>
      </c>
      <c r="D112">
        <v>-3.201024327784891E-3</v>
      </c>
      <c r="E112">
        <v>109</v>
      </c>
      <c r="F112">
        <f t="shared" ca="1" si="3"/>
        <v>-6.8830163162455762E-3</v>
      </c>
    </row>
    <row r="113" spans="2:6" x14ac:dyDescent="0.35">
      <c r="B113" s="262">
        <v>46147</v>
      </c>
      <c r="C113" s="261">
        <v>4373.6000000000004</v>
      </c>
      <c r="D113">
        <v>2.4295209718084719E-3</v>
      </c>
      <c r="E113">
        <v>110</v>
      </c>
      <c r="F113">
        <f t="shared" ca="1" si="3"/>
        <v>-9.2004844843409459E-3</v>
      </c>
    </row>
    <row r="114" spans="2:6" x14ac:dyDescent="0.35">
      <c r="B114" s="262">
        <v>46146</v>
      </c>
      <c r="C114" s="261">
        <v>4363</v>
      </c>
      <c r="D114">
        <v>-5.0624828970171985E-3</v>
      </c>
      <c r="E114">
        <v>111</v>
      </c>
      <c r="F114">
        <f t="shared" ca="1" si="3"/>
        <v>4.1259440228438539E-3</v>
      </c>
    </row>
    <row r="115" spans="2:6" x14ac:dyDescent="0.35">
      <c r="B115" s="262">
        <v>46142</v>
      </c>
      <c r="C115" s="261">
        <v>4385.2</v>
      </c>
      <c r="D115">
        <v>-1.2297851254561098E-2</v>
      </c>
      <c r="E115">
        <v>112</v>
      </c>
      <c r="F115">
        <f t="shared" ca="1" si="3"/>
        <v>1.9385861002303467E-2</v>
      </c>
    </row>
    <row r="116" spans="2:6" x14ac:dyDescent="0.35">
      <c r="B116" s="262">
        <v>46141</v>
      </c>
      <c r="C116" s="261">
        <v>4439.8</v>
      </c>
      <c r="D116">
        <v>5.1618745755037769E-3</v>
      </c>
      <c r="E116">
        <v>113</v>
      </c>
      <c r="F116">
        <f t="shared" ca="1" si="3"/>
        <v>2.8505986636265402E-3</v>
      </c>
    </row>
    <row r="117" spans="2:6" x14ac:dyDescent="0.35">
      <c r="B117" s="262">
        <v>46140</v>
      </c>
      <c r="C117" s="261">
        <v>4417</v>
      </c>
      <c r="D117">
        <v>-5.5833220766356387E-3</v>
      </c>
      <c r="E117">
        <v>114</v>
      </c>
      <c r="F117">
        <f t="shared" ca="1" si="3"/>
        <v>1.073964472170604E-2</v>
      </c>
    </row>
    <row r="118" spans="2:6" x14ac:dyDescent="0.35">
      <c r="B118" s="262">
        <v>46139</v>
      </c>
      <c r="C118" s="261">
        <v>4441.8</v>
      </c>
      <c r="D118">
        <v>7.2108843537415377E-3</v>
      </c>
      <c r="E118">
        <v>115</v>
      </c>
      <c r="F118">
        <f t="shared" ca="1" si="3"/>
        <v>1.081629686578205E-2</v>
      </c>
    </row>
    <row r="119" spans="2:6" x14ac:dyDescent="0.35">
      <c r="B119" s="262">
        <v>46136</v>
      </c>
      <c r="C119" s="261">
        <v>4410</v>
      </c>
      <c r="D119">
        <v>-1.0434197239986537E-2</v>
      </c>
      <c r="E119">
        <v>116</v>
      </c>
      <c r="F119">
        <f t="shared" ca="1" si="3"/>
        <v>-1.093822937852036E-2</v>
      </c>
    </row>
    <row r="120" spans="2:6" x14ac:dyDescent="0.35">
      <c r="B120" s="262">
        <v>46135</v>
      </c>
      <c r="C120" s="261">
        <v>4456.5</v>
      </c>
      <c r="D120">
        <v>4.2652538948494503E-4</v>
      </c>
      <c r="E120">
        <v>117</v>
      </c>
      <c r="F120">
        <f t="shared" ca="1" si="3"/>
        <v>7.1790616604535716E-3</v>
      </c>
    </row>
    <row r="121" spans="2:6" x14ac:dyDescent="0.35">
      <c r="B121" s="262">
        <v>46134</v>
      </c>
      <c r="C121" s="261">
        <v>4454.6000000000004</v>
      </c>
      <c r="D121">
        <v>-5.6030537759223734E-3</v>
      </c>
      <c r="E121">
        <v>118</v>
      </c>
      <c r="F121">
        <f t="shared" ca="1" si="3"/>
        <v>2.1383539987784583E-2</v>
      </c>
    </row>
    <row r="122" spans="2:6" x14ac:dyDescent="0.35">
      <c r="B122" s="262">
        <v>46133</v>
      </c>
      <c r="C122" s="261">
        <v>4479.7</v>
      </c>
      <c r="D122">
        <v>-7.3786838023488103E-3</v>
      </c>
      <c r="E122">
        <v>119</v>
      </c>
      <c r="F122">
        <f t="shared" ca="1" si="3"/>
        <v>-5.3111123707046907E-4</v>
      </c>
    </row>
    <row r="123" spans="2:6" x14ac:dyDescent="0.35">
      <c r="B123" s="262">
        <v>46132</v>
      </c>
      <c r="C123" s="261">
        <v>4513</v>
      </c>
      <c r="D123">
        <v>-2.8502618263769939E-3</v>
      </c>
      <c r="E123">
        <v>120</v>
      </c>
      <c r="F123">
        <f t="shared" ca="1" si="3"/>
        <v>8.3356279154209855E-3</v>
      </c>
    </row>
    <row r="124" spans="2:6" x14ac:dyDescent="0.35">
      <c r="B124" s="262">
        <v>46129</v>
      </c>
      <c r="C124" s="261">
        <v>4525.8999999999996</v>
      </c>
      <c r="D124">
        <v>1.4457345227955351E-2</v>
      </c>
      <c r="E124">
        <v>121</v>
      </c>
      <c r="F124">
        <f t="shared" ca="1" si="3"/>
        <v>-1.0990413403039341E-2</v>
      </c>
    </row>
    <row r="125" spans="2:6" x14ac:dyDescent="0.35">
      <c r="B125" s="262">
        <v>46128</v>
      </c>
      <c r="C125" s="261">
        <v>4461.3999999999996</v>
      </c>
      <c r="D125">
        <v>-1.3444783512449734E-2</v>
      </c>
      <c r="E125">
        <v>122</v>
      </c>
      <c r="F125">
        <f t="shared" ca="1" si="3"/>
        <v>1.8139126574092085E-2</v>
      </c>
    </row>
    <row r="126" spans="2:6" x14ac:dyDescent="0.35">
      <c r="B126" s="262">
        <v>46127</v>
      </c>
      <c r="C126" s="261">
        <v>4522.2</v>
      </c>
      <c r="D126">
        <v>1.8674115288446293E-2</v>
      </c>
      <c r="E126">
        <v>123</v>
      </c>
      <c r="F126">
        <f t="shared" ca="1" si="3"/>
        <v>-8.8989335527355079E-3</v>
      </c>
    </row>
    <row r="127" spans="2:6" x14ac:dyDescent="0.35">
      <c r="B127" s="262">
        <v>46125</v>
      </c>
      <c r="C127" s="261">
        <v>4439.3</v>
      </c>
      <c r="D127">
        <v>-1.4583795782463889E-2</v>
      </c>
      <c r="E127">
        <v>124</v>
      </c>
      <c r="F127">
        <f t="shared" ca="1" si="3"/>
        <v>3.2939817116657806E-3</v>
      </c>
    </row>
    <row r="128" spans="2:6" x14ac:dyDescent="0.35">
      <c r="B128" s="262">
        <v>46122</v>
      </c>
      <c r="C128" s="261">
        <v>4505</v>
      </c>
      <c r="D128">
        <v>1.4685346186765128E-2</v>
      </c>
      <c r="E128">
        <v>125</v>
      </c>
      <c r="F128">
        <f t="shared" ca="1" si="3"/>
        <v>1.0480144845896214E-2</v>
      </c>
    </row>
    <row r="129" spans="2:6" x14ac:dyDescent="0.35">
      <c r="B129" s="262">
        <v>46121</v>
      </c>
      <c r="C129" s="261">
        <v>4439.8</v>
      </c>
      <c r="D129">
        <v>-1.1730662214802408E-2</v>
      </c>
      <c r="E129">
        <v>126</v>
      </c>
      <c r="F129">
        <f t="shared" ca="1" si="3"/>
        <v>-1.4525961742560193E-3</v>
      </c>
    </row>
    <row r="130" spans="2:6" x14ac:dyDescent="0.35">
      <c r="B130" s="262">
        <v>46120</v>
      </c>
      <c r="C130" s="261">
        <v>4492.5</v>
      </c>
      <c r="D130">
        <v>6.19061126081406E-2</v>
      </c>
      <c r="E130">
        <v>127</v>
      </c>
      <c r="F130">
        <f t="shared" ca="1" si="3"/>
        <v>5.4178480490603843E-2</v>
      </c>
    </row>
    <row r="131" spans="2:6" x14ac:dyDescent="0.35">
      <c r="B131" s="262">
        <v>46119</v>
      </c>
      <c r="C131" s="261">
        <v>4230.6000000000004</v>
      </c>
      <c r="D131">
        <v>-3.6504086102541154E-3</v>
      </c>
      <c r="E131">
        <v>128</v>
      </c>
      <c r="F131">
        <f t="shared" ca="1" si="3"/>
        <v>2.5000000707776871E-4</v>
      </c>
    </row>
    <row r="132" spans="2:6" x14ac:dyDescent="0.35">
      <c r="B132" s="262">
        <v>46118</v>
      </c>
      <c r="C132" s="261">
        <v>4246.1000000000004</v>
      </c>
      <c r="D132">
        <v>3.6341892023821279E-2</v>
      </c>
      <c r="E132">
        <v>129</v>
      </c>
      <c r="F132">
        <f t="shared" ca="1" si="3"/>
        <v>-5.6726481414601879E-3</v>
      </c>
    </row>
    <row r="133" spans="2:6" x14ac:dyDescent="0.35">
      <c r="B133" s="262">
        <v>46114</v>
      </c>
      <c r="C133" s="261">
        <v>4097.2</v>
      </c>
      <c r="D133">
        <v>7.7973189029639199E-3</v>
      </c>
      <c r="E133">
        <v>130</v>
      </c>
      <c r="F133">
        <f t="shared" ref="F133:F196" ca="1" si="4">_xlfn.NORM.INV(RAND(),M$6,M$7)</f>
        <v>-3.4830247550640167E-2</v>
      </c>
    </row>
    <row r="134" spans="2:6" x14ac:dyDescent="0.35">
      <c r="B134" s="262">
        <v>46113</v>
      </c>
      <c r="C134" s="261">
        <v>4065.5</v>
      </c>
      <c r="D134">
        <v>2.8875841473907957E-2</v>
      </c>
      <c r="E134">
        <v>131</v>
      </c>
      <c r="F134">
        <f t="shared" ca="1" si="4"/>
        <v>1.853454358357301E-2</v>
      </c>
    </row>
    <row r="135" spans="2:6" x14ac:dyDescent="0.35">
      <c r="B135" s="262">
        <v>46111</v>
      </c>
      <c r="C135" s="261">
        <v>3951.4</v>
      </c>
      <c r="D135">
        <v>-7.5599648373728262E-3</v>
      </c>
      <c r="E135">
        <v>132</v>
      </c>
      <c r="F135">
        <f t="shared" ca="1" si="4"/>
        <v>-2.1052088536591611E-2</v>
      </c>
    </row>
    <row r="136" spans="2:6" x14ac:dyDescent="0.35">
      <c r="B136" s="262">
        <v>46108</v>
      </c>
      <c r="C136" s="261">
        <v>3981.5</v>
      </c>
      <c r="D136">
        <v>-1.4309410046295195E-2</v>
      </c>
      <c r="E136">
        <v>133</v>
      </c>
      <c r="F136">
        <f t="shared" ca="1" si="4"/>
        <v>-2.4160252082074211E-4</v>
      </c>
    </row>
    <row r="137" spans="2:6" x14ac:dyDescent="0.35">
      <c r="B137" s="262">
        <v>46106</v>
      </c>
      <c r="C137" s="261">
        <v>4039.3</v>
      </c>
      <c r="D137">
        <v>3.5850750096166221E-2</v>
      </c>
      <c r="E137">
        <v>134</v>
      </c>
      <c r="F137">
        <f t="shared" ca="1" si="4"/>
        <v>5.2300191005919192E-3</v>
      </c>
    </row>
    <row r="138" spans="2:6" x14ac:dyDescent="0.35">
      <c r="B138" s="262">
        <v>46105</v>
      </c>
      <c r="C138" s="261">
        <v>3899.5</v>
      </c>
      <c r="D138">
        <v>1.2042251693441669E-2</v>
      </c>
      <c r="E138">
        <v>135</v>
      </c>
      <c r="F138">
        <f t="shared" ca="1" si="4"/>
        <v>2.1088890647174348E-2</v>
      </c>
    </row>
    <row r="139" spans="2:6" x14ac:dyDescent="0.35">
      <c r="B139" s="262">
        <v>46104</v>
      </c>
      <c r="C139" s="261">
        <v>3853.1</v>
      </c>
      <c r="D139">
        <v>-6.172989821263343E-2</v>
      </c>
      <c r="E139">
        <v>136</v>
      </c>
      <c r="F139">
        <f t="shared" ca="1" si="4"/>
        <v>8.0668192459138945E-3</v>
      </c>
    </row>
    <row r="140" spans="2:6" x14ac:dyDescent="0.35">
      <c r="B140" s="262">
        <v>46101</v>
      </c>
      <c r="C140" s="261">
        <v>4106.6000000000004</v>
      </c>
      <c r="D140">
        <v>1.7013794299016883E-2</v>
      </c>
      <c r="E140">
        <v>137</v>
      </c>
      <c r="F140">
        <f t="shared" ca="1" si="4"/>
        <v>9.8200469164496443E-3</v>
      </c>
    </row>
    <row r="141" spans="2:6" x14ac:dyDescent="0.35">
      <c r="B141" s="262">
        <v>46100</v>
      </c>
      <c r="C141" s="261">
        <v>4037.9</v>
      </c>
      <c r="D141">
        <v>-2.5955855747195732E-2</v>
      </c>
      <c r="E141">
        <v>138</v>
      </c>
      <c r="F141">
        <f t="shared" ca="1" si="4"/>
        <v>7.063869718431085E-3</v>
      </c>
    </row>
    <row r="142" spans="2:6" x14ac:dyDescent="0.35">
      <c r="B142" s="262">
        <v>46099</v>
      </c>
      <c r="C142" s="261">
        <v>4145.5</v>
      </c>
      <c r="D142">
        <v>1.3445789023346779E-2</v>
      </c>
      <c r="E142">
        <v>139</v>
      </c>
      <c r="F142">
        <f t="shared" ca="1" si="4"/>
        <v>-1.755346874750795E-4</v>
      </c>
    </row>
    <row r="143" spans="2:6" x14ac:dyDescent="0.35">
      <c r="B143" s="262">
        <v>46098</v>
      </c>
      <c r="C143" s="261">
        <v>4090.5</v>
      </c>
      <c r="D143">
        <v>-7.3335288941082894E-5</v>
      </c>
      <c r="E143">
        <v>140</v>
      </c>
      <c r="F143">
        <f t="shared" ca="1" si="4"/>
        <v>5.6367871462911744E-3</v>
      </c>
    </row>
    <row r="144" spans="2:6" x14ac:dyDescent="0.35">
      <c r="B144" s="262">
        <v>46097</v>
      </c>
      <c r="C144" s="261">
        <v>4090.8</v>
      </c>
      <c r="D144">
        <v>4.3209270352549262E-3</v>
      </c>
      <c r="E144">
        <v>141</v>
      </c>
      <c r="F144">
        <f t="shared" ca="1" si="4"/>
        <v>-1.0276183302041634E-2</v>
      </c>
    </row>
    <row r="145" spans="2:6" x14ac:dyDescent="0.35">
      <c r="B145" s="262">
        <v>46094</v>
      </c>
      <c r="C145" s="261">
        <v>4073.2</v>
      </c>
      <c r="D145">
        <v>-1.3657497094149686E-2</v>
      </c>
      <c r="E145">
        <v>142</v>
      </c>
      <c r="F145">
        <f t="shared" ca="1" si="4"/>
        <v>-1.1589470810699512E-2</v>
      </c>
    </row>
    <row r="146" spans="2:6" x14ac:dyDescent="0.35">
      <c r="B146" s="262">
        <v>46093</v>
      </c>
      <c r="C146" s="261">
        <v>4129.6000000000004</v>
      </c>
      <c r="D146">
        <v>-2.5843537907880632E-3</v>
      </c>
      <c r="E146">
        <v>143</v>
      </c>
      <c r="F146">
        <f t="shared" ca="1" si="4"/>
        <v>-1.7215538727394453E-2</v>
      </c>
    </row>
    <row r="147" spans="2:6" x14ac:dyDescent="0.35">
      <c r="B147" s="262">
        <v>46092</v>
      </c>
      <c r="C147" s="261">
        <v>4140.3</v>
      </c>
      <c r="D147">
        <v>-1.8909504514111081E-2</v>
      </c>
      <c r="E147">
        <v>144</v>
      </c>
      <c r="F147">
        <f t="shared" ca="1" si="4"/>
        <v>-1.1992441224577483E-2</v>
      </c>
    </row>
    <row r="148" spans="2:6" x14ac:dyDescent="0.35">
      <c r="B148" s="262">
        <v>46091</v>
      </c>
      <c r="C148" s="261">
        <v>4220.1000000000004</v>
      </c>
      <c r="D148">
        <v>1.4642238892094766E-2</v>
      </c>
      <c r="E148">
        <v>145</v>
      </c>
      <c r="F148">
        <f t="shared" ca="1" si="4"/>
        <v>-1.2008198172431766E-2</v>
      </c>
    </row>
    <row r="149" spans="2:6" x14ac:dyDescent="0.35">
      <c r="B149" s="262">
        <v>46090</v>
      </c>
      <c r="C149" s="261">
        <v>4159.2</v>
      </c>
      <c r="D149">
        <v>-2.0119681477642308E-2</v>
      </c>
      <c r="E149">
        <v>146</v>
      </c>
      <c r="F149">
        <f t="shared" ca="1" si="4"/>
        <v>-4.5091044631477934E-3</v>
      </c>
    </row>
    <row r="150" spans="2:6" x14ac:dyDescent="0.35">
      <c r="B150" s="262">
        <v>46087</v>
      </c>
      <c r="C150" s="261">
        <v>4244.6000000000004</v>
      </c>
      <c r="D150">
        <v>-7.1575598802393935E-3</v>
      </c>
      <c r="E150">
        <v>147</v>
      </c>
      <c r="F150">
        <f t="shared" ca="1" si="4"/>
        <v>-1.1399805671761598E-2</v>
      </c>
    </row>
    <row r="151" spans="2:6" x14ac:dyDescent="0.35">
      <c r="B151" s="262">
        <v>46086</v>
      </c>
      <c r="C151" s="261">
        <v>4275.2</v>
      </c>
      <c r="D151">
        <v>1.6839501474645652E-2</v>
      </c>
      <c r="E151">
        <v>148</v>
      </c>
      <c r="F151">
        <f t="shared" ca="1" si="4"/>
        <v>6.2451841661361474E-3</v>
      </c>
    </row>
    <row r="152" spans="2:6" x14ac:dyDescent="0.35">
      <c r="B152" s="262">
        <v>46085</v>
      </c>
      <c r="C152" s="261">
        <v>4204.3999999999996</v>
      </c>
      <c r="D152">
        <v>-1.5432171041847305E-2</v>
      </c>
      <c r="E152">
        <v>149</v>
      </c>
      <c r="F152">
        <f t="shared" ca="1" si="4"/>
        <v>-2.5744119568063769E-2</v>
      </c>
    </row>
    <row r="153" spans="2:6" x14ac:dyDescent="0.35">
      <c r="B153" s="262">
        <v>46083</v>
      </c>
      <c r="C153" s="261">
        <v>4270.3</v>
      </c>
      <c r="D153">
        <v>-1.3217793183131096E-2</v>
      </c>
      <c r="E153">
        <v>150</v>
      </c>
      <c r="F153">
        <f t="shared" ca="1" si="4"/>
        <v>-4.4461533309466368E-3</v>
      </c>
    </row>
    <row r="154" spans="2:6" x14ac:dyDescent="0.35">
      <c r="B154" s="262">
        <v>46080</v>
      </c>
      <c r="C154" s="261">
        <v>4327.5</v>
      </c>
      <c r="D154">
        <v>-3.4771795698430347E-3</v>
      </c>
      <c r="E154">
        <v>151</v>
      </c>
      <c r="F154">
        <f t="shared" ca="1" si="4"/>
        <v>1.3315077985417081E-2</v>
      </c>
    </row>
    <row r="155" spans="2:6" x14ac:dyDescent="0.35">
      <c r="B155" s="262">
        <v>46079</v>
      </c>
      <c r="C155" s="261">
        <v>4342.6000000000004</v>
      </c>
      <c r="D155">
        <v>4.0693641618497955E-3</v>
      </c>
      <c r="E155">
        <v>152</v>
      </c>
      <c r="F155">
        <f t="shared" ca="1" si="4"/>
        <v>2.3132766535156085E-2</v>
      </c>
    </row>
    <row r="156" spans="2:6" x14ac:dyDescent="0.35">
      <c r="B156" s="262">
        <v>46078</v>
      </c>
      <c r="C156" s="261">
        <v>4325</v>
      </c>
      <c r="D156">
        <v>7.1021073466061239E-3</v>
      </c>
      <c r="E156">
        <v>153</v>
      </c>
      <c r="F156">
        <f t="shared" ca="1" si="4"/>
        <v>-2.9672633403373719E-3</v>
      </c>
    </row>
    <row r="157" spans="2:6" x14ac:dyDescent="0.35">
      <c r="B157" s="262">
        <v>46077</v>
      </c>
      <c r="C157" s="261">
        <v>4294.5</v>
      </c>
      <c r="D157">
        <v>5.1021602265546801E-3</v>
      </c>
      <c r="E157">
        <v>154</v>
      </c>
      <c r="F157">
        <f t="shared" ca="1" si="4"/>
        <v>9.1535510612919171E-3</v>
      </c>
    </row>
    <row r="158" spans="2:6" x14ac:dyDescent="0.35">
      <c r="B158" s="262">
        <v>46076</v>
      </c>
      <c r="C158" s="261">
        <v>4272.7</v>
      </c>
      <c r="D158">
        <v>8.5685959777169734E-3</v>
      </c>
      <c r="E158">
        <v>155</v>
      </c>
      <c r="F158">
        <f t="shared" ca="1" si="4"/>
        <v>-4.7281906160728769E-3</v>
      </c>
    </row>
    <row r="159" spans="2:6" x14ac:dyDescent="0.35">
      <c r="B159" s="262">
        <v>46073</v>
      </c>
      <c r="C159" s="261">
        <v>4236.3999999999996</v>
      </c>
      <c r="D159">
        <v>9.0991377256919199E-3</v>
      </c>
      <c r="E159">
        <v>156</v>
      </c>
      <c r="F159">
        <f t="shared" ca="1" si="4"/>
        <v>5.4390247199579116E-3</v>
      </c>
    </row>
    <row r="160" spans="2:6" x14ac:dyDescent="0.35">
      <c r="B160" s="262">
        <v>46072</v>
      </c>
      <c r="C160" s="261">
        <v>4198.2</v>
      </c>
      <c r="D160">
        <v>-1.1862731252648058E-2</v>
      </c>
      <c r="E160">
        <v>157</v>
      </c>
      <c r="F160">
        <f t="shared" ca="1" si="4"/>
        <v>2.37491791397745E-2</v>
      </c>
    </row>
    <row r="161" spans="2:6" x14ac:dyDescent="0.35">
      <c r="B161" s="262">
        <v>46071</v>
      </c>
      <c r="C161" s="261">
        <v>4248.6000000000004</v>
      </c>
      <c r="D161">
        <v>2.8798036068361649E-3</v>
      </c>
      <c r="E161">
        <v>158</v>
      </c>
      <c r="F161">
        <f t="shared" ca="1" si="4"/>
        <v>1.589592512404836E-2</v>
      </c>
    </row>
    <row r="162" spans="2:6" x14ac:dyDescent="0.35">
      <c r="B162" s="262">
        <v>46070</v>
      </c>
      <c r="C162" s="261">
        <v>4236.3999999999996</v>
      </c>
      <c r="D162">
        <v>1.3226184496902554E-2</v>
      </c>
      <c r="E162">
        <v>159</v>
      </c>
      <c r="F162">
        <f t="shared" ca="1" si="4"/>
        <v>2.4066731871420194E-2</v>
      </c>
    </row>
    <row r="163" spans="2:6" x14ac:dyDescent="0.35">
      <c r="B163" s="262">
        <v>46069</v>
      </c>
      <c r="C163" s="261">
        <v>4181.1000000000004</v>
      </c>
      <c r="D163">
        <v>4.546324655437753E-4</v>
      </c>
      <c r="E163">
        <v>160</v>
      </c>
      <c r="F163">
        <f t="shared" ca="1" si="4"/>
        <v>-1.7863261236508001E-3</v>
      </c>
    </row>
    <row r="164" spans="2:6" x14ac:dyDescent="0.35">
      <c r="B164" s="262">
        <v>46066</v>
      </c>
      <c r="C164" s="261">
        <v>4179.2</v>
      </c>
      <c r="D164">
        <v>-2.259226343608222E-2</v>
      </c>
      <c r="E164">
        <v>161</v>
      </c>
      <c r="F164">
        <f t="shared" ca="1" si="4"/>
        <v>6.287664448406333E-3</v>
      </c>
    </row>
    <row r="165" spans="2:6" x14ac:dyDescent="0.35">
      <c r="B165" s="262">
        <v>46065</v>
      </c>
      <c r="C165" s="261">
        <v>4275.8</v>
      </c>
      <c r="D165">
        <v>6.2836836035865982E-3</v>
      </c>
      <c r="E165">
        <v>162</v>
      </c>
      <c r="F165">
        <f t="shared" ca="1" si="4"/>
        <v>2.1459375823817652E-2</v>
      </c>
    </row>
    <row r="166" spans="2:6" x14ac:dyDescent="0.35">
      <c r="B166" s="262">
        <v>46064</v>
      </c>
      <c r="C166" s="261">
        <v>4249.1000000000004</v>
      </c>
      <c r="D166">
        <v>-4.6848281839263544E-3</v>
      </c>
      <c r="E166">
        <v>163</v>
      </c>
      <c r="F166">
        <f t="shared" ca="1" si="4"/>
        <v>-4.4503674078915662E-3</v>
      </c>
    </row>
    <row r="167" spans="2:6" x14ac:dyDescent="0.35">
      <c r="B167" s="262">
        <v>46063</v>
      </c>
      <c r="C167" s="261">
        <v>4269.1000000000004</v>
      </c>
      <c r="D167">
        <v>2.6539527455493872E-3</v>
      </c>
      <c r="E167">
        <v>164</v>
      </c>
      <c r="F167">
        <f t="shared" ca="1" si="4"/>
        <v>1.532470649052986E-6</v>
      </c>
    </row>
    <row r="168" spans="2:6" x14ac:dyDescent="0.35">
      <c r="B168" s="262">
        <v>46062</v>
      </c>
      <c r="C168" s="261">
        <v>4257.8</v>
      </c>
      <c r="D168">
        <v>2.8205747404008736E-2</v>
      </c>
      <c r="E168">
        <v>165</v>
      </c>
      <c r="F168">
        <f t="shared" ca="1" si="4"/>
        <v>2.5543167925886526E-2</v>
      </c>
    </row>
    <row r="169" spans="2:6" x14ac:dyDescent="0.35">
      <c r="B169" s="262">
        <v>46059</v>
      </c>
      <c r="C169" s="261">
        <v>4141</v>
      </c>
      <c r="D169">
        <v>1.059156579461139E-2</v>
      </c>
      <c r="E169">
        <v>166</v>
      </c>
      <c r="F169">
        <f t="shared" ca="1" si="4"/>
        <v>8.3720781838193745E-3</v>
      </c>
    </row>
    <row r="170" spans="2:6" x14ac:dyDescent="0.35">
      <c r="B170" s="262">
        <v>46058</v>
      </c>
      <c r="C170" s="261">
        <v>4097.6000000000004</v>
      </c>
      <c r="D170">
        <v>-1.1196911196911109E-2</v>
      </c>
      <c r="E170">
        <v>167</v>
      </c>
      <c r="F170">
        <f t="shared" ca="1" si="4"/>
        <v>1.3352081377332391E-2</v>
      </c>
    </row>
    <row r="171" spans="2:6" x14ac:dyDescent="0.35">
      <c r="B171" s="262">
        <v>46057</v>
      </c>
      <c r="C171" s="261">
        <v>4144</v>
      </c>
      <c r="D171">
        <v>1.8532173229120603E-2</v>
      </c>
      <c r="E171">
        <v>168</v>
      </c>
      <c r="F171">
        <f t="shared" ca="1" si="4"/>
        <v>2.1493203405274525E-2</v>
      </c>
    </row>
    <row r="172" spans="2:6" x14ac:dyDescent="0.35">
      <c r="B172" s="262">
        <v>46056</v>
      </c>
      <c r="C172" s="261">
        <v>4068.6</v>
      </c>
      <c r="D172">
        <v>2.9191541030051629E-2</v>
      </c>
      <c r="E172">
        <v>169</v>
      </c>
      <c r="F172">
        <f t="shared" ca="1" si="4"/>
        <v>4.1316015594595763E-3</v>
      </c>
    </row>
    <row r="173" spans="2:6" x14ac:dyDescent="0.35">
      <c r="B173" s="262">
        <v>46055</v>
      </c>
      <c r="C173" s="261">
        <v>3953.2</v>
      </c>
      <c r="D173">
        <v>-8.0546006574160941E-3</v>
      </c>
      <c r="E173">
        <v>170</v>
      </c>
      <c r="F173">
        <f t="shared" ca="1" si="4"/>
        <v>-8.9865154613364261E-3</v>
      </c>
    </row>
    <row r="174" spans="2:6" x14ac:dyDescent="0.35">
      <c r="B174" s="262">
        <v>46054</v>
      </c>
      <c r="C174" s="261">
        <v>3985.3</v>
      </c>
      <c r="D174">
        <v>1.9862221551767713E-3</v>
      </c>
      <c r="E174">
        <v>171</v>
      </c>
      <c r="F174">
        <f t="shared" ca="1" si="4"/>
        <v>1.0837497296270215E-2</v>
      </c>
    </row>
    <row r="175" spans="2:6" x14ac:dyDescent="0.35">
      <c r="B175" s="262">
        <v>46052</v>
      </c>
      <c r="C175" s="261">
        <v>3977.4</v>
      </c>
      <c r="D175">
        <v>9.569256542376392E-3</v>
      </c>
      <c r="E175">
        <v>172</v>
      </c>
      <c r="F175">
        <f t="shared" ca="1" si="4"/>
        <v>-1.8477363986818707E-2</v>
      </c>
    </row>
    <row r="176" spans="2:6" x14ac:dyDescent="0.35">
      <c r="B176" s="262">
        <v>46051</v>
      </c>
      <c r="C176" s="261">
        <v>3939.7</v>
      </c>
      <c r="D176">
        <v>-8.930368283356813E-3</v>
      </c>
      <c r="E176">
        <v>173</v>
      </c>
      <c r="F176">
        <f t="shared" ca="1" si="4"/>
        <v>-4.6573507258401798E-3</v>
      </c>
    </row>
    <row r="177" spans="2:6" x14ac:dyDescent="0.35">
      <c r="B177" s="262">
        <v>46050</v>
      </c>
      <c r="C177" s="261">
        <v>3975.2</v>
      </c>
      <c r="D177">
        <v>-5.4540905679259901E-3</v>
      </c>
      <c r="E177">
        <v>174</v>
      </c>
      <c r="F177">
        <f t="shared" ca="1" si="4"/>
        <v>5.5362232887023162E-3</v>
      </c>
    </row>
    <row r="178" spans="2:6" x14ac:dyDescent="0.35">
      <c r="B178" s="262">
        <v>46049</v>
      </c>
      <c r="C178" s="261">
        <v>3997</v>
      </c>
      <c r="D178">
        <v>-6.1663931572927995E-3</v>
      </c>
      <c r="E178">
        <v>175</v>
      </c>
      <c r="F178">
        <f t="shared" ca="1" si="4"/>
        <v>-1.4941260946102947E-2</v>
      </c>
    </row>
    <row r="179" spans="2:6" x14ac:dyDescent="0.35">
      <c r="B179" s="262">
        <v>46045</v>
      </c>
      <c r="C179" s="261">
        <v>4021.8</v>
      </c>
      <c r="D179">
        <v>7.962972179366627E-4</v>
      </c>
      <c r="E179">
        <v>176</v>
      </c>
      <c r="F179">
        <f t="shared" ca="1" si="4"/>
        <v>-9.5847009502284912E-3</v>
      </c>
    </row>
    <row r="180" spans="2:6" x14ac:dyDescent="0.35">
      <c r="B180" s="262">
        <v>46044</v>
      </c>
      <c r="C180" s="261">
        <v>4018.6</v>
      </c>
      <c r="D180">
        <v>-1.4855854089037045E-2</v>
      </c>
      <c r="E180">
        <v>177</v>
      </c>
      <c r="F180">
        <f t="shared" ca="1" si="4"/>
        <v>1.1875540938420049E-2</v>
      </c>
    </row>
    <row r="181" spans="2:6" x14ac:dyDescent="0.35">
      <c r="B181" s="262">
        <v>46043</v>
      </c>
      <c r="C181" s="261">
        <v>4079.2</v>
      </c>
      <c r="D181">
        <v>9.0786406575875801E-4</v>
      </c>
      <c r="E181">
        <v>178</v>
      </c>
      <c r="F181">
        <f t="shared" ca="1" si="4"/>
        <v>2.704556773875243E-2</v>
      </c>
    </row>
    <row r="182" spans="2:6" x14ac:dyDescent="0.35">
      <c r="B182" s="262">
        <v>46042</v>
      </c>
      <c r="C182" s="261">
        <v>4075.5</v>
      </c>
      <c r="D182">
        <v>-1.6553654593277276E-2</v>
      </c>
      <c r="E182">
        <v>179</v>
      </c>
      <c r="F182">
        <f t="shared" ca="1" si="4"/>
        <v>-1.1304822848952669E-2</v>
      </c>
    </row>
    <row r="183" spans="2:6" x14ac:dyDescent="0.35">
      <c r="B183" s="262">
        <v>46041</v>
      </c>
      <c r="C183" s="261">
        <v>4144.1000000000004</v>
      </c>
      <c r="D183">
        <v>-1.2580714336772207E-2</v>
      </c>
      <c r="E183">
        <v>180</v>
      </c>
      <c r="F183">
        <f t="shared" ca="1" si="4"/>
        <v>1.1474570355204657E-2</v>
      </c>
    </row>
    <row r="184" spans="2:6" x14ac:dyDescent="0.35">
      <c r="B184" s="262">
        <v>46038</v>
      </c>
      <c r="C184" s="261">
        <v>4196.8999999999996</v>
      </c>
      <c r="D184">
        <v>-5.8273125666233241E-3</v>
      </c>
      <c r="E184">
        <v>181</v>
      </c>
      <c r="F184">
        <f t="shared" ca="1" si="4"/>
        <v>-7.2150799367877924E-3</v>
      </c>
    </row>
    <row r="185" spans="2:6" x14ac:dyDescent="0.35">
      <c r="B185" s="262">
        <v>46036</v>
      </c>
      <c r="C185" s="261">
        <v>4221.5</v>
      </c>
      <c r="D185">
        <v>-4.1753160973768211E-3</v>
      </c>
      <c r="E185">
        <v>182</v>
      </c>
      <c r="F185">
        <f t="shared" ca="1" si="4"/>
        <v>-7.9845273232081061E-3</v>
      </c>
    </row>
    <row r="186" spans="2:6" x14ac:dyDescent="0.35">
      <c r="B186" s="262">
        <v>46035</v>
      </c>
      <c r="C186" s="261">
        <v>4239.2</v>
      </c>
      <c r="D186">
        <v>1.7960109651194475E-3</v>
      </c>
      <c r="E186">
        <v>183</v>
      </c>
      <c r="F186">
        <f t="shared" ca="1" si="4"/>
        <v>2.6138278779809336E-2</v>
      </c>
    </row>
    <row r="187" spans="2:6" x14ac:dyDescent="0.35">
      <c r="B187" s="262">
        <v>46034</v>
      </c>
      <c r="C187" s="261">
        <v>4231.6000000000004</v>
      </c>
      <c r="D187">
        <v>7.0921985815603269E-3</v>
      </c>
      <c r="E187">
        <v>184</v>
      </c>
      <c r="F187">
        <f t="shared" ca="1" si="4"/>
        <v>8.9666525278430474E-3</v>
      </c>
    </row>
    <row r="188" spans="2:6" x14ac:dyDescent="0.35">
      <c r="B188" s="262">
        <v>46031</v>
      </c>
      <c r="C188" s="261">
        <v>4201.8</v>
      </c>
      <c r="D188">
        <v>-1.1108496116733306E-2</v>
      </c>
      <c r="E188">
        <v>185</v>
      </c>
      <c r="F188">
        <f t="shared" ca="1" si="4"/>
        <v>-1.6916899945911973E-2</v>
      </c>
    </row>
    <row r="189" spans="2:6" x14ac:dyDescent="0.35">
      <c r="B189" s="262">
        <v>46030</v>
      </c>
      <c r="C189" s="261">
        <v>4249</v>
      </c>
      <c r="D189">
        <v>-5.6632032200692262E-3</v>
      </c>
      <c r="E189">
        <v>186</v>
      </c>
      <c r="F189">
        <f t="shared" ca="1" si="4"/>
        <v>-5.0058376764899083E-3</v>
      </c>
    </row>
    <row r="190" spans="2:6" x14ac:dyDescent="0.35">
      <c r="B190" s="262">
        <v>46029</v>
      </c>
      <c r="C190" s="261">
        <v>4273.2</v>
      </c>
      <c r="D190">
        <v>3.925288194951107E-2</v>
      </c>
      <c r="E190">
        <v>187</v>
      </c>
      <c r="F190">
        <f t="shared" ca="1" si="4"/>
        <v>9.4414165743258553E-3</v>
      </c>
    </row>
    <row r="191" spans="2:6" x14ac:dyDescent="0.35">
      <c r="B191" s="262">
        <v>46028</v>
      </c>
      <c r="C191" s="261">
        <v>4111.8</v>
      </c>
      <c r="D191">
        <v>7.8682256048239734E-3</v>
      </c>
      <c r="E191">
        <v>188</v>
      </c>
      <c r="F191">
        <f t="shared" ca="1" si="4"/>
        <v>2.1899268714603445E-2</v>
      </c>
    </row>
    <row r="192" spans="2:6" x14ac:dyDescent="0.35">
      <c r="B192" s="262">
        <v>46027</v>
      </c>
      <c r="C192" s="261">
        <v>4079.7</v>
      </c>
      <c r="D192">
        <v>6.9106794678776813E-3</v>
      </c>
      <c r="E192">
        <v>189</v>
      </c>
      <c r="F192">
        <f t="shared" ca="1" si="4"/>
        <v>3.3826731098246778E-2</v>
      </c>
    </row>
    <row r="193" spans="2:6" x14ac:dyDescent="0.35">
      <c r="B193" s="262">
        <v>46024</v>
      </c>
      <c r="C193" s="261">
        <v>4051.7</v>
      </c>
      <c r="D193">
        <v>5.9269503370944015E-4</v>
      </c>
      <c r="E193">
        <v>190</v>
      </c>
      <c r="F193">
        <f t="shared" ca="1" si="4"/>
        <v>-1.3578550952176889E-2</v>
      </c>
    </row>
    <row r="194" spans="2:6" x14ac:dyDescent="0.35">
      <c r="B194" s="262">
        <v>46023</v>
      </c>
      <c r="C194" s="261">
        <v>4049.3</v>
      </c>
      <c r="D194">
        <v>-5.4300876218679945E-4</v>
      </c>
      <c r="E194">
        <v>191</v>
      </c>
      <c r="F194">
        <f t="shared" ca="1" si="4"/>
        <v>1.4827884672405386E-2</v>
      </c>
    </row>
    <row r="195" spans="2:6" x14ac:dyDescent="0.35">
      <c r="B195" s="262">
        <v>46022</v>
      </c>
      <c r="C195" s="261">
        <v>4051.5</v>
      </c>
      <c r="D195">
        <v>1.9476107797992023E-2</v>
      </c>
      <c r="E195">
        <v>192</v>
      </c>
      <c r="F195">
        <f t="shared" ca="1" si="4"/>
        <v>1.0007605177714995E-2</v>
      </c>
    </row>
    <row r="196" spans="2:6" x14ac:dyDescent="0.35">
      <c r="B196" s="262">
        <v>46021</v>
      </c>
      <c r="C196" s="261">
        <v>3974.1</v>
      </c>
      <c r="D196">
        <v>-2.40982001656749E-3</v>
      </c>
      <c r="E196">
        <v>193</v>
      </c>
      <c r="F196">
        <f t="shared" ca="1" si="4"/>
        <v>4.1936165441464257E-3</v>
      </c>
    </row>
    <row r="197" spans="2:6" x14ac:dyDescent="0.35">
      <c r="B197" s="262">
        <v>46020</v>
      </c>
      <c r="C197" s="261">
        <v>3983.7</v>
      </c>
      <c r="D197">
        <v>-2.0791583166333122E-3</v>
      </c>
      <c r="E197">
        <v>194</v>
      </c>
      <c r="F197">
        <f t="shared" ref="F197:F260" ca="1" si="5">_xlfn.NORM.INV(RAND(),M$6,M$7)</f>
        <v>6.1364695980682055E-3</v>
      </c>
    </row>
    <row r="198" spans="2:6" x14ac:dyDescent="0.35">
      <c r="B198" s="262">
        <v>46017</v>
      </c>
      <c r="C198" s="261">
        <v>3992</v>
      </c>
      <c r="D198">
        <v>2.115468242396332E-2</v>
      </c>
      <c r="E198">
        <v>195</v>
      </c>
      <c r="F198">
        <f t="shared" ca="1" si="5"/>
        <v>5.5963127620752961E-3</v>
      </c>
    </row>
    <row r="199" spans="2:6" x14ac:dyDescent="0.35">
      <c r="B199" s="262">
        <v>46015</v>
      </c>
      <c r="C199" s="261">
        <v>3909.3</v>
      </c>
      <c r="D199">
        <v>-4.2029650007641755E-3</v>
      </c>
      <c r="E199">
        <v>196</v>
      </c>
      <c r="F199">
        <f t="shared" ca="1" si="5"/>
        <v>-3.5669575500392042E-2</v>
      </c>
    </row>
    <row r="200" spans="2:6" x14ac:dyDescent="0.35">
      <c r="B200" s="262">
        <v>46014</v>
      </c>
      <c r="C200" s="261">
        <v>3925.8</v>
      </c>
      <c r="D200">
        <v>-2.0336570237429455E-3</v>
      </c>
      <c r="E200">
        <v>197</v>
      </c>
      <c r="F200">
        <f t="shared" ca="1" si="5"/>
        <v>1.147591021461703E-2</v>
      </c>
    </row>
    <row r="201" spans="2:6" x14ac:dyDescent="0.35">
      <c r="B201" s="262">
        <v>46013</v>
      </c>
      <c r="C201" s="261">
        <v>3933.8</v>
      </c>
      <c r="D201">
        <v>9.4145187145372206E-4</v>
      </c>
      <c r="E201">
        <v>198</v>
      </c>
      <c r="F201">
        <f t="shared" ca="1" si="5"/>
        <v>2.0148737238848583E-2</v>
      </c>
    </row>
    <row r="202" spans="2:6" x14ac:dyDescent="0.35">
      <c r="B202" s="262">
        <v>46010</v>
      </c>
      <c r="C202" s="261">
        <v>3930.1</v>
      </c>
      <c r="D202">
        <v>2.7555941111932557E-3</v>
      </c>
      <c r="E202">
        <v>199</v>
      </c>
      <c r="F202">
        <f t="shared" ca="1" si="5"/>
        <v>9.5529348903706512E-3</v>
      </c>
    </row>
    <row r="203" spans="2:6" x14ac:dyDescent="0.35">
      <c r="B203" s="262">
        <v>46009</v>
      </c>
      <c r="C203" s="261">
        <v>3919.3</v>
      </c>
      <c r="D203">
        <v>2.9171677883262342E-3</v>
      </c>
      <c r="E203">
        <v>200</v>
      </c>
      <c r="F203">
        <f t="shared" ca="1" si="5"/>
        <v>4.6897218261840456E-3</v>
      </c>
    </row>
    <row r="204" spans="2:6" x14ac:dyDescent="0.35">
      <c r="B204" s="262">
        <v>46008</v>
      </c>
      <c r="C204" s="261">
        <v>3907.9</v>
      </c>
      <c r="D204">
        <v>-5.4968825550324235E-3</v>
      </c>
      <c r="E204">
        <v>201</v>
      </c>
      <c r="F204">
        <f t="shared" ca="1" si="5"/>
        <v>-1.4902722085840118E-2</v>
      </c>
    </row>
    <row r="205" spans="2:6" x14ac:dyDescent="0.35">
      <c r="B205" s="262">
        <v>46007</v>
      </c>
      <c r="C205" s="261">
        <v>3929.5</v>
      </c>
      <c r="D205">
        <v>1.6372665666546011E-2</v>
      </c>
      <c r="E205">
        <v>202</v>
      </c>
      <c r="F205">
        <f t="shared" ca="1" si="5"/>
        <v>2.8801856756987877E-3</v>
      </c>
    </row>
    <row r="206" spans="2:6" x14ac:dyDescent="0.35">
      <c r="B206" s="262">
        <v>46006</v>
      </c>
      <c r="C206" s="261">
        <v>3866.2</v>
      </c>
      <c r="D206">
        <v>-3.6080614401319522E-3</v>
      </c>
      <c r="E206">
        <v>203</v>
      </c>
      <c r="F206">
        <f t="shared" ca="1" si="5"/>
        <v>-2.880001675020069E-3</v>
      </c>
    </row>
    <row r="207" spans="2:6" x14ac:dyDescent="0.35">
      <c r="B207" s="262">
        <v>46003</v>
      </c>
      <c r="C207" s="261">
        <v>3880.2</v>
      </c>
      <c r="D207">
        <v>9.207240948813887E-3</v>
      </c>
      <c r="E207">
        <v>204</v>
      </c>
      <c r="F207">
        <f t="shared" ca="1" si="5"/>
        <v>1.5731434179015454E-2</v>
      </c>
    </row>
    <row r="208" spans="2:6" x14ac:dyDescent="0.35">
      <c r="B208" s="262">
        <v>46002</v>
      </c>
      <c r="C208" s="261">
        <v>3844.8</v>
      </c>
      <c r="D208">
        <v>-2.3402761525850594E-4</v>
      </c>
      <c r="E208">
        <v>205</v>
      </c>
      <c r="F208">
        <f t="shared" ca="1" si="5"/>
        <v>1.3794313483874174E-2</v>
      </c>
    </row>
    <row r="209" spans="2:6" x14ac:dyDescent="0.35">
      <c r="B209" s="262">
        <v>46001</v>
      </c>
      <c r="C209" s="261">
        <v>3845.7</v>
      </c>
      <c r="D209">
        <v>-8.5736554949342213E-4</v>
      </c>
      <c r="E209">
        <v>206</v>
      </c>
      <c r="F209">
        <f t="shared" ca="1" si="5"/>
        <v>-2.1211843989937581E-2</v>
      </c>
    </row>
    <row r="210" spans="2:6" x14ac:dyDescent="0.35">
      <c r="B210" s="262">
        <v>46000</v>
      </c>
      <c r="C210" s="261">
        <v>3849</v>
      </c>
      <c r="D210">
        <v>2.1767985134058934E-2</v>
      </c>
      <c r="E210">
        <v>207</v>
      </c>
      <c r="F210">
        <f t="shared" ca="1" si="5"/>
        <v>1.6220666263935455E-2</v>
      </c>
    </row>
    <row r="211" spans="2:6" x14ac:dyDescent="0.35">
      <c r="B211" s="262">
        <v>45999</v>
      </c>
      <c r="C211" s="261">
        <v>3767</v>
      </c>
      <c r="D211">
        <v>-1.2141714525476669E-2</v>
      </c>
      <c r="E211">
        <v>208</v>
      </c>
      <c r="F211">
        <f t="shared" ca="1" si="5"/>
        <v>2.6240319044491616E-3</v>
      </c>
    </row>
    <row r="212" spans="2:6" x14ac:dyDescent="0.35">
      <c r="B212" s="262">
        <v>45996</v>
      </c>
      <c r="C212" s="261">
        <v>3813.3</v>
      </c>
      <c r="D212">
        <v>3.394379538995919E-3</v>
      </c>
      <c r="E212">
        <v>209</v>
      </c>
      <c r="F212">
        <f t="shared" ca="1" si="5"/>
        <v>1.2316690079938849E-2</v>
      </c>
    </row>
    <row r="213" spans="2:6" x14ac:dyDescent="0.35">
      <c r="B213" s="262">
        <v>45995</v>
      </c>
      <c r="C213" s="261">
        <v>3800.4</v>
      </c>
      <c r="D213">
        <v>-4.5575986170045815E-3</v>
      </c>
      <c r="E213">
        <v>210</v>
      </c>
      <c r="F213">
        <f t="shared" ca="1" si="5"/>
        <v>-1.6095458690271222E-2</v>
      </c>
    </row>
    <row r="214" spans="2:6" x14ac:dyDescent="0.35">
      <c r="B214" s="262">
        <v>45994</v>
      </c>
      <c r="C214" s="261">
        <v>3817.8</v>
      </c>
      <c r="D214">
        <v>-1.74996139791034E-2</v>
      </c>
      <c r="E214">
        <v>211</v>
      </c>
      <c r="F214">
        <f t="shared" ca="1" si="5"/>
        <v>4.623976182246939E-3</v>
      </c>
    </row>
    <row r="215" spans="2:6" x14ac:dyDescent="0.35">
      <c r="B215" s="262">
        <v>45993</v>
      </c>
      <c r="C215" s="261">
        <v>3885.8</v>
      </c>
      <c r="D215">
        <v>-2.3363886107473641E-3</v>
      </c>
      <c r="E215">
        <v>212</v>
      </c>
      <c r="F215">
        <f t="shared" ca="1" si="5"/>
        <v>-2.6904645080027552E-2</v>
      </c>
    </row>
    <row r="216" spans="2:6" x14ac:dyDescent="0.35">
      <c r="B216" s="262">
        <v>45992</v>
      </c>
      <c r="C216" s="261">
        <v>3894.9</v>
      </c>
      <c r="D216">
        <v>-3.2755841031808296E-3</v>
      </c>
      <c r="E216">
        <v>213</v>
      </c>
      <c r="F216">
        <f t="shared" ca="1" si="5"/>
        <v>1.9141174752928633E-2</v>
      </c>
    </row>
    <row r="217" spans="2:6" x14ac:dyDescent="0.35">
      <c r="B217" s="262">
        <v>45989</v>
      </c>
      <c r="C217" s="261">
        <v>3907.7</v>
      </c>
      <c r="D217">
        <v>1.127251300181804E-3</v>
      </c>
      <c r="E217">
        <v>214</v>
      </c>
      <c r="F217">
        <f t="shared" ca="1" si="5"/>
        <v>-1.5887833843050191E-3</v>
      </c>
    </row>
    <row r="218" spans="2:6" x14ac:dyDescent="0.35">
      <c r="B218" s="262">
        <v>45988</v>
      </c>
      <c r="C218" s="261">
        <v>3903.3</v>
      </c>
      <c r="D218">
        <v>1.4367447469021126E-3</v>
      </c>
      <c r="E218">
        <v>215</v>
      </c>
      <c r="F218">
        <f t="shared" ca="1" si="5"/>
        <v>-2.1850522609621569E-2</v>
      </c>
    </row>
    <row r="219" spans="2:6" x14ac:dyDescent="0.35">
      <c r="B219" s="262">
        <v>45987</v>
      </c>
      <c r="C219" s="261">
        <v>3897.7</v>
      </c>
      <c r="D219">
        <v>1.1050297009156678E-2</v>
      </c>
      <c r="E219">
        <v>216</v>
      </c>
      <c r="F219">
        <f t="shared" ca="1" si="5"/>
        <v>1.4496803227365997E-2</v>
      </c>
    </row>
    <row r="220" spans="2:6" x14ac:dyDescent="0.35">
      <c r="B220" s="262">
        <v>45986</v>
      </c>
      <c r="C220" s="261">
        <v>3855.1</v>
      </c>
      <c r="D220">
        <v>-4.9557339390342179E-3</v>
      </c>
      <c r="E220">
        <v>217</v>
      </c>
      <c r="F220">
        <f t="shared" ca="1" si="5"/>
        <v>3.1684187105901532E-3</v>
      </c>
    </row>
    <row r="221" spans="2:6" x14ac:dyDescent="0.35">
      <c r="B221" s="262">
        <v>45985</v>
      </c>
      <c r="C221" s="261">
        <v>3874.3</v>
      </c>
      <c r="D221">
        <v>-7.6584191383637203E-3</v>
      </c>
      <c r="E221">
        <v>218</v>
      </c>
      <c r="F221">
        <f t="shared" ca="1" si="5"/>
        <v>-6.1015906484659303E-4</v>
      </c>
    </row>
    <row r="222" spans="2:6" x14ac:dyDescent="0.35">
      <c r="B222" s="262">
        <v>45982</v>
      </c>
      <c r="C222" s="261">
        <v>3904.2</v>
      </c>
      <c r="D222">
        <v>4.6125461254605552E-4</v>
      </c>
      <c r="E222">
        <v>219</v>
      </c>
      <c r="F222">
        <f t="shared" ca="1" si="5"/>
        <v>1.5458569372263437E-2</v>
      </c>
    </row>
    <row r="223" spans="2:6" x14ac:dyDescent="0.35">
      <c r="B223" s="262">
        <v>45981</v>
      </c>
      <c r="C223" s="261">
        <v>3902.4</v>
      </c>
      <c r="D223">
        <v>-7.8055477867330653E-3</v>
      </c>
      <c r="E223">
        <v>220</v>
      </c>
      <c r="F223">
        <f t="shared" ca="1" si="5"/>
        <v>-2.9472399524899188E-4</v>
      </c>
    </row>
    <row r="224" spans="2:6" x14ac:dyDescent="0.35">
      <c r="B224" s="262">
        <v>45980</v>
      </c>
      <c r="C224" s="261">
        <v>3933.1</v>
      </c>
      <c r="D224">
        <v>1.3894617446896291E-2</v>
      </c>
      <c r="E224">
        <v>221</v>
      </c>
      <c r="F224">
        <f t="shared" ca="1" si="5"/>
        <v>-1.9330231772082575E-2</v>
      </c>
    </row>
    <row r="225" spans="2:6" x14ac:dyDescent="0.35">
      <c r="B225" s="262">
        <v>45979</v>
      </c>
      <c r="C225" s="261">
        <v>3879.2</v>
      </c>
      <c r="D225">
        <v>2.7400093056919581E-3</v>
      </c>
      <c r="E225">
        <v>222</v>
      </c>
      <c r="F225">
        <f t="shared" ca="1" si="5"/>
        <v>-2.166528160290053E-3</v>
      </c>
    </row>
    <row r="226" spans="2:6" x14ac:dyDescent="0.35">
      <c r="B226" s="262">
        <v>45978</v>
      </c>
      <c r="C226" s="261">
        <v>3868.6</v>
      </c>
      <c r="D226">
        <v>1.0289355478951242E-2</v>
      </c>
      <c r="E226">
        <v>223</v>
      </c>
      <c r="F226">
        <f t="shared" ca="1" si="5"/>
        <v>9.9971199238391428E-3</v>
      </c>
    </row>
    <row r="227" spans="2:6" x14ac:dyDescent="0.35">
      <c r="B227" s="262">
        <v>45975</v>
      </c>
      <c r="C227" s="261">
        <v>3829.2</v>
      </c>
      <c r="D227">
        <v>-2.6047093144405085E-3</v>
      </c>
      <c r="E227">
        <v>224</v>
      </c>
      <c r="F227">
        <f t="shared" ca="1" si="5"/>
        <v>-6.0151900385802129E-3</v>
      </c>
    </row>
    <row r="228" spans="2:6" x14ac:dyDescent="0.35">
      <c r="B228" s="262">
        <v>45974</v>
      </c>
      <c r="C228" s="261">
        <v>3839.2</v>
      </c>
      <c r="D228">
        <v>-3.0900262262730364E-3</v>
      </c>
      <c r="E228">
        <v>225</v>
      </c>
      <c r="F228">
        <f t="shared" ca="1" si="5"/>
        <v>1.387471159755975E-2</v>
      </c>
    </row>
    <row r="229" spans="2:6" x14ac:dyDescent="0.35">
      <c r="B229" s="262">
        <v>45973</v>
      </c>
      <c r="C229" s="261">
        <v>3851.1</v>
      </c>
      <c r="D229">
        <v>1.0151085930122709E-2</v>
      </c>
      <c r="E229">
        <v>226</v>
      </c>
      <c r="F229">
        <f t="shared" ca="1" si="5"/>
        <v>-9.504870312208525E-3</v>
      </c>
    </row>
    <row r="230" spans="2:6" x14ac:dyDescent="0.35">
      <c r="B230" s="262">
        <v>45972</v>
      </c>
      <c r="C230" s="261">
        <v>3812.4</v>
      </c>
      <c r="D230">
        <v>2.4717328424927929E-3</v>
      </c>
      <c r="E230">
        <v>227</v>
      </c>
      <c r="F230">
        <f t="shared" ca="1" si="5"/>
        <v>1.6317922243190765E-2</v>
      </c>
    </row>
    <row r="231" spans="2:6" x14ac:dyDescent="0.35">
      <c r="B231" s="262">
        <v>45971</v>
      </c>
      <c r="C231" s="261">
        <v>3803</v>
      </c>
      <c r="D231">
        <v>8.940652110471391E-3</v>
      </c>
      <c r="E231">
        <v>228</v>
      </c>
      <c r="F231">
        <f t="shared" ca="1" si="5"/>
        <v>1.4454223634103135E-2</v>
      </c>
    </row>
    <row r="232" spans="2:6" x14ac:dyDescent="0.35">
      <c r="B232" s="262">
        <v>45968</v>
      </c>
      <c r="C232" s="261">
        <v>3769.3</v>
      </c>
      <c r="D232">
        <v>-1.3512081390419429E-3</v>
      </c>
      <c r="E232">
        <v>229</v>
      </c>
      <c r="F232">
        <f t="shared" ca="1" si="5"/>
        <v>1.1014456488045426E-3</v>
      </c>
    </row>
    <row r="233" spans="2:6" x14ac:dyDescent="0.35">
      <c r="B233" s="262">
        <v>45967</v>
      </c>
      <c r="C233" s="261">
        <v>3774.4</v>
      </c>
      <c r="D233">
        <v>-1.0253048380752566E-2</v>
      </c>
      <c r="E233">
        <v>230</v>
      </c>
      <c r="F233">
        <f t="shared" ca="1" si="5"/>
        <v>-3.9961191067583191E-4</v>
      </c>
    </row>
    <row r="234" spans="2:6" x14ac:dyDescent="0.35">
      <c r="B234" s="262">
        <v>45965</v>
      </c>
      <c r="C234" s="261">
        <v>3813.5</v>
      </c>
      <c r="D234">
        <v>2.389582494294536E-2</v>
      </c>
      <c r="E234">
        <v>231</v>
      </c>
      <c r="F234">
        <f t="shared" ca="1" si="5"/>
        <v>9.9476437108330772E-3</v>
      </c>
    </row>
    <row r="235" spans="2:6" x14ac:dyDescent="0.35">
      <c r="B235" s="262">
        <v>45964</v>
      </c>
      <c r="C235" s="261">
        <v>3724.5</v>
      </c>
      <c r="D235">
        <v>-5.9252141884858197E-3</v>
      </c>
      <c r="E235">
        <v>232</v>
      </c>
      <c r="F235">
        <f t="shared" ca="1" si="5"/>
        <v>1.5175242499388205E-2</v>
      </c>
    </row>
    <row r="236" spans="2:6" x14ac:dyDescent="0.35">
      <c r="B236" s="262">
        <v>45961</v>
      </c>
      <c r="C236" s="261">
        <v>3746.7</v>
      </c>
      <c r="D236">
        <v>-1.0664675927160264E-3</v>
      </c>
      <c r="E236">
        <v>233</v>
      </c>
      <c r="F236">
        <f t="shared" ca="1" si="5"/>
        <v>-6.7697553379733712E-3</v>
      </c>
    </row>
    <row r="237" spans="2:6" x14ac:dyDescent="0.35">
      <c r="B237" s="262">
        <v>45960</v>
      </c>
      <c r="C237" s="261">
        <v>3750.7</v>
      </c>
      <c r="D237">
        <v>6.4029026492000006E-4</v>
      </c>
      <c r="E237">
        <v>234</v>
      </c>
      <c r="F237">
        <f t="shared" ca="1" si="5"/>
        <v>2.287823242416164E-3</v>
      </c>
    </row>
    <row r="238" spans="2:6" x14ac:dyDescent="0.35">
      <c r="B238" s="262">
        <v>45959</v>
      </c>
      <c r="C238" s="261">
        <v>3748.3</v>
      </c>
      <c r="D238">
        <v>8.4207694377186389E-3</v>
      </c>
      <c r="E238">
        <v>235</v>
      </c>
      <c r="F238">
        <f t="shared" ca="1" si="5"/>
        <v>6.7096621690525392E-3</v>
      </c>
    </row>
    <row r="239" spans="2:6" x14ac:dyDescent="0.35">
      <c r="B239" s="262">
        <v>45958</v>
      </c>
      <c r="C239" s="261">
        <v>3717</v>
      </c>
      <c r="D239">
        <v>-6.096582704957533E-3</v>
      </c>
      <c r="E239">
        <v>236</v>
      </c>
      <c r="F239">
        <f t="shared" ca="1" si="5"/>
        <v>-1.1668456445071628E-2</v>
      </c>
    </row>
    <row r="240" spans="2:6" x14ac:dyDescent="0.35">
      <c r="B240" s="262">
        <v>45957</v>
      </c>
      <c r="C240" s="261">
        <v>3739.8</v>
      </c>
      <c r="D240">
        <v>6.7027376241621823E-3</v>
      </c>
      <c r="E240">
        <v>237</v>
      </c>
      <c r="F240">
        <f t="shared" ca="1" si="5"/>
        <v>-2.0488787351345655E-2</v>
      </c>
    </row>
    <row r="241" spans="2:6" x14ac:dyDescent="0.35">
      <c r="B241" s="262">
        <v>45954</v>
      </c>
      <c r="C241" s="261">
        <v>3714.9</v>
      </c>
      <c r="D241">
        <v>-1.5216181109667866E-2</v>
      </c>
      <c r="E241">
        <v>238</v>
      </c>
      <c r="F241">
        <f t="shared" ca="1" si="5"/>
        <v>9.0133304146015995E-3</v>
      </c>
    </row>
    <row r="242" spans="2:6" x14ac:dyDescent="0.35">
      <c r="B242" s="262">
        <v>45953</v>
      </c>
      <c r="C242" s="261">
        <v>3772.3</v>
      </c>
      <c r="D242">
        <v>1.1611692142665643E-2</v>
      </c>
      <c r="E242">
        <v>239</v>
      </c>
      <c r="F242">
        <f t="shared" ca="1" si="5"/>
        <v>2.887325085666209E-3</v>
      </c>
    </row>
    <row r="243" spans="2:6" x14ac:dyDescent="0.35">
      <c r="B243" s="262">
        <v>45951</v>
      </c>
      <c r="C243" s="261">
        <v>3729</v>
      </c>
      <c r="D243">
        <v>-2.1941560526596965E-3</v>
      </c>
      <c r="E243">
        <v>240</v>
      </c>
      <c r="F243">
        <f t="shared" ca="1" si="5"/>
        <v>-2.3182361034259878E-3</v>
      </c>
    </row>
    <row r="244" spans="2:6" x14ac:dyDescent="0.35">
      <c r="B244" s="262">
        <v>45950</v>
      </c>
      <c r="C244" s="261">
        <v>3737.2</v>
      </c>
      <c r="D244">
        <v>1.6980515946445965E-2</v>
      </c>
      <c r="E244">
        <v>241</v>
      </c>
      <c r="F244">
        <f t="shared" ca="1" si="5"/>
        <v>5.4835767317205951E-4</v>
      </c>
    </row>
    <row r="245" spans="2:6" x14ac:dyDescent="0.35">
      <c r="B245" s="262">
        <v>45947</v>
      </c>
      <c r="C245" s="261">
        <v>3674.8</v>
      </c>
      <c r="D245">
        <v>9.4772408867401028E-3</v>
      </c>
      <c r="E245">
        <v>242</v>
      </c>
      <c r="F245">
        <f t="shared" ca="1" si="5"/>
        <v>1.5876234368618722E-2</v>
      </c>
    </row>
    <row r="246" spans="2:6" x14ac:dyDescent="0.35">
      <c r="B246" s="262">
        <v>45946</v>
      </c>
      <c r="C246" s="261">
        <v>3640.3</v>
      </c>
      <c r="D246">
        <v>2.5725556494787315E-2</v>
      </c>
      <c r="E246">
        <v>243</v>
      </c>
      <c r="F246">
        <f t="shared" ca="1" si="5"/>
        <v>1.0200381570794826E-2</v>
      </c>
    </row>
    <row r="247" spans="2:6" x14ac:dyDescent="0.35">
      <c r="B247" s="262">
        <v>45945</v>
      </c>
      <c r="C247" s="261">
        <v>3549</v>
      </c>
      <c r="D247">
        <v>3.2792446429580789E-3</v>
      </c>
      <c r="E247">
        <v>244</v>
      </c>
      <c r="F247">
        <f t="shared" ca="1" si="5"/>
        <v>-9.3538595767607494E-3</v>
      </c>
    </row>
    <row r="248" spans="2:6" x14ac:dyDescent="0.35">
      <c r="B248" s="262">
        <v>45944</v>
      </c>
      <c r="C248" s="261">
        <v>3537.4</v>
      </c>
      <c r="D248">
        <v>1.0753905365633296E-3</v>
      </c>
      <c r="E248">
        <v>245</v>
      </c>
      <c r="F248">
        <f t="shared" ca="1" si="5"/>
        <v>1.3668313685809015E-2</v>
      </c>
    </row>
    <row r="249" spans="2:6" x14ac:dyDescent="0.35">
      <c r="B249" s="262">
        <v>45943</v>
      </c>
      <c r="C249" s="261">
        <v>3533.6</v>
      </c>
      <c r="D249">
        <v>4.8132733089833177E-4</v>
      </c>
      <c r="E249">
        <v>246</v>
      </c>
      <c r="F249">
        <f t="shared" ca="1" si="5"/>
        <v>-1.9410523201091063E-2</v>
      </c>
    </row>
    <row r="250" spans="2:6" x14ac:dyDescent="0.35">
      <c r="B250" s="262">
        <v>45940</v>
      </c>
      <c r="C250" s="261">
        <v>3531.9</v>
      </c>
      <c r="D250">
        <v>-5.266715484706759E-3</v>
      </c>
      <c r="E250">
        <v>247</v>
      </c>
      <c r="F250">
        <f t="shared" ca="1" si="5"/>
        <v>1.9877753340493197E-3</v>
      </c>
    </row>
    <row r="251" spans="2:6" x14ac:dyDescent="0.35">
      <c r="B251" s="262">
        <v>45939</v>
      </c>
      <c r="C251" s="261">
        <v>3550.6</v>
      </c>
      <c r="D251">
        <v>-4.2068656046668164E-3</v>
      </c>
      <c r="E251">
        <v>248</v>
      </c>
      <c r="F251">
        <f t="shared" ca="1" si="5"/>
        <v>2.2270635188002649E-2</v>
      </c>
    </row>
    <row r="252" spans="2:6" x14ac:dyDescent="0.35">
      <c r="B252" s="262">
        <v>45938</v>
      </c>
      <c r="C252" s="261">
        <v>3565.6</v>
      </c>
      <c r="D252">
        <v>4.312211105260081E-2</v>
      </c>
      <c r="E252">
        <v>249</v>
      </c>
      <c r="F252">
        <f t="shared" ca="1" si="5"/>
        <v>1.312689741350857E-2</v>
      </c>
    </row>
    <row r="253" spans="2:6" x14ac:dyDescent="0.35">
      <c r="B253" s="262">
        <v>45937</v>
      </c>
      <c r="C253" s="261">
        <v>3418.2</v>
      </c>
      <c r="D253">
        <v>-2.1019442984761701E-3</v>
      </c>
      <c r="E253">
        <v>250</v>
      </c>
      <c r="F253">
        <f t="shared" ca="1" si="5"/>
        <v>-1.4074068945853979E-2</v>
      </c>
    </row>
    <row r="254" spans="2:6" x14ac:dyDescent="0.35">
      <c r="B254" s="262">
        <v>45936</v>
      </c>
      <c r="C254" s="261">
        <v>3425.4</v>
      </c>
      <c r="D254">
        <v>-8.0792285639823044E-3</v>
      </c>
      <c r="E254">
        <v>251</v>
      </c>
      <c r="F254">
        <f t="shared" ca="1" si="5"/>
        <v>-5.5173418728262404E-3</v>
      </c>
    </row>
    <row r="255" spans="2:6" x14ac:dyDescent="0.35">
      <c r="B255" s="262">
        <v>45933</v>
      </c>
      <c r="C255" s="261">
        <v>3453.3</v>
      </c>
      <c r="D255">
        <v>1.3203063110641669E-2</v>
      </c>
      <c r="E255">
        <v>252</v>
      </c>
      <c r="F255">
        <f t="shared" ca="1" si="5"/>
        <v>1.0695961637080267E-2</v>
      </c>
    </row>
    <row r="256" spans="2:6" x14ac:dyDescent="0.35">
      <c r="B256" s="262">
        <v>45931</v>
      </c>
      <c r="C256" s="261">
        <v>3408.3</v>
      </c>
      <c r="D256">
        <v>1.2266112266112321E-2</v>
      </c>
      <c r="E256">
        <v>253</v>
      </c>
      <c r="F256">
        <f t="shared" ca="1" si="5"/>
        <v>1.5862846922629924E-2</v>
      </c>
    </row>
    <row r="257" spans="2:6" x14ac:dyDescent="0.35">
      <c r="B257" s="262">
        <v>45930</v>
      </c>
      <c r="C257" s="261">
        <v>3367</v>
      </c>
      <c r="D257">
        <v>-1.005527460896149E-2</v>
      </c>
      <c r="E257">
        <v>254</v>
      </c>
      <c r="F257">
        <f t="shared" ca="1" si="5"/>
        <v>-1.9694366110407067E-2</v>
      </c>
    </row>
    <row r="258" spans="2:6" x14ac:dyDescent="0.35">
      <c r="B258" s="262">
        <v>45929</v>
      </c>
      <c r="C258" s="261">
        <v>3401.2</v>
      </c>
      <c r="D258">
        <v>2.2210200462837625E-2</v>
      </c>
      <c r="E258">
        <v>255</v>
      </c>
      <c r="F258">
        <f t="shared" ca="1" si="5"/>
        <v>2.8879286833691088E-3</v>
      </c>
    </row>
    <row r="259" spans="2:6" x14ac:dyDescent="0.35">
      <c r="B259" s="262">
        <v>45926</v>
      </c>
      <c r="C259" s="261">
        <v>3327.3</v>
      </c>
      <c r="D259">
        <v>-1.5154654432440379E-2</v>
      </c>
      <c r="E259">
        <v>256</v>
      </c>
      <c r="F259">
        <f t="shared" ca="1" si="5"/>
        <v>7.8749343284823109E-3</v>
      </c>
    </row>
    <row r="260" spans="2:6" x14ac:dyDescent="0.35">
      <c r="B260" s="262">
        <v>45925</v>
      </c>
      <c r="C260" s="261">
        <v>3378.5</v>
      </c>
      <c r="D260">
        <v>-1.1643214463329778E-2</v>
      </c>
      <c r="E260">
        <v>257</v>
      </c>
      <c r="F260">
        <f t="shared" ca="1" si="5"/>
        <v>-1.2187321718544411E-2</v>
      </c>
    </row>
    <row r="261" spans="2:6" x14ac:dyDescent="0.35">
      <c r="B261" s="262">
        <v>45924</v>
      </c>
      <c r="C261" s="261">
        <v>3418.3</v>
      </c>
      <c r="D261">
        <v>-6.0769946499184806E-3</v>
      </c>
      <c r="E261">
        <v>258</v>
      </c>
      <c r="F261">
        <f t="shared" ref="F261:F324" ca="1" si="6">_xlfn.NORM.INV(RAND(),M$6,M$7)</f>
        <v>1.9392523107541675E-2</v>
      </c>
    </row>
    <row r="262" spans="2:6" x14ac:dyDescent="0.35">
      <c r="B262" s="262">
        <v>45923</v>
      </c>
      <c r="C262" s="261">
        <v>3439.2</v>
      </c>
      <c r="D262">
        <v>-5.2928416485900744E-3</v>
      </c>
      <c r="E262">
        <v>259</v>
      </c>
      <c r="F262">
        <f t="shared" ca="1" si="6"/>
        <v>-1.3485544219972445E-2</v>
      </c>
    </row>
    <row r="263" spans="2:6" x14ac:dyDescent="0.35">
      <c r="B263" s="262">
        <v>45922</v>
      </c>
      <c r="C263" s="261">
        <v>3457.5</v>
      </c>
      <c r="D263">
        <v>-2.7976465159205753E-3</v>
      </c>
      <c r="E263">
        <v>260</v>
      </c>
      <c r="F263">
        <f t="shared" ca="1" si="6"/>
        <v>-1.2331704715417009E-2</v>
      </c>
    </row>
    <row r="264" spans="2:6" x14ac:dyDescent="0.35">
      <c r="B264" s="262">
        <v>45919</v>
      </c>
      <c r="C264" s="261">
        <v>3467.2</v>
      </c>
      <c r="D264">
        <v>-1.2559450915615403E-2</v>
      </c>
      <c r="E264">
        <v>261</v>
      </c>
      <c r="F264">
        <f t="shared" ca="1" si="6"/>
        <v>4.2359160172070441E-3</v>
      </c>
    </row>
    <row r="265" spans="2:6" x14ac:dyDescent="0.35">
      <c r="B265" s="262">
        <v>45918</v>
      </c>
      <c r="C265" s="261">
        <v>3511.3</v>
      </c>
      <c r="D265">
        <v>-3.3210332103320518E-3</v>
      </c>
      <c r="E265">
        <v>262</v>
      </c>
      <c r="F265">
        <f t="shared" ca="1" si="6"/>
        <v>-4.0144040192809224E-3</v>
      </c>
    </row>
    <row r="266" spans="2:6" x14ac:dyDescent="0.35">
      <c r="B266" s="262">
        <v>45917</v>
      </c>
      <c r="C266" s="261">
        <v>3523</v>
      </c>
      <c r="D266">
        <v>-9.5029239766082386E-3</v>
      </c>
      <c r="E266">
        <v>263</v>
      </c>
      <c r="F266">
        <f t="shared" ca="1" si="6"/>
        <v>1.9881482967895714E-2</v>
      </c>
    </row>
    <row r="267" spans="2:6" x14ac:dyDescent="0.35">
      <c r="B267" s="262">
        <v>45916</v>
      </c>
      <c r="C267" s="261">
        <v>3556.8</v>
      </c>
      <c r="D267">
        <v>6.4231346028692663E-3</v>
      </c>
      <c r="E267">
        <v>264</v>
      </c>
      <c r="F267">
        <f t="shared" ca="1" si="6"/>
        <v>-1.7185762389305189E-2</v>
      </c>
    </row>
    <row r="268" spans="2:6" x14ac:dyDescent="0.35">
      <c r="B268" s="262">
        <v>45915</v>
      </c>
      <c r="C268" s="261">
        <v>3534.1</v>
      </c>
      <c r="D268">
        <v>-1.0582603096391327E-2</v>
      </c>
      <c r="E268">
        <v>265</v>
      </c>
      <c r="F268">
        <f t="shared" ca="1" si="6"/>
        <v>-2.2037500974486368E-2</v>
      </c>
    </row>
    <row r="269" spans="2:6" x14ac:dyDescent="0.35">
      <c r="B269" s="262">
        <v>45912</v>
      </c>
      <c r="C269" s="261">
        <v>3571.9</v>
      </c>
      <c r="D269">
        <v>-3.4317281401706735E-3</v>
      </c>
      <c r="E269">
        <v>266</v>
      </c>
      <c r="F269">
        <f t="shared" ca="1" si="6"/>
        <v>1.2441328404468684E-3</v>
      </c>
    </row>
    <row r="270" spans="2:6" x14ac:dyDescent="0.35">
      <c r="B270" s="262">
        <v>45911</v>
      </c>
      <c r="C270" s="261">
        <v>3584.2</v>
      </c>
      <c r="D270">
        <v>-1.0053582279180271E-2</v>
      </c>
      <c r="E270">
        <v>267</v>
      </c>
      <c r="F270">
        <f t="shared" ca="1" si="6"/>
        <v>-1.5585564474267229E-2</v>
      </c>
    </row>
    <row r="271" spans="2:6" x14ac:dyDescent="0.35">
      <c r="B271" s="262">
        <v>45910</v>
      </c>
      <c r="C271" s="261">
        <v>3620.6</v>
      </c>
      <c r="D271">
        <v>-2.6170077959284869E-3</v>
      </c>
      <c r="E271">
        <v>268</v>
      </c>
      <c r="F271">
        <f t="shared" ca="1" si="6"/>
        <v>1.3114001045405584E-2</v>
      </c>
    </row>
    <row r="272" spans="2:6" x14ac:dyDescent="0.35">
      <c r="B272" s="262">
        <v>45909</v>
      </c>
      <c r="C272" s="261">
        <v>3630.1</v>
      </c>
      <c r="D272">
        <v>-7.6271186440678212E-3</v>
      </c>
      <c r="E272">
        <v>269</v>
      </c>
      <c r="F272">
        <f t="shared" ca="1" si="6"/>
        <v>-2.1813539574486759E-3</v>
      </c>
    </row>
    <row r="273" spans="2:6" x14ac:dyDescent="0.35">
      <c r="B273" s="262">
        <v>45908</v>
      </c>
      <c r="C273" s="261">
        <v>3658</v>
      </c>
      <c r="D273">
        <v>-1.9916514337162527E-3</v>
      </c>
      <c r="E273">
        <v>270</v>
      </c>
      <c r="F273">
        <f t="shared" ca="1" si="6"/>
        <v>1.0323172968040846E-2</v>
      </c>
    </row>
    <row r="274" spans="2:6" x14ac:dyDescent="0.35">
      <c r="B274" s="262">
        <v>45905</v>
      </c>
      <c r="C274" s="261">
        <v>3665.3</v>
      </c>
      <c r="D274">
        <v>-6.9897862425834381E-3</v>
      </c>
      <c r="E274">
        <v>271</v>
      </c>
      <c r="F274">
        <f t="shared" ca="1" si="6"/>
        <v>-9.5506445398999378E-3</v>
      </c>
    </row>
    <row r="275" spans="2:6" x14ac:dyDescent="0.35">
      <c r="B275" s="262">
        <v>45904</v>
      </c>
      <c r="C275" s="261">
        <v>3691.1</v>
      </c>
      <c r="D275">
        <v>1.3547932585487456E-4</v>
      </c>
      <c r="E275">
        <v>272</v>
      </c>
      <c r="F275">
        <f t="shared" ca="1" si="6"/>
        <v>8.2519045135735231E-3</v>
      </c>
    </row>
    <row r="276" spans="2:6" x14ac:dyDescent="0.35">
      <c r="B276" s="262">
        <v>45903</v>
      </c>
      <c r="C276" s="261">
        <v>3690.6</v>
      </c>
      <c r="D276">
        <v>1.9333812075346627E-2</v>
      </c>
      <c r="E276">
        <v>273</v>
      </c>
      <c r="F276">
        <f t="shared" ca="1" si="6"/>
        <v>2.6799878235897459E-3</v>
      </c>
    </row>
    <row r="277" spans="2:6" x14ac:dyDescent="0.35">
      <c r="B277" s="262">
        <v>45902</v>
      </c>
      <c r="C277" s="261">
        <v>3620.6</v>
      </c>
      <c r="D277">
        <v>5.5269993920300674E-4</v>
      </c>
      <c r="E277">
        <v>274</v>
      </c>
      <c r="F277">
        <f t="shared" ca="1" si="6"/>
        <v>-9.289063166585395E-3</v>
      </c>
    </row>
    <row r="278" spans="2:6" x14ac:dyDescent="0.35">
      <c r="B278" s="262">
        <v>45901</v>
      </c>
      <c r="C278" s="261">
        <v>3618.6</v>
      </c>
      <c r="D278">
        <v>-2.8108465608466357E-3</v>
      </c>
      <c r="E278">
        <v>275</v>
      </c>
      <c r="F278">
        <f t="shared" ca="1" si="6"/>
        <v>-1.9180550954741155E-2</v>
      </c>
    </row>
    <row r="279" spans="2:6" x14ac:dyDescent="0.35">
      <c r="B279" s="262">
        <v>45898</v>
      </c>
      <c r="C279" s="261">
        <v>3628.8</v>
      </c>
      <c r="D279">
        <v>-2.4466008741786394E-3</v>
      </c>
      <c r="E279">
        <v>276</v>
      </c>
      <c r="F279">
        <f t="shared" ca="1" si="6"/>
        <v>1.6222975084743782E-2</v>
      </c>
    </row>
    <row r="280" spans="2:6" x14ac:dyDescent="0.35">
      <c r="B280" s="262">
        <v>45897</v>
      </c>
      <c r="C280" s="261">
        <v>3637.7</v>
      </c>
      <c r="D280">
        <v>1.2159154145798502E-2</v>
      </c>
      <c r="E280">
        <v>277</v>
      </c>
      <c r="F280">
        <f t="shared" ca="1" si="6"/>
        <v>-1.0905750720203397E-2</v>
      </c>
    </row>
    <row r="281" spans="2:6" x14ac:dyDescent="0.35">
      <c r="B281" s="262">
        <v>45895</v>
      </c>
      <c r="C281" s="261">
        <v>3594</v>
      </c>
      <c r="D281">
        <v>-1.5719997809059562E-2</v>
      </c>
      <c r="E281">
        <v>278</v>
      </c>
      <c r="F281">
        <f t="shared" ca="1" si="6"/>
        <v>6.4671745570354317E-3</v>
      </c>
    </row>
    <row r="282" spans="2:6" x14ac:dyDescent="0.35">
      <c r="B282" s="262">
        <v>45894</v>
      </c>
      <c r="C282" s="261">
        <v>3651.4</v>
      </c>
      <c r="D282">
        <v>8.3954708644021232E-3</v>
      </c>
      <c r="E282">
        <v>279</v>
      </c>
      <c r="F282">
        <f t="shared" ca="1" si="6"/>
        <v>1.1173873871997851E-2</v>
      </c>
    </row>
    <row r="283" spans="2:6" x14ac:dyDescent="0.35">
      <c r="B283" s="262">
        <v>45891</v>
      </c>
      <c r="C283" s="261">
        <v>3621</v>
      </c>
      <c r="D283">
        <v>1.2996709343803938E-3</v>
      </c>
      <c r="E283">
        <v>280</v>
      </c>
      <c r="F283">
        <f t="shared" ca="1" si="6"/>
        <v>8.229820416675717E-3</v>
      </c>
    </row>
    <row r="284" spans="2:6" x14ac:dyDescent="0.35">
      <c r="B284" s="262">
        <v>45890</v>
      </c>
      <c r="C284" s="261">
        <v>3616.3</v>
      </c>
      <c r="D284">
        <v>5.9248956884562394E-3</v>
      </c>
      <c r="E284">
        <v>281</v>
      </c>
      <c r="F284">
        <f t="shared" ca="1" si="6"/>
        <v>-7.5811429269515007E-4</v>
      </c>
    </row>
    <row r="285" spans="2:6" x14ac:dyDescent="0.35">
      <c r="B285" s="262">
        <v>45889</v>
      </c>
      <c r="C285" s="261">
        <v>3595</v>
      </c>
      <c r="D285">
        <v>7.5390263725792694E-3</v>
      </c>
      <c r="E285">
        <v>282</v>
      </c>
      <c r="F285">
        <f t="shared" ca="1" si="6"/>
        <v>-9.441751476854391E-3</v>
      </c>
    </row>
    <row r="286" spans="2:6" x14ac:dyDescent="0.35">
      <c r="B286" s="262">
        <v>45888</v>
      </c>
      <c r="C286" s="261">
        <v>3568.1</v>
      </c>
      <c r="D286">
        <v>3.7414200517609224E-3</v>
      </c>
      <c r="E286">
        <v>283</v>
      </c>
      <c r="F286">
        <f t="shared" ca="1" si="6"/>
        <v>-9.5688850547124577E-3</v>
      </c>
    </row>
    <row r="287" spans="2:6" x14ac:dyDescent="0.35">
      <c r="B287" s="262">
        <v>45887</v>
      </c>
      <c r="C287" s="261">
        <v>3554.8</v>
      </c>
      <c r="D287">
        <v>1.8742477216713502E-2</v>
      </c>
      <c r="E287">
        <v>284</v>
      </c>
      <c r="F287">
        <f t="shared" ca="1" si="6"/>
        <v>1.879179271786182E-2</v>
      </c>
    </row>
    <row r="288" spans="2:6" x14ac:dyDescent="0.35">
      <c r="B288" s="262">
        <v>45883</v>
      </c>
      <c r="C288" s="261">
        <v>3489.4</v>
      </c>
      <c r="D288">
        <v>6.5189800392292342E-3</v>
      </c>
      <c r="E288">
        <v>285</v>
      </c>
      <c r="F288">
        <f t="shared" ca="1" si="6"/>
        <v>-4.8195554625899591E-3</v>
      </c>
    </row>
    <row r="289" spans="2:6" x14ac:dyDescent="0.35">
      <c r="B289" s="262">
        <v>45882</v>
      </c>
      <c r="C289" s="261">
        <v>3466.8</v>
      </c>
      <c r="D289">
        <v>-5.7359183205231154E-3</v>
      </c>
      <c r="E289">
        <v>286</v>
      </c>
      <c r="F289">
        <f t="shared" ca="1" si="6"/>
        <v>2.6892646095111024E-3</v>
      </c>
    </row>
    <row r="290" spans="2:6" x14ac:dyDescent="0.35">
      <c r="B290" s="262">
        <v>45881</v>
      </c>
      <c r="C290" s="261">
        <v>3486.8</v>
      </c>
      <c r="D290">
        <v>5.449984140257819E-3</v>
      </c>
      <c r="E290">
        <v>287</v>
      </c>
      <c r="F290">
        <f t="shared" ca="1" si="6"/>
        <v>-3.603061724079757E-2</v>
      </c>
    </row>
    <row r="291" spans="2:6" x14ac:dyDescent="0.35">
      <c r="B291" s="262">
        <v>45880</v>
      </c>
      <c r="C291" s="261">
        <v>3467.9</v>
      </c>
      <c r="D291">
        <v>2.2253048956708496E-3</v>
      </c>
      <c r="E291">
        <v>288</v>
      </c>
      <c r="F291">
        <f t="shared" ca="1" si="6"/>
        <v>2.1578075551773511E-2</v>
      </c>
    </row>
    <row r="292" spans="2:6" x14ac:dyDescent="0.35">
      <c r="B292" s="262">
        <v>45877</v>
      </c>
      <c r="C292" s="261">
        <v>3460.2</v>
      </c>
      <c r="D292">
        <v>1.3028076236203414E-2</v>
      </c>
      <c r="E292">
        <v>289</v>
      </c>
      <c r="F292">
        <f t="shared" ca="1" si="6"/>
        <v>1.6199228466480805E-2</v>
      </c>
    </row>
    <row r="293" spans="2:6" x14ac:dyDescent="0.35">
      <c r="B293" s="262">
        <v>45876</v>
      </c>
      <c r="C293" s="261">
        <v>3415.7</v>
      </c>
      <c r="D293">
        <v>-5.8518886970769816E-4</v>
      </c>
      <c r="E293">
        <v>290</v>
      </c>
      <c r="F293">
        <f t="shared" ca="1" si="6"/>
        <v>1.4155809621994734E-2</v>
      </c>
    </row>
    <row r="294" spans="2:6" x14ac:dyDescent="0.35">
      <c r="B294" s="262">
        <v>45875</v>
      </c>
      <c r="C294" s="261">
        <v>3417.7</v>
      </c>
      <c r="D294">
        <v>-1.4627581768182084E-4</v>
      </c>
      <c r="E294">
        <v>291</v>
      </c>
      <c r="F294">
        <f t="shared" ca="1" si="6"/>
        <v>1.1059484940113273E-2</v>
      </c>
    </row>
    <row r="295" spans="2:6" x14ac:dyDescent="0.35">
      <c r="B295" s="262">
        <v>45874</v>
      </c>
      <c r="C295" s="261">
        <v>3418.2</v>
      </c>
      <c r="D295">
        <v>1.8442928224532858E-2</v>
      </c>
      <c r="E295">
        <v>292</v>
      </c>
      <c r="F295">
        <f t="shared" ca="1" si="6"/>
        <v>-6.2323416307019965E-3</v>
      </c>
    </row>
    <row r="296" spans="2:6" x14ac:dyDescent="0.35">
      <c r="B296" s="262">
        <v>45873</v>
      </c>
      <c r="C296" s="261">
        <v>3356.3</v>
      </c>
      <c r="D296">
        <v>1.2153196622436725E-2</v>
      </c>
      <c r="E296">
        <v>293</v>
      </c>
      <c r="F296">
        <f t="shared" ca="1" si="6"/>
        <v>1.2672232609392894E-2</v>
      </c>
    </row>
    <row r="297" spans="2:6" x14ac:dyDescent="0.35">
      <c r="B297" s="262">
        <v>45870</v>
      </c>
      <c r="C297" s="261">
        <v>3316</v>
      </c>
      <c r="D297">
        <v>-9.3508200639321783E-3</v>
      </c>
      <c r="E297">
        <v>294</v>
      </c>
      <c r="F297">
        <f t="shared" ca="1" si="6"/>
        <v>1.2503720363564201E-2</v>
      </c>
    </row>
    <row r="298" spans="2:6" x14ac:dyDescent="0.35">
      <c r="B298" s="262">
        <v>45869</v>
      </c>
      <c r="C298" s="261">
        <v>3347.3</v>
      </c>
      <c r="D298">
        <v>-8.6480082926106375E-3</v>
      </c>
      <c r="E298">
        <v>295</v>
      </c>
      <c r="F298">
        <f t="shared" ca="1" si="6"/>
        <v>-9.1481825872131734E-3</v>
      </c>
    </row>
    <row r="299" spans="2:6" x14ac:dyDescent="0.35">
      <c r="B299" s="262">
        <v>45868</v>
      </c>
      <c r="C299" s="261">
        <v>3376.5</v>
      </c>
      <c r="D299">
        <v>-7.9900568181812798E-4</v>
      </c>
      <c r="E299">
        <v>296</v>
      </c>
      <c r="F299">
        <f t="shared" ca="1" si="6"/>
        <v>-7.5107981719531574E-4</v>
      </c>
    </row>
    <row r="300" spans="2:6" x14ac:dyDescent="0.35">
      <c r="B300" s="262">
        <v>45867</v>
      </c>
      <c r="C300" s="261">
        <v>3379.2</v>
      </c>
      <c r="D300">
        <v>-4.0671971706455002E-3</v>
      </c>
      <c r="E300">
        <v>297</v>
      </c>
      <c r="F300">
        <f t="shared" ca="1" si="6"/>
        <v>-7.9295559661410504E-4</v>
      </c>
    </row>
    <row r="301" spans="2:6" x14ac:dyDescent="0.35">
      <c r="B301" s="262">
        <v>45866</v>
      </c>
      <c r="C301" s="261">
        <v>3393</v>
      </c>
      <c r="D301">
        <v>-2.0157098301952229E-2</v>
      </c>
      <c r="E301">
        <v>298</v>
      </c>
      <c r="F301">
        <f t="shared" ca="1" si="6"/>
        <v>-2.9522298125675899E-2</v>
      </c>
    </row>
    <row r="302" spans="2:6" x14ac:dyDescent="0.35">
      <c r="B302" s="262">
        <v>45863</v>
      </c>
      <c r="C302" s="261">
        <v>3462.8</v>
      </c>
      <c r="D302">
        <v>-6.1990586614624928E-3</v>
      </c>
      <c r="E302">
        <v>299</v>
      </c>
      <c r="F302">
        <f t="shared" ca="1" si="6"/>
        <v>5.9727235469696285E-3</v>
      </c>
    </row>
    <row r="303" spans="2:6" x14ac:dyDescent="0.35">
      <c r="B303" s="262">
        <v>45862</v>
      </c>
      <c r="C303" s="261">
        <v>3484.4</v>
      </c>
      <c r="D303">
        <v>3.7448867891916805E-3</v>
      </c>
      <c r="E303">
        <v>300</v>
      </c>
      <c r="F303">
        <f t="shared" ca="1" si="6"/>
        <v>9.7627381195501579E-3</v>
      </c>
    </row>
    <row r="304" spans="2:6" x14ac:dyDescent="0.35">
      <c r="B304" s="262">
        <v>45861</v>
      </c>
      <c r="C304" s="261">
        <v>3471.4</v>
      </c>
      <c r="D304">
        <v>-2.8798525515493607E-4</v>
      </c>
      <c r="E304">
        <v>301</v>
      </c>
      <c r="F304">
        <f t="shared" ca="1" si="6"/>
        <v>-6.6056419864840791E-3</v>
      </c>
    </row>
    <row r="305" spans="2:6" x14ac:dyDescent="0.35">
      <c r="B305" s="262">
        <v>45860</v>
      </c>
      <c r="C305" s="261">
        <v>3472.4</v>
      </c>
      <c r="D305">
        <v>1.1476842411884675E-2</v>
      </c>
      <c r="E305">
        <v>302</v>
      </c>
      <c r="F305">
        <f t="shared" ca="1" si="6"/>
        <v>6.8984389880188133E-4</v>
      </c>
    </row>
    <row r="306" spans="2:6" x14ac:dyDescent="0.35">
      <c r="B306" s="262">
        <v>45859</v>
      </c>
      <c r="C306" s="261">
        <v>3433</v>
      </c>
      <c r="D306">
        <v>8.8453965735108015E-3</v>
      </c>
      <c r="E306">
        <v>303</v>
      </c>
      <c r="F306">
        <f t="shared" ca="1" si="6"/>
        <v>-5.0154340703828914E-3</v>
      </c>
    </row>
    <row r="307" spans="2:6" x14ac:dyDescent="0.35">
      <c r="B307" s="262">
        <v>45856</v>
      </c>
      <c r="C307" s="261">
        <v>3402.9</v>
      </c>
      <c r="D307">
        <v>-8.8544548976203907E-3</v>
      </c>
      <c r="E307">
        <v>304</v>
      </c>
      <c r="F307">
        <f t="shared" ca="1" si="6"/>
        <v>8.9547936681262583E-3</v>
      </c>
    </row>
    <row r="308" spans="2:6" x14ac:dyDescent="0.35">
      <c r="B308" s="262">
        <v>45855</v>
      </c>
      <c r="C308" s="261">
        <v>3433.3</v>
      </c>
      <c r="D308">
        <v>4.6820589354168492E-3</v>
      </c>
      <c r="E308">
        <v>305</v>
      </c>
      <c r="F308">
        <f t="shared" ca="1" si="6"/>
        <v>1.2132717488058043E-2</v>
      </c>
    </row>
    <row r="309" spans="2:6" x14ac:dyDescent="0.35">
      <c r="B309" s="262">
        <v>45854</v>
      </c>
      <c r="C309" s="261">
        <v>3417.3</v>
      </c>
      <c r="D309">
        <v>6.7349926793563162E-4</v>
      </c>
      <c r="E309">
        <v>306</v>
      </c>
      <c r="F309">
        <f t="shared" ca="1" si="6"/>
        <v>7.8607456015057711E-3</v>
      </c>
    </row>
    <row r="310" spans="2:6" x14ac:dyDescent="0.35">
      <c r="B310" s="262">
        <v>45853</v>
      </c>
      <c r="C310" s="261">
        <v>3415</v>
      </c>
      <c r="D310">
        <v>3.0252298293535944E-3</v>
      </c>
      <c r="E310">
        <v>307</v>
      </c>
      <c r="F310">
        <f t="shared" ca="1" si="6"/>
        <v>-1.7440138566453649E-2</v>
      </c>
    </row>
    <row r="311" spans="2:6" x14ac:dyDescent="0.35">
      <c r="B311" s="262">
        <v>45852</v>
      </c>
      <c r="C311" s="261">
        <v>3404.7</v>
      </c>
      <c r="D311">
        <v>1.2821275583055661E-2</v>
      </c>
      <c r="E311">
        <v>308</v>
      </c>
      <c r="F311">
        <f t="shared" ca="1" si="6"/>
        <v>5.8346336149153492E-3</v>
      </c>
    </row>
    <row r="312" spans="2:6" x14ac:dyDescent="0.35">
      <c r="B312" s="262">
        <v>45849</v>
      </c>
      <c r="C312" s="261">
        <v>3361.6</v>
      </c>
      <c r="D312">
        <v>-1.7018539095853637E-2</v>
      </c>
      <c r="E312">
        <v>309</v>
      </c>
      <c r="F312">
        <f t="shared" ca="1" si="6"/>
        <v>2.4592087780961332E-2</v>
      </c>
    </row>
    <row r="313" spans="2:6" x14ac:dyDescent="0.35">
      <c r="B313" s="262">
        <v>45848</v>
      </c>
      <c r="C313" s="261">
        <v>3419.8</v>
      </c>
      <c r="D313">
        <v>-3.5838116604993233E-3</v>
      </c>
      <c r="E313">
        <v>310</v>
      </c>
      <c r="F313">
        <f t="shared" ca="1" si="6"/>
        <v>-5.0319835707978364E-3</v>
      </c>
    </row>
    <row r="314" spans="2:6" x14ac:dyDescent="0.35">
      <c r="B314" s="262">
        <v>45847</v>
      </c>
      <c r="C314" s="261">
        <v>3432.1</v>
      </c>
      <c r="D314">
        <v>-2.6734083050010964E-3</v>
      </c>
      <c r="E314">
        <v>311</v>
      </c>
      <c r="F314">
        <f t="shared" ca="1" si="6"/>
        <v>-1.699993334865783E-2</v>
      </c>
    </row>
    <row r="315" spans="2:6" x14ac:dyDescent="0.35">
      <c r="B315" s="262">
        <v>45846</v>
      </c>
      <c r="C315" s="261">
        <v>3441.3</v>
      </c>
      <c r="D315">
        <v>-6.1318567414964061E-2</v>
      </c>
      <c r="E315">
        <v>312</v>
      </c>
      <c r="F315">
        <f t="shared" ca="1" si="6"/>
        <v>-2.093530208844032E-2</v>
      </c>
    </row>
    <row r="316" spans="2:6" x14ac:dyDescent="0.35">
      <c r="B316" s="262">
        <v>45845</v>
      </c>
      <c r="C316" s="261">
        <v>3666.1</v>
      </c>
      <c r="D316">
        <v>-5.64159592069223E-3</v>
      </c>
      <c r="E316">
        <v>313</v>
      </c>
      <c r="F316">
        <f t="shared" ca="1" si="6"/>
        <v>1.1626166917609797E-2</v>
      </c>
    </row>
    <row r="317" spans="2:6" x14ac:dyDescent="0.35">
      <c r="B317" s="262">
        <v>45842</v>
      </c>
      <c r="C317" s="261">
        <v>3686.9</v>
      </c>
      <c r="D317">
        <v>2.2290483051078569E-3</v>
      </c>
      <c r="E317">
        <v>314</v>
      </c>
      <c r="F317">
        <f t="shared" ca="1" si="6"/>
        <v>1.0922846532880435E-3</v>
      </c>
    </row>
    <row r="318" spans="2:6" x14ac:dyDescent="0.35">
      <c r="B318" s="262">
        <v>45841</v>
      </c>
      <c r="C318" s="261">
        <v>3678.7</v>
      </c>
      <c r="D318">
        <v>-7.9018338727077087E-3</v>
      </c>
      <c r="E318">
        <v>315</v>
      </c>
      <c r="F318">
        <f t="shared" ca="1" si="6"/>
        <v>2.3879539890361724E-2</v>
      </c>
    </row>
    <row r="319" spans="2:6" x14ac:dyDescent="0.35">
      <c r="B319" s="262">
        <v>45840</v>
      </c>
      <c r="C319" s="261">
        <v>3708</v>
      </c>
      <c r="D319">
        <v>2.0267531414673691E-3</v>
      </c>
      <c r="E319">
        <v>316</v>
      </c>
      <c r="F319">
        <f t="shared" ca="1" si="6"/>
        <v>1.2533317962606774E-2</v>
      </c>
    </row>
    <row r="320" spans="2:6" x14ac:dyDescent="0.35">
      <c r="B320" s="262">
        <v>45839</v>
      </c>
      <c r="C320" s="261">
        <v>3700.5</v>
      </c>
      <c r="D320">
        <v>2.7911766299930038E-3</v>
      </c>
      <c r="E320">
        <v>317</v>
      </c>
      <c r="F320">
        <f t="shared" ca="1" si="6"/>
        <v>-1.3984926218941011E-2</v>
      </c>
    </row>
    <row r="321" spans="2:6" x14ac:dyDescent="0.35">
      <c r="B321" s="262">
        <v>45838</v>
      </c>
      <c r="C321" s="261">
        <v>3690.2</v>
      </c>
      <c r="D321">
        <v>6.5462877093448264E-3</v>
      </c>
      <c r="E321">
        <v>318</v>
      </c>
      <c r="F321">
        <f t="shared" ca="1" si="6"/>
        <v>-7.0725425426225149E-3</v>
      </c>
    </row>
    <row r="322" spans="2:6" x14ac:dyDescent="0.35">
      <c r="B322" s="262">
        <v>45835</v>
      </c>
      <c r="C322" s="261">
        <v>3666.2</v>
      </c>
      <c r="D322">
        <v>-7.7137521314315106E-3</v>
      </c>
      <c r="E322">
        <v>319</v>
      </c>
      <c r="F322">
        <f t="shared" ca="1" si="6"/>
        <v>-8.2933965656215233E-3</v>
      </c>
    </row>
    <row r="323" spans="2:6" x14ac:dyDescent="0.35">
      <c r="B323" s="262">
        <v>45834</v>
      </c>
      <c r="C323" s="261">
        <v>3694.7</v>
      </c>
      <c r="D323">
        <v>1.1636821641750179E-2</v>
      </c>
      <c r="E323">
        <v>320</v>
      </c>
      <c r="F323">
        <f t="shared" ca="1" si="6"/>
        <v>2.3226705126096134E-2</v>
      </c>
    </row>
    <row r="324" spans="2:6" x14ac:dyDescent="0.35">
      <c r="B324" s="262">
        <v>45833</v>
      </c>
      <c r="C324" s="261">
        <v>3652.2</v>
      </c>
      <c r="D324">
        <v>3.5791264889393028E-2</v>
      </c>
      <c r="E324">
        <v>321</v>
      </c>
      <c r="F324">
        <f t="shared" ca="1" si="6"/>
        <v>2.5568182310241484E-2</v>
      </c>
    </row>
    <row r="325" spans="2:6" x14ac:dyDescent="0.35">
      <c r="B325" s="262">
        <v>45832</v>
      </c>
      <c r="C325" s="261">
        <v>3526</v>
      </c>
      <c r="D325">
        <v>5.7905696437231318E-3</v>
      </c>
      <c r="E325">
        <v>322</v>
      </c>
      <c r="F325">
        <f t="shared" ref="F325:F388" ca="1" si="7">_xlfn.NORM.INV(RAND(),M$6,M$7)</f>
        <v>2.7611190696453736E-2</v>
      </c>
    </row>
    <row r="326" spans="2:6" x14ac:dyDescent="0.35">
      <c r="B326" s="262">
        <v>45831</v>
      </c>
      <c r="C326" s="261">
        <v>3505.7</v>
      </c>
      <c r="D326">
        <v>-3.7794828076158516E-3</v>
      </c>
      <c r="E326">
        <v>323</v>
      </c>
      <c r="F326">
        <f t="shared" ca="1" si="7"/>
        <v>-3.7584804933990738E-2</v>
      </c>
    </row>
    <row r="327" spans="2:6" x14ac:dyDescent="0.35">
      <c r="B327" s="262">
        <v>45828</v>
      </c>
      <c r="C327" s="261">
        <v>3519</v>
      </c>
      <c r="D327">
        <v>3.8797284190106433E-3</v>
      </c>
      <c r="E327">
        <v>324</v>
      </c>
      <c r="F327">
        <f t="shared" ca="1" si="7"/>
        <v>1.1378986768452398E-2</v>
      </c>
    </row>
    <row r="328" spans="2:6" x14ac:dyDescent="0.35">
      <c r="B328" s="262">
        <v>45827</v>
      </c>
      <c r="C328" s="261">
        <v>3505.4</v>
      </c>
      <c r="D328">
        <v>1.0842609147009605E-2</v>
      </c>
      <c r="E328">
        <v>325</v>
      </c>
      <c r="F328">
        <f t="shared" ca="1" si="7"/>
        <v>6.8336321970010275E-3</v>
      </c>
    </row>
    <row r="329" spans="2:6" x14ac:dyDescent="0.35">
      <c r="B329" s="262">
        <v>45826</v>
      </c>
      <c r="C329" s="261">
        <v>3467.8</v>
      </c>
      <c r="D329">
        <v>1.8234136888158194E-2</v>
      </c>
      <c r="E329">
        <v>326</v>
      </c>
      <c r="F329">
        <f t="shared" ca="1" si="7"/>
        <v>1.3908648229128639E-2</v>
      </c>
    </row>
    <row r="330" spans="2:6" x14ac:dyDescent="0.35">
      <c r="B330" s="262">
        <v>45825</v>
      </c>
      <c r="C330" s="261">
        <v>3405.7</v>
      </c>
      <c r="D330">
        <v>-9.4238096623135131E-3</v>
      </c>
      <c r="E330">
        <v>327</v>
      </c>
      <c r="F330">
        <f t="shared" ca="1" si="7"/>
        <v>-1.8292575463379635E-2</v>
      </c>
    </row>
    <row r="331" spans="2:6" x14ac:dyDescent="0.35">
      <c r="B331" s="262">
        <v>45824</v>
      </c>
      <c r="C331" s="261">
        <v>3438.1</v>
      </c>
      <c r="D331">
        <v>4.7342119874922758E-3</v>
      </c>
      <c r="E331">
        <v>328</v>
      </c>
      <c r="F331">
        <f t="shared" ca="1" si="7"/>
        <v>-2.2301907376234102E-2</v>
      </c>
    </row>
    <row r="332" spans="2:6" x14ac:dyDescent="0.35">
      <c r="B332" s="262">
        <v>45821</v>
      </c>
      <c r="C332" s="261">
        <v>3421.9</v>
      </c>
      <c r="D332">
        <v>-8.9205549280272616E-3</v>
      </c>
      <c r="E332">
        <v>329</v>
      </c>
      <c r="F332">
        <f t="shared" ca="1" si="7"/>
        <v>1.0078586861200365E-2</v>
      </c>
    </row>
    <row r="333" spans="2:6" x14ac:dyDescent="0.35">
      <c r="B333" s="262">
        <v>45820</v>
      </c>
      <c r="C333" s="261">
        <v>3452.7</v>
      </c>
      <c r="D333">
        <v>-2.5101648972215975E-2</v>
      </c>
      <c r="E333">
        <v>330</v>
      </c>
      <c r="F333">
        <f t="shared" ca="1" si="7"/>
        <v>-6.695373705112158E-3</v>
      </c>
    </row>
    <row r="334" spans="2:6" x14ac:dyDescent="0.35">
      <c r="B334" s="262">
        <v>45819</v>
      </c>
      <c r="C334" s="261">
        <v>3541.6</v>
      </c>
      <c r="D334">
        <v>4.9372907326485707E-3</v>
      </c>
      <c r="E334">
        <v>331</v>
      </c>
      <c r="F334">
        <f t="shared" ca="1" si="7"/>
        <v>4.798717054866169E-3</v>
      </c>
    </row>
    <row r="335" spans="2:6" x14ac:dyDescent="0.35">
      <c r="B335" s="262">
        <v>45818</v>
      </c>
      <c r="C335" s="261">
        <v>3524.2</v>
      </c>
      <c r="D335">
        <v>-2.744842808228946E-3</v>
      </c>
      <c r="E335">
        <v>332</v>
      </c>
      <c r="F335">
        <f t="shared" ca="1" si="7"/>
        <v>-9.6332025424394913E-3</v>
      </c>
    </row>
    <row r="336" spans="2:6" x14ac:dyDescent="0.35">
      <c r="B336" s="262">
        <v>45817</v>
      </c>
      <c r="C336" s="261">
        <v>3533.9</v>
      </c>
      <c r="D336">
        <v>-7.3035759431444702E-3</v>
      </c>
      <c r="E336">
        <v>333</v>
      </c>
      <c r="F336">
        <f t="shared" ca="1" si="7"/>
        <v>-1.424671644130286E-2</v>
      </c>
    </row>
    <row r="337" spans="2:6" x14ac:dyDescent="0.35">
      <c r="B337" s="262">
        <v>45814</v>
      </c>
      <c r="C337" s="261">
        <v>3559.9</v>
      </c>
      <c r="D337">
        <v>1.5953196347031989E-2</v>
      </c>
      <c r="E337">
        <v>334</v>
      </c>
      <c r="F337">
        <f t="shared" ca="1" si="7"/>
        <v>-1.9316813567094488E-2</v>
      </c>
    </row>
    <row r="338" spans="2:6" x14ac:dyDescent="0.35">
      <c r="B338" s="262">
        <v>45813</v>
      </c>
      <c r="C338" s="261">
        <v>3504</v>
      </c>
      <c r="D338">
        <v>1.2000685753471108E-3</v>
      </c>
      <c r="E338">
        <v>335</v>
      </c>
      <c r="F338">
        <f t="shared" ca="1" si="7"/>
        <v>8.31488866961058E-3</v>
      </c>
    </row>
    <row r="339" spans="2:6" x14ac:dyDescent="0.35">
      <c r="B339" s="262">
        <v>45812</v>
      </c>
      <c r="C339" s="261">
        <v>3499.8</v>
      </c>
      <c r="D339">
        <v>-5.6821410307403824E-3</v>
      </c>
      <c r="E339">
        <v>336</v>
      </c>
      <c r="F339">
        <f t="shared" ca="1" si="7"/>
        <v>-1.4387003205109033E-2</v>
      </c>
    </row>
    <row r="340" spans="2:6" x14ac:dyDescent="0.35">
      <c r="B340" s="262">
        <v>45811</v>
      </c>
      <c r="C340" s="261">
        <v>3519.8</v>
      </c>
      <c r="D340">
        <v>-1.6167919444049974E-3</v>
      </c>
      <c r="E340">
        <v>337</v>
      </c>
      <c r="F340">
        <f t="shared" ca="1" si="7"/>
        <v>2.2631187693966066E-2</v>
      </c>
    </row>
    <row r="341" spans="2:6" x14ac:dyDescent="0.35">
      <c r="B341" s="262">
        <v>45810</v>
      </c>
      <c r="C341" s="261">
        <v>3525.5</v>
      </c>
      <c r="D341">
        <v>-8.2981715893108293E-3</v>
      </c>
      <c r="E341">
        <v>338</v>
      </c>
      <c r="F341">
        <f t="shared" ca="1" si="7"/>
        <v>3.7054281944145164E-3</v>
      </c>
    </row>
    <row r="342" spans="2:6" x14ac:dyDescent="0.35">
      <c r="B342" s="262">
        <v>45807</v>
      </c>
      <c r="C342" s="261">
        <v>3555</v>
      </c>
      <c r="D342">
        <v>-9.2801605216955609E-3</v>
      </c>
      <c r="E342">
        <v>339</v>
      </c>
      <c r="F342">
        <f t="shared" ca="1" si="7"/>
        <v>1.7231514095639854E-2</v>
      </c>
    </row>
    <row r="343" spans="2:6" x14ac:dyDescent="0.35">
      <c r="B343" s="262">
        <v>45806</v>
      </c>
      <c r="C343" s="261">
        <v>3588.3</v>
      </c>
      <c r="D343">
        <v>3.8045150642012937E-3</v>
      </c>
      <c r="E343">
        <v>340</v>
      </c>
      <c r="F343">
        <f t="shared" ca="1" si="7"/>
        <v>3.0083158072885339E-3</v>
      </c>
    </row>
    <row r="344" spans="2:6" x14ac:dyDescent="0.35">
      <c r="B344" s="262">
        <v>45805</v>
      </c>
      <c r="C344" s="261">
        <v>3574.7</v>
      </c>
      <c r="D344">
        <v>-4.0953919875188812E-3</v>
      </c>
      <c r="E344">
        <v>341</v>
      </c>
      <c r="F344">
        <f t="shared" ca="1" si="7"/>
        <v>3.4859589948240004E-2</v>
      </c>
    </row>
    <row r="345" spans="2:6" x14ac:dyDescent="0.35">
      <c r="B345" s="262">
        <v>45804</v>
      </c>
      <c r="C345" s="261">
        <v>3589.4</v>
      </c>
      <c r="D345">
        <v>-5.7889926044927265E-3</v>
      </c>
      <c r="E345">
        <v>342</v>
      </c>
      <c r="F345">
        <f t="shared" ca="1" si="7"/>
        <v>-4.3861942738631209E-3</v>
      </c>
    </row>
    <row r="346" spans="2:6" x14ac:dyDescent="0.35">
      <c r="B346" s="262">
        <v>45803</v>
      </c>
      <c r="C346" s="261">
        <v>3610.3</v>
      </c>
      <c r="D346">
        <v>8.5482023633266374E-3</v>
      </c>
      <c r="E346">
        <v>343</v>
      </c>
      <c r="F346">
        <f t="shared" ca="1" si="7"/>
        <v>3.1944276339655377E-3</v>
      </c>
    </row>
    <row r="347" spans="2:6" x14ac:dyDescent="0.35">
      <c r="B347" s="262">
        <v>45800</v>
      </c>
      <c r="C347" s="261">
        <v>3579.7</v>
      </c>
      <c r="D347">
        <v>1.0929116068907037E-2</v>
      </c>
      <c r="E347">
        <v>344</v>
      </c>
      <c r="F347">
        <f t="shared" ca="1" si="7"/>
        <v>4.9868059819443231E-3</v>
      </c>
    </row>
    <row r="348" spans="2:6" x14ac:dyDescent="0.35">
      <c r="B348" s="262">
        <v>45799</v>
      </c>
      <c r="C348" s="261">
        <v>3541</v>
      </c>
      <c r="D348">
        <v>-1.1031978773914259E-2</v>
      </c>
      <c r="E348">
        <v>345</v>
      </c>
      <c r="F348">
        <f t="shared" ca="1" si="7"/>
        <v>1.1944471430634603E-2</v>
      </c>
    </row>
    <row r="349" spans="2:6" x14ac:dyDescent="0.35">
      <c r="B349" s="262">
        <v>45798</v>
      </c>
      <c r="C349" s="261">
        <v>3580.5</v>
      </c>
      <c r="D349">
        <v>-2.7928280176481331E-5</v>
      </c>
      <c r="E349">
        <v>346</v>
      </c>
      <c r="F349">
        <f t="shared" ca="1" si="7"/>
        <v>-4.3046744221929417E-3</v>
      </c>
    </row>
    <row r="350" spans="2:6" x14ac:dyDescent="0.35">
      <c r="B350" s="262">
        <v>45797</v>
      </c>
      <c r="C350" s="261">
        <v>3580.6</v>
      </c>
      <c r="D350">
        <v>-1.0255134477706805E-2</v>
      </c>
      <c r="E350">
        <v>347</v>
      </c>
      <c r="F350">
        <f t="shared" ca="1" si="7"/>
        <v>1.6358114442543009E-2</v>
      </c>
    </row>
    <row r="351" spans="2:6" x14ac:dyDescent="0.35">
      <c r="B351" s="262">
        <v>45796</v>
      </c>
      <c r="C351" s="261">
        <v>3617.7</v>
      </c>
      <c r="D351">
        <v>-4.4032253625780884E-3</v>
      </c>
      <c r="E351">
        <v>348</v>
      </c>
      <c r="F351">
        <f t="shared" ca="1" si="7"/>
        <v>2.8434669284595122E-3</v>
      </c>
    </row>
    <row r="352" spans="2:6" x14ac:dyDescent="0.35">
      <c r="B352" s="262">
        <v>45793</v>
      </c>
      <c r="C352" s="261">
        <v>3633.7</v>
      </c>
      <c r="D352">
        <v>-8.5239771227462705E-4</v>
      </c>
      <c r="E352">
        <v>349</v>
      </c>
      <c r="F352">
        <f t="shared" ca="1" si="7"/>
        <v>3.1149865236065392E-2</v>
      </c>
    </row>
    <row r="353" spans="2:6" x14ac:dyDescent="0.35">
      <c r="B353" s="262">
        <v>45792</v>
      </c>
      <c r="C353" s="261">
        <v>3636.8</v>
      </c>
      <c r="D353">
        <v>1.371390344520021E-2</v>
      </c>
      <c r="E353">
        <v>350</v>
      </c>
      <c r="F353">
        <f t="shared" ca="1" si="7"/>
        <v>1.8661596548099579E-2</v>
      </c>
    </row>
    <row r="354" spans="2:6" x14ac:dyDescent="0.35">
      <c r="B354" s="262">
        <v>45791</v>
      </c>
      <c r="C354" s="261">
        <v>3587.6</v>
      </c>
      <c r="D354">
        <v>6.8477772788504976E-3</v>
      </c>
      <c r="E354">
        <v>351</v>
      </c>
      <c r="F354">
        <f t="shared" ca="1" si="7"/>
        <v>-3.3677571483999515E-3</v>
      </c>
    </row>
    <row r="355" spans="2:6" x14ac:dyDescent="0.35">
      <c r="B355" s="262">
        <v>45790</v>
      </c>
      <c r="C355" s="261">
        <v>3563.2</v>
      </c>
      <c r="D355">
        <v>8.4201072160242261E-5</v>
      </c>
      <c r="E355">
        <v>352</v>
      </c>
      <c r="F355">
        <f t="shared" ca="1" si="7"/>
        <v>-9.2788641496170995E-3</v>
      </c>
    </row>
    <row r="356" spans="2:6" x14ac:dyDescent="0.35">
      <c r="B356" s="262">
        <v>45789</v>
      </c>
      <c r="C356" s="261">
        <v>3562.9</v>
      </c>
      <c r="D356">
        <v>1.4984474261459107E-2</v>
      </c>
      <c r="E356">
        <v>353</v>
      </c>
      <c r="F356">
        <f t="shared" ca="1" si="7"/>
        <v>4.2177869205098986E-2</v>
      </c>
    </row>
    <row r="357" spans="2:6" x14ac:dyDescent="0.35">
      <c r="B357" s="262">
        <v>45786</v>
      </c>
      <c r="C357" s="261">
        <v>3510.3</v>
      </c>
      <c r="D357">
        <v>4.1848455168729405E-2</v>
      </c>
      <c r="E357">
        <v>354</v>
      </c>
      <c r="F357">
        <f t="shared" ca="1" si="7"/>
        <v>-1.3570276026360127E-2</v>
      </c>
    </row>
    <row r="358" spans="2:6" x14ac:dyDescent="0.35">
      <c r="B358" s="262">
        <v>45785</v>
      </c>
      <c r="C358" s="261">
        <v>3369.3</v>
      </c>
      <c r="D358">
        <v>9.1047949923627816E-3</v>
      </c>
      <c r="E358">
        <v>355</v>
      </c>
      <c r="F358">
        <f t="shared" ca="1" si="7"/>
        <v>2.1958318263075437E-2</v>
      </c>
    </row>
    <row r="359" spans="2:6" x14ac:dyDescent="0.35">
      <c r="B359" s="262">
        <v>45784</v>
      </c>
      <c r="C359" s="261">
        <v>3338.9</v>
      </c>
      <c r="D359">
        <v>1.2002545994604888E-2</v>
      </c>
      <c r="E359">
        <v>356</v>
      </c>
      <c r="F359">
        <f t="shared" ca="1" si="7"/>
        <v>2.7861053619978376E-3</v>
      </c>
    </row>
    <row r="360" spans="2:6" x14ac:dyDescent="0.35">
      <c r="B360" s="262">
        <v>45783</v>
      </c>
      <c r="C360" s="261">
        <v>3299.3</v>
      </c>
      <c r="D360">
        <v>-6.7734360888674809E-3</v>
      </c>
      <c r="E360">
        <v>357</v>
      </c>
      <c r="F360">
        <f t="shared" ca="1" si="7"/>
        <v>-3.1719379869360839E-2</v>
      </c>
    </row>
    <row r="361" spans="2:6" x14ac:dyDescent="0.35">
      <c r="B361" s="262">
        <v>45782</v>
      </c>
      <c r="C361" s="261">
        <v>3321.8</v>
      </c>
      <c r="D361">
        <v>-5.7467824004788443E-3</v>
      </c>
      <c r="E361">
        <v>358</v>
      </c>
      <c r="F361">
        <f t="shared" ca="1" si="7"/>
        <v>-1.1197579335579291E-2</v>
      </c>
    </row>
    <row r="362" spans="2:6" x14ac:dyDescent="0.35">
      <c r="B362" s="262">
        <v>45779</v>
      </c>
      <c r="C362" s="261">
        <v>3341</v>
      </c>
      <c r="D362">
        <v>-1.1450720478148895E-2</v>
      </c>
      <c r="E362">
        <v>359</v>
      </c>
      <c r="F362">
        <f t="shared" ca="1" si="7"/>
        <v>-1.4054409445950475E-2</v>
      </c>
    </row>
    <row r="363" spans="2:6" x14ac:dyDescent="0.35">
      <c r="B363" s="262">
        <v>45777</v>
      </c>
      <c r="C363" s="261">
        <v>3379.7</v>
      </c>
      <c r="D363">
        <v>3.2557864204105517E-4</v>
      </c>
      <c r="E363">
        <v>360</v>
      </c>
      <c r="F363">
        <f t="shared" ca="1" si="7"/>
        <v>-1.5416170065922722E-2</v>
      </c>
    </row>
    <row r="364" spans="2:6" x14ac:dyDescent="0.35">
      <c r="B364" s="262">
        <v>45776</v>
      </c>
      <c r="C364" s="261">
        <v>3378.6</v>
      </c>
      <c r="D364">
        <v>2.8197441453207089E-3</v>
      </c>
      <c r="E364">
        <v>361</v>
      </c>
      <c r="F364">
        <f t="shared" ca="1" si="7"/>
        <v>1.595706230393441E-3</v>
      </c>
    </row>
    <row r="365" spans="2:6" x14ac:dyDescent="0.35">
      <c r="B365" s="262">
        <v>45775</v>
      </c>
      <c r="C365" s="261">
        <v>3369.1</v>
      </c>
      <c r="D365">
        <v>1.1589207179365539E-3</v>
      </c>
      <c r="E365">
        <v>362</v>
      </c>
      <c r="F365">
        <f t="shared" ca="1" si="7"/>
        <v>2.8023168688345694E-2</v>
      </c>
    </row>
    <row r="366" spans="2:6" x14ac:dyDescent="0.35">
      <c r="B366" s="262">
        <v>45772</v>
      </c>
      <c r="C366" s="261">
        <v>3365.2</v>
      </c>
      <c r="D366">
        <v>-5.1439720924732722E-3</v>
      </c>
      <c r="E366">
        <v>363</v>
      </c>
      <c r="F366">
        <f t="shared" ca="1" si="7"/>
        <v>6.3935061964402922E-3</v>
      </c>
    </row>
    <row r="367" spans="2:6" x14ac:dyDescent="0.35">
      <c r="B367" s="262">
        <v>45771</v>
      </c>
      <c r="C367" s="261">
        <v>3382.6</v>
      </c>
      <c r="D367">
        <v>7.5358174723735519E-3</v>
      </c>
      <c r="E367">
        <v>364</v>
      </c>
      <c r="F367">
        <f t="shared" ca="1" si="7"/>
        <v>-8.0033678391209697E-3</v>
      </c>
    </row>
    <row r="368" spans="2:6" x14ac:dyDescent="0.35">
      <c r="B368" s="262">
        <v>45770</v>
      </c>
      <c r="C368" s="261">
        <v>3357.3</v>
      </c>
      <c r="D368">
        <v>5.962725474920624E-3</v>
      </c>
      <c r="E368">
        <v>365</v>
      </c>
      <c r="F368">
        <f t="shared" ca="1" si="7"/>
        <v>1.3868142320313894E-3</v>
      </c>
    </row>
    <row r="369" spans="2:6" x14ac:dyDescent="0.35">
      <c r="B369" s="262">
        <v>45769</v>
      </c>
      <c r="C369" s="261">
        <v>3337.4</v>
      </c>
      <c r="D369">
        <v>3.8967656844824257E-4</v>
      </c>
      <c r="E369">
        <v>366</v>
      </c>
      <c r="F369">
        <f t="shared" ca="1" si="7"/>
        <v>2.229116963770867E-2</v>
      </c>
    </row>
    <row r="370" spans="2:6" x14ac:dyDescent="0.35">
      <c r="B370" s="262">
        <v>45768</v>
      </c>
      <c r="C370" s="261">
        <v>3336.1</v>
      </c>
      <c r="D370">
        <v>2.5845229151014002E-3</v>
      </c>
      <c r="E370">
        <v>367</v>
      </c>
      <c r="F370">
        <f t="shared" ca="1" si="7"/>
        <v>-4.4830742234271284E-3</v>
      </c>
    </row>
    <row r="371" spans="2:6" x14ac:dyDescent="0.35">
      <c r="B371" s="262">
        <v>45764</v>
      </c>
      <c r="C371" s="261">
        <v>3327.5</v>
      </c>
      <c r="D371">
        <v>1.6931022890498484E-2</v>
      </c>
      <c r="E371">
        <v>368</v>
      </c>
      <c r="F371">
        <f t="shared" ca="1" si="7"/>
        <v>3.1752585516194407E-2</v>
      </c>
    </row>
    <row r="372" spans="2:6" x14ac:dyDescent="0.35">
      <c r="B372" s="262">
        <v>45763</v>
      </c>
      <c r="C372" s="261">
        <v>3272.1</v>
      </c>
      <c r="D372">
        <v>-3.9714058776812544E-4</v>
      </c>
      <c r="E372">
        <v>369</v>
      </c>
      <c r="F372">
        <f t="shared" ca="1" si="7"/>
        <v>-3.9549566672306986E-3</v>
      </c>
    </row>
    <row r="373" spans="2:6" x14ac:dyDescent="0.35">
      <c r="B373" s="262">
        <v>45762</v>
      </c>
      <c r="C373" s="261">
        <v>3273.4</v>
      </c>
      <c r="D373">
        <v>1.1901449812977217E-2</v>
      </c>
      <c r="E373">
        <v>370</v>
      </c>
      <c r="F373">
        <f t="shared" ca="1" si="7"/>
        <v>-1.0615951087140878E-2</v>
      </c>
    </row>
    <row r="374" spans="2:6" x14ac:dyDescent="0.35">
      <c r="B374" s="262">
        <v>45758</v>
      </c>
      <c r="C374" s="261">
        <v>3234.9</v>
      </c>
      <c r="D374">
        <v>1.9138982089693304E-2</v>
      </c>
      <c r="E374">
        <v>371</v>
      </c>
      <c r="F374">
        <f t="shared" ca="1" si="7"/>
        <v>-1.0941301818958334E-2</v>
      </c>
    </row>
    <row r="375" spans="2:6" x14ac:dyDescent="0.35">
      <c r="B375" s="262">
        <v>45756</v>
      </c>
      <c r="C375" s="261">
        <v>3174.15</v>
      </c>
      <c r="D375">
        <v>1.6606347884572239E-2</v>
      </c>
      <c r="E375">
        <v>372</v>
      </c>
      <c r="F375">
        <f t="shared" ca="1" si="7"/>
        <v>7.0647406094361802E-3</v>
      </c>
    </row>
    <row r="376" spans="2:6" x14ac:dyDescent="0.35">
      <c r="B376" s="262">
        <v>45755</v>
      </c>
      <c r="C376" s="261">
        <v>3122.3</v>
      </c>
      <c r="D376">
        <v>3.3121567070346226E-2</v>
      </c>
      <c r="E376">
        <v>373</v>
      </c>
      <c r="F376">
        <f t="shared" ca="1" si="7"/>
        <v>-9.3057790547736528E-3</v>
      </c>
    </row>
    <row r="377" spans="2:6" x14ac:dyDescent="0.35">
      <c r="B377" s="262">
        <v>45754</v>
      </c>
      <c r="C377" s="261">
        <v>3022.2</v>
      </c>
      <c r="D377">
        <v>-1.7554125219426567E-2</v>
      </c>
      <c r="E377">
        <v>374</v>
      </c>
      <c r="F377">
        <f t="shared" ca="1" si="7"/>
        <v>6.1209793216130915E-3</v>
      </c>
    </row>
    <row r="378" spans="2:6" x14ac:dyDescent="0.35">
      <c r="B378" s="262">
        <v>45751</v>
      </c>
      <c r="C378" s="261">
        <v>3076.2</v>
      </c>
      <c r="D378">
        <v>-1.641860242042505E-2</v>
      </c>
      <c r="E378">
        <v>375</v>
      </c>
      <c r="F378">
        <f t="shared" ca="1" si="7"/>
        <v>1.2950379379900239E-2</v>
      </c>
    </row>
    <row r="379" spans="2:6" x14ac:dyDescent="0.35">
      <c r="B379" s="262">
        <v>45750</v>
      </c>
      <c r="C379" s="261">
        <v>3127.55</v>
      </c>
      <c r="D379">
        <v>9.3917926705289305E-3</v>
      </c>
      <c r="E379">
        <v>376</v>
      </c>
      <c r="F379">
        <f t="shared" ca="1" si="7"/>
        <v>-7.8807861472283743E-3</v>
      </c>
    </row>
    <row r="380" spans="2:6" x14ac:dyDescent="0.35">
      <c r="B380" s="262">
        <v>45749</v>
      </c>
      <c r="C380" s="261">
        <v>3098.45</v>
      </c>
      <c r="D380">
        <v>3.7329048025577932E-2</v>
      </c>
      <c r="E380">
        <v>377</v>
      </c>
      <c r="F380">
        <f t="shared" ca="1" si="7"/>
        <v>2.1809033315623685E-2</v>
      </c>
    </row>
    <row r="381" spans="2:6" x14ac:dyDescent="0.35">
      <c r="B381" s="262">
        <v>45748</v>
      </c>
      <c r="C381" s="261">
        <v>2986.95</v>
      </c>
      <c r="D381">
        <v>-2.4940016648440463E-2</v>
      </c>
      <c r="E381">
        <v>378</v>
      </c>
      <c r="F381">
        <f t="shared" ca="1" si="7"/>
        <v>1.8987397660808352E-2</v>
      </c>
    </row>
    <row r="382" spans="2:6" x14ac:dyDescent="0.35">
      <c r="B382" s="262">
        <v>45744</v>
      </c>
      <c r="C382" s="261">
        <v>3063.35</v>
      </c>
      <c r="D382">
        <v>-7.8700629928910928E-3</v>
      </c>
      <c r="E382">
        <v>379</v>
      </c>
      <c r="F382">
        <f t="shared" ca="1" si="7"/>
        <v>-2.0434668037185275E-2</v>
      </c>
    </row>
    <row r="383" spans="2:6" x14ac:dyDescent="0.35">
      <c r="B383" s="262">
        <v>45743</v>
      </c>
      <c r="C383" s="261">
        <v>3087.65</v>
      </c>
      <c r="D383">
        <v>9.8609975470155646E-3</v>
      </c>
      <c r="E383">
        <v>380</v>
      </c>
      <c r="F383">
        <f t="shared" ca="1" si="7"/>
        <v>-3.2306485330291113E-3</v>
      </c>
    </row>
    <row r="384" spans="2:6" x14ac:dyDescent="0.35">
      <c r="B384" s="262">
        <v>45742</v>
      </c>
      <c r="C384" s="261">
        <v>3057.5</v>
      </c>
      <c r="D384">
        <v>1.2443920489898098E-3</v>
      </c>
      <c r="E384">
        <v>381</v>
      </c>
      <c r="F384">
        <f t="shared" ca="1" si="7"/>
        <v>1.4655103935845246E-2</v>
      </c>
    </row>
    <row r="385" spans="2:6" x14ac:dyDescent="0.35">
      <c r="B385" s="262">
        <v>45741</v>
      </c>
      <c r="C385" s="261">
        <v>3053.7</v>
      </c>
      <c r="D385">
        <v>-8.2491637166704854E-3</v>
      </c>
      <c r="E385">
        <v>382</v>
      </c>
      <c r="F385">
        <f t="shared" ca="1" si="7"/>
        <v>1.6269925245501689E-2</v>
      </c>
    </row>
    <row r="386" spans="2:6" x14ac:dyDescent="0.35">
      <c r="B386" s="262">
        <v>45740</v>
      </c>
      <c r="C386" s="261">
        <v>3079.1</v>
      </c>
      <c r="D386">
        <v>-2.6433110949505144E-2</v>
      </c>
      <c r="E386">
        <v>383</v>
      </c>
      <c r="F386">
        <f t="shared" ca="1" si="7"/>
        <v>-1.0995838824286107E-2</v>
      </c>
    </row>
    <row r="387" spans="2:6" x14ac:dyDescent="0.35">
      <c r="B387" s="262">
        <v>45737</v>
      </c>
      <c r="C387" s="261">
        <v>3162.7</v>
      </c>
      <c r="D387">
        <v>-9.5205286398797693E-3</v>
      </c>
      <c r="E387">
        <v>384</v>
      </c>
      <c r="F387">
        <f t="shared" ca="1" si="7"/>
        <v>1.1366214969936488E-2</v>
      </c>
    </row>
    <row r="388" spans="2:6" x14ac:dyDescent="0.35">
      <c r="B388" s="262">
        <v>45736</v>
      </c>
      <c r="C388" s="261">
        <v>3193.1</v>
      </c>
      <c r="D388">
        <v>3.7967688456912431E-2</v>
      </c>
      <c r="E388">
        <v>385</v>
      </c>
      <c r="F388">
        <f t="shared" ca="1" si="7"/>
        <v>-1.0754713892172512E-2</v>
      </c>
    </row>
    <row r="389" spans="2:6" x14ac:dyDescent="0.35">
      <c r="B389" s="262">
        <v>45735</v>
      </c>
      <c r="C389" s="261">
        <v>3076.3</v>
      </c>
      <c r="D389">
        <v>-1.7522795859427058E-3</v>
      </c>
      <c r="E389">
        <v>386</v>
      </c>
      <c r="F389">
        <f t="shared" ref="F389:F452" ca="1" si="8">_xlfn.NORM.INV(RAND(),M$6,M$7)</f>
        <v>5.4816966158864882E-4</v>
      </c>
    </row>
    <row r="390" spans="2:6" x14ac:dyDescent="0.35">
      <c r="B390" s="262">
        <v>45734</v>
      </c>
      <c r="C390" s="261">
        <v>3081.7</v>
      </c>
      <c r="D390">
        <v>2.1326660811639322E-2</v>
      </c>
      <c r="E390">
        <v>387</v>
      </c>
      <c r="F390">
        <f t="shared" ca="1" si="8"/>
        <v>-8.6987600003135511E-3</v>
      </c>
    </row>
    <row r="391" spans="2:6" x14ac:dyDescent="0.35">
      <c r="B391" s="262">
        <v>45733</v>
      </c>
      <c r="C391" s="261">
        <v>3017.35</v>
      </c>
      <c r="D391">
        <v>2.3919073800308349E-3</v>
      </c>
      <c r="E391">
        <v>388</v>
      </c>
      <c r="F391">
        <f t="shared" ca="1" si="8"/>
        <v>-2.5445538400020687E-2</v>
      </c>
    </row>
    <row r="392" spans="2:6" x14ac:dyDescent="0.35">
      <c r="B392" s="262">
        <v>45729</v>
      </c>
      <c r="C392" s="261">
        <v>3010.15</v>
      </c>
      <c r="D392">
        <v>-2.9149207505920031E-3</v>
      </c>
      <c r="E392">
        <v>389</v>
      </c>
      <c r="F392">
        <f t="shared" ca="1" si="8"/>
        <v>6.904677259952632E-3</v>
      </c>
    </row>
    <row r="393" spans="2:6" x14ac:dyDescent="0.35">
      <c r="B393" s="262">
        <v>45728</v>
      </c>
      <c r="C393" s="261">
        <v>3018.95</v>
      </c>
      <c r="D393">
        <v>-9.0106355042017701E-3</v>
      </c>
      <c r="E393">
        <v>390</v>
      </c>
      <c r="F393">
        <f t="shared" ca="1" si="8"/>
        <v>1.3338225094067815E-2</v>
      </c>
    </row>
    <row r="394" spans="2:6" x14ac:dyDescent="0.35">
      <c r="B394" s="262">
        <v>45727</v>
      </c>
      <c r="C394" s="261">
        <v>3046.4</v>
      </c>
      <c r="D394">
        <v>6.4754856614245761E-3</v>
      </c>
      <c r="E394">
        <v>391</v>
      </c>
      <c r="F394">
        <f t="shared" ca="1" si="8"/>
        <v>-1.334700124046073E-3</v>
      </c>
    </row>
    <row r="395" spans="2:6" x14ac:dyDescent="0.35">
      <c r="B395" s="262">
        <v>45726</v>
      </c>
      <c r="C395" s="261">
        <v>3026.8</v>
      </c>
      <c r="D395">
        <v>-1.7065289752707463E-2</v>
      </c>
      <c r="E395">
        <v>392</v>
      </c>
      <c r="F395">
        <f t="shared" ca="1" si="8"/>
        <v>-5.3411623912420908E-3</v>
      </c>
    </row>
    <row r="396" spans="2:6" x14ac:dyDescent="0.35">
      <c r="B396" s="262">
        <v>45723</v>
      </c>
      <c r="C396" s="261">
        <v>3079.35</v>
      </c>
      <c r="D396">
        <v>-1.337669411425459E-2</v>
      </c>
      <c r="E396">
        <v>393</v>
      </c>
      <c r="F396">
        <f t="shared" ca="1" si="8"/>
        <v>3.48108889365807E-2</v>
      </c>
    </row>
    <row r="397" spans="2:6" x14ac:dyDescent="0.35">
      <c r="B397" s="262">
        <v>45722</v>
      </c>
      <c r="C397" s="261">
        <v>3121.1</v>
      </c>
      <c r="D397">
        <v>1.1193727624694149E-2</v>
      </c>
      <c r="E397">
        <v>394</v>
      </c>
      <c r="F397">
        <f t="shared" ca="1" si="8"/>
        <v>-8.9385891866727279E-3</v>
      </c>
    </row>
    <row r="398" spans="2:6" x14ac:dyDescent="0.35">
      <c r="B398" s="262">
        <v>45721</v>
      </c>
      <c r="C398" s="261">
        <v>3086.55</v>
      </c>
      <c r="D398">
        <v>1.2481548302443884E-2</v>
      </c>
      <c r="E398">
        <v>395</v>
      </c>
      <c r="F398">
        <f t="shared" ca="1" si="8"/>
        <v>1.3214683816755312E-2</v>
      </c>
    </row>
    <row r="399" spans="2:6" x14ac:dyDescent="0.35">
      <c r="B399" s="262">
        <v>45720</v>
      </c>
      <c r="C399" s="261">
        <v>3048.5</v>
      </c>
      <c r="D399">
        <v>-1.0869565217391304E-2</v>
      </c>
      <c r="E399">
        <v>396</v>
      </c>
      <c r="F399">
        <f t="shared" ca="1" si="8"/>
        <v>-9.5847683507786045E-3</v>
      </c>
    </row>
    <row r="400" spans="2:6" x14ac:dyDescent="0.35">
      <c r="B400" s="262">
        <v>45719</v>
      </c>
      <c r="C400" s="261">
        <v>3082</v>
      </c>
      <c r="D400">
        <v>1.5435859939881389E-3</v>
      </c>
      <c r="E400">
        <v>397</v>
      </c>
      <c r="F400">
        <f t="shared" ca="1" si="8"/>
        <v>1.4778452011322623E-2</v>
      </c>
    </row>
    <row r="401" spans="2:6" x14ac:dyDescent="0.35">
      <c r="B401" s="262">
        <v>45716</v>
      </c>
      <c r="C401" s="261">
        <v>3077.25</v>
      </c>
      <c r="D401">
        <v>-4.5251465979957155E-2</v>
      </c>
      <c r="E401">
        <v>398</v>
      </c>
      <c r="F401">
        <f t="shared" ca="1" si="8"/>
        <v>1.1033993596933874E-3</v>
      </c>
    </row>
    <row r="402" spans="2:6" x14ac:dyDescent="0.35">
      <c r="B402" s="262">
        <v>45715</v>
      </c>
      <c r="C402" s="261">
        <v>3223.1</v>
      </c>
      <c r="D402">
        <v>7.5965987245216098E-3</v>
      </c>
      <c r="E402">
        <v>399</v>
      </c>
      <c r="F402">
        <f t="shared" ca="1" si="8"/>
        <v>2.4223916648417318E-2</v>
      </c>
    </row>
    <row r="403" spans="2:6" x14ac:dyDescent="0.35">
      <c r="B403" s="262">
        <v>45713</v>
      </c>
      <c r="C403" s="261">
        <v>3198.8</v>
      </c>
      <c r="D403">
        <v>8.1311062086354188E-3</v>
      </c>
      <c r="E403">
        <v>400</v>
      </c>
      <c r="F403">
        <f t="shared" ca="1" si="8"/>
        <v>-1.7750623940997714E-2</v>
      </c>
    </row>
    <row r="404" spans="2:6" x14ac:dyDescent="0.35">
      <c r="B404" s="262">
        <v>45712</v>
      </c>
      <c r="C404" s="261">
        <v>3173</v>
      </c>
      <c r="D404">
        <v>-2.1698795559609079E-3</v>
      </c>
      <c r="E404">
        <v>401</v>
      </c>
      <c r="F404">
        <f t="shared" ca="1" si="8"/>
        <v>9.2795799141806427E-4</v>
      </c>
    </row>
    <row r="405" spans="2:6" x14ac:dyDescent="0.35">
      <c r="B405" s="262">
        <v>45709</v>
      </c>
      <c r="C405" s="261">
        <v>3179.9</v>
      </c>
      <c r="D405">
        <v>-3.619044634883745E-3</v>
      </c>
      <c r="E405">
        <v>402</v>
      </c>
      <c r="F405">
        <f t="shared" ca="1" si="8"/>
        <v>1.9350696248742082E-4</v>
      </c>
    </row>
    <row r="406" spans="2:6" x14ac:dyDescent="0.35">
      <c r="B406" s="262">
        <v>45708</v>
      </c>
      <c r="C406" s="261">
        <v>3191.45</v>
      </c>
      <c r="D406">
        <v>-5.8717253839206188E-3</v>
      </c>
      <c r="E406">
        <v>403</v>
      </c>
      <c r="F406">
        <f t="shared" ca="1" si="8"/>
        <v>-2.1575253281671179E-2</v>
      </c>
    </row>
    <row r="407" spans="2:6" x14ac:dyDescent="0.35">
      <c r="B407" s="262">
        <v>45707</v>
      </c>
      <c r="C407" s="261">
        <v>3210.3</v>
      </c>
      <c r="D407">
        <v>-3.5848968760183522E-3</v>
      </c>
      <c r="E407">
        <v>404</v>
      </c>
      <c r="F407">
        <f t="shared" ca="1" si="8"/>
        <v>-3.4278061749113717E-3</v>
      </c>
    </row>
    <row r="408" spans="2:6" x14ac:dyDescent="0.35">
      <c r="B408" s="262">
        <v>45706</v>
      </c>
      <c r="C408" s="261">
        <v>3221.85</v>
      </c>
      <c r="D408">
        <v>-3.5104540393418007E-3</v>
      </c>
      <c r="E408">
        <v>405</v>
      </c>
      <c r="F408">
        <f t="shared" ca="1" si="8"/>
        <v>-1.0302300576076746E-2</v>
      </c>
    </row>
    <row r="409" spans="2:6" x14ac:dyDescent="0.35">
      <c r="B409" s="262">
        <v>45705</v>
      </c>
      <c r="C409" s="261">
        <v>3233.2</v>
      </c>
      <c r="D409">
        <v>6.2086672372208256E-3</v>
      </c>
      <c r="E409">
        <v>406</v>
      </c>
      <c r="F409">
        <f t="shared" ca="1" si="8"/>
        <v>-1.3931242899717904E-2</v>
      </c>
    </row>
    <row r="410" spans="2:6" x14ac:dyDescent="0.35">
      <c r="B410" s="262">
        <v>45702</v>
      </c>
      <c r="C410" s="261">
        <v>3213.25</v>
      </c>
      <c r="D410">
        <v>-5.6475321058332044E-3</v>
      </c>
      <c r="E410">
        <v>407</v>
      </c>
      <c r="F410">
        <f t="shared" ca="1" si="8"/>
        <v>-2.3996875070266568E-2</v>
      </c>
    </row>
    <row r="411" spans="2:6" x14ac:dyDescent="0.35">
      <c r="B411" s="262">
        <v>45701</v>
      </c>
      <c r="C411" s="261">
        <v>3231.5</v>
      </c>
      <c r="D411">
        <v>-7.3568938242024361E-3</v>
      </c>
      <c r="E411">
        <v>408</v>
      </c>
      <c r="F411">
        <f t="shared" ca="1" si="8"/>
        <v>9.4554622867217327E-3</v>
      </c>
    </row>
    <row r="412" spans="2:6" x14ac:dyDescent="0.35">
      <c r="B412" s="262">
        <v>45700</v>
      </c>
      <c r="C412" s="261">
        <v>3255.45</v>
      </c>
      <c r="D412">
        <v>-8.0291303552929381E-3</v>
      </c>
      <c r="E412">
        <v>409</v>
      </c>
      <c r="F412">
        <f t="shared" ca="1" si="8"/>
        <v>-2.6619847673249642E-2</v>
      </c>
    </row>
    <row r="413" spans="2:6" x14ac:dyDescent="0.35">
      <c r="B413" s="262">
        <v>45699</v>
      </c>
      <c r="C413" s="261">
        <v>3281.8</v>
      </c>
      <c r="D413">
        <v>-1.3719214413439613E-2</v>
      </c>
      <c r="E413">
        <v>410</v>
      </c>
      <c r="F413">
        <f t="shared" ca="1" si="8"/>
        <v>9.8035373862410801E-3</v>
      </c>
    </row>
    <row r="414" spans="2:6" x14ac:dyDescent="0.35">
      <c r="B414" s="262">
        <v>45698</v>
      </c>
      <c r="C414" s="261">
        <v>3327.45</v>
      </c>
      <c r="D414">
        <v>-2.8425017519271303E-2</v>
      </c>
      <c r="E414">
        <v>411</v>
      </c>
      <c r="F414">
        <f t="shared" ca="1" si="8"/>
        <v>7.2334680410513713E-3</v>
      </c>
    </row>
    <row r="415" spans="2:6" x14ac:dyDescent="0.35">
      <c r="B415" s="262">
        <v>45695</v>
      </c>
      <c r="C415" s="261">
        <v>3424.8</v>
      </c>
      <c r="D415">
        <v>4.1193285934179235E-3</v>
      </c>
      <c r="E415">
        <v>412</v>
      </c>
      <c r="F415">
        <f t="shared" ca="1" si="8"/>
        <v>1.4103529985224073E-3</v>
      </c>
    </row>
    <row r="416" spans="2:6" x14ac:dyDescent="0.35">
      <c r="B416" s="262">
        <v>45694</v>
      </c>
      <c r="C416" s="261">
        <v>3410.75</v>
      </c>
      <c r="D416">
        <v>-2.295969520753963E-2</v>
      </c>
      <c r="E416">
        <v>413</v>
      </c>
      <c r="F416">
        <f t="shared" ca="1" si="8"/>
        <v>8.0658562786836644E-3</v>
      </c>
    </row>
    <row r="417" spans="2:6" x14ac:dyDescent="0.35">
      <c r="B417" s="262">
        <v>45693</v>
      </c>
      <c r="C417" s="261">
        <v>3490.9</v>
      </c>
      <c r="D417">
        <v>-2.9685632487422446E-2</v>
      </c>
      <c r="E417">
        <v>414</v>
      </c>
      <c r="F417">
        <f t="shared" ca="1" si="8"/>
        <v>6.5407189716485217E-5</v>
      </c>
    </row>
    <row r="418" spans="2:6" x14ac:dyDescent="0.35">
      <c r="B418" s="262">
        <v>45692</v>
      </c>
      <c r="C418" s="261">
        <v>3597.7</v>
      </c>
      <c r="D418">
        <v>4.8599279389994234E-3</v>
      </c>
      <c r="E418">
        <v>415</v>
      </c>
      <c r="F418">
        <f t="shared" ca="1" si="8"/>
        <v>1.188968534788384E-2</v>
      </c>
    </row>
    <row r="419" spans="2:6" x14ac:dyDescent="0.35">
      <c r="B419" s="262">
        <v>45691</v>
      </c>
      <c r="C419" s="261">
        <v>3580.3</v>
      </c>
      <c r="D419">
        <v>7.9673423423423928E-3</v>
      </c>
      <c r="E419">
        <v>416</v>
      </c>
      <c r="F419">
        <f t="shared" ca="1" si="8"/>
        <v>-1.9411368769991756E-2</v>
      </c>
    </row>
    <row r="420" spans="2:6" x14ac:dyDescent="0.35">
      <c r="B420" s="262">
        <v>45689</v>
      </c>
      <c r="C420" s="261">
        <v>3552</v>
      </c>
      <c r="D420">
        <v>1.7692142396676457E-2</v>
      </c>
      <c r="E420">
        <v>417</v>
      </c>
      <c r="F420">
        <f t="shared" ca="1" si="8"/>
        <v>2.1342937777818673E-2</v>
      </c>
    </row>
    <row r="421" spans="2:6" x14ac:dyDescent="0.35">
      <c r="B421" s="262">
        <v>45688</v>
      </c>
      <c r="C421" s="261">
        <v>3490.25</v>
      </c>
      <c r="D421">
        <v>3.617444484028022E-2</v>
      </c>
      <c r="E421">
        <v>418</v>
      </c>
      <c r="F421">
        <f t="shared" ca="1" si="8"/>
        <v>4.5754848827974613E-3</v>
      </c>
    </row>
    <row r="422" spans="2:6" x14ac:dyDescent="0.35">
      <c r="B422" s="262">
        <v>45687</v>
      </c>
      <c r="C422" s="261">
        <v>3368.4</v>
      </c>
      <c r="D422">
        <v>-6.9717421938734971E-4</v>
      </c>
      <c r="E422">
        <v>419</v>
      </c>
      <c r="F422">
        <f t="shared" ca="1" si="8"/>
        <v>1.3190431385421489E-2</v>
      </c>
    </row>
    <row r="423" spans="2:6" x14ac:dyDescent="0.35">
      <c r="B423" s="262">
        <v>45686</v>
      </c>
      <c r="C423" s="261">
        <v>3370.75</v>
      </c>
      <c r="D423">
        <v>1.3485071709913079E-2</v>
      </c>
      <c r="E423">
        <v>420</v>
      </c>
      <c r="F423">
        <f t="shared" ca="1" si="8"/>
        <v>-1.5690407593390621E-2</v>
      </c>
    </row>
    <row r="424" spans="2:6" x14ac:dyDescent="0.35">
      <c r="B424" s="262">
        <v>45685</v>
      </c>
      <c r="C424" s="261">
        <v>3325.9</v>
      </c>
      <c r="D424">
        <v>1.9732779007938851E-3</v>
      </c>
      <c r="E424">
        <v>421</v>
      </c>
      <c r="F424">
        <f t="shared" ca="1" si="8"/>
        <v>1.2024982789839002E-3</v>
      </c>
    </row>
    <row r="425" spans="2:6" x14ac:dyDescent="0.35">
      <c r="B425" s="262">
        <v>45684</v>
      </c>
      <c r="C425" s="261">
        <v>3319.35</v>
      </c>
      <c r="D425">
        <v>-2.4337551254353919E-2</v>
      </c>
      <c r="E425">
        <v>422</v>
      </c>
      <c r="F425">
        <f t="shared" ca="1" si="8"/>
        <v>-4.9953005130972047E-3</v>
      </c>
    </row>
    <row r="426" spans="2:6" x14ac:dyDescent="0.35">
      <c r="B426" s="262">
        <v>45681</v>
      </c>
      <c r="C426" s="261">
        <v>3402.15</v>
      </c>
      <c r="D426">
        <v>1.0592752791631457E-3</v>
      </c>
      <c r="E426">
        <v>423</v>
      </c>
      <c r="F426">
        <f t="shared" ca="1" si="8"/>
        <v>1.4054639805496644E-2</v>
      </c>
    </row>
    <row r="427" spans="2:6" x14ac:dyDescent="0.35">
      <c r="B427" s="262">
        <v>45680</v>
      </c>
      <c r="C427" s="261">
        <v>3398.55</v>
      </c>
      <c r="D427">
        <v>1.2543014196547056E-2</v>
      </c>
      <c r="E427">
        <v>424</v>
      </c>
      <c r="F427">
        <f t="shared" ca="1" si="8"/>
        <v>-1.3949129116722171E-2</v>
      </c>
    </row>
    <row r="428" spans="2:6" x14ac:dyDescent="0.35">
      <c r="B428" s="262">
        <v>45679</v>
      </c>
      <c r="C428" s="261">
        <v>3356.45</v>
      </c>
      <c r="D428">
        <v>9.2444868564268837E-4</v>
      </c>
      <c r="E428">
        <v>425</v>
      </c>
      <c r="F428">
        <f t="shared" ca="1" si="8"/>
        <v>-1.1504887226415099E-2</v>
      </c>
    </row>
    <row r="429" spans="2:6" x14ac:dyDescent="0.35">
      <c r="B429" s="262">
        <v>45678</v>
      </c>
      <c r="C429" s="261">
        <v>3353.35</v>
      </c>
      <c r="D429">
        <v>-8.5446078793702685E-3</v>
      </c>
      <c r="E429">
        <v>426</v>
      </c>
      <c r="F429">
        <f t="shared" ca="1" si="8"/>
        <v>-8.0517043328076736E-3</v>
      </c>
    </row>
    <row r="430" spans="2:6" x14ac:dyDescent="0.35">
      <c r="B430" s="262">
        <v>45677</v>
      </c>
      <c r="C430" s="261">
        <v>3382.25</v>
      </c>
      <c r="D430">
        <v>7.4015607315184098E-3</v>
      </c>
      <c r="E430">
        <v>427</v>
      </c>
      <c r="F430">
        <f t="shared" ca="1" si="8"/>
        <v>-1.6660637242737315E-2</v>
      </c>
    </row>
    <row r="431" spans="2:6" x14ac:dyDescent="0.35">
      <c r="B431" s="262">
        <v>45674</v>
      </c>
      <c r="C431" s="261">
        <v>3357.4</v>
      </c>
      <c r="D431">
        <v>1.2210196267599263E-2</v>
      </c>
      <c r="E431">
        <v>428</v>
      </c>
      <c r="F431">
        <f t="shared" ca="1" si="8"/>
        <v>-1.8154247653015758E-2</v>
      </c>
    </row>
    <row r="432" spans="2:6" x14ac:dyDescent="0.35">
      <c r="B432" s="262">
        <v>45673</v>
      </c>
      <c r="C432" s="261">
        <v>3316.9</v>
      </c>
      <c r="D432">
        <v>-1.9858582819316712E-3</v>
      </c>
      <c r="E432">
        <v>429</v>
      </c>
      <c r="F432">
        <f t="shared" ca="1" si="8"/>
        <v>-3.7736253346155567E-3</v>
      </c>
    </row>
    <row r="433" spans="2:6" x14ac:dyDescent="0.35">
      <c r="B433" s="262">
        <v>45672</v>
      </c>
      <c r="C433" s="261">
        <v>3323.5</v>
      </c>
      <c r="D433">
        <v>3.0097817908201655E-4</v>
      </c>
      <c r="E433">
        <v>430</v>
      </c>
      <c r="F433">
        <f t="shared" ca="1" si="8"/>
        <v>-8.0235844024120571E-3</v>
      </c>
    </row>
    <row r="434" spans="2:6" x14ac:dyDescent="0.35">
      <c r="B434" s="262">
        <v>45671</v>
      </c>
      <c r="C434" s="261">
        <v>3322.5</v>
      </c>
      <c r="D434">
        <v>-1.7810952627300272E-2</v>
      </c>
      <c r="E434">
        <v>431</v>
      </c>
      <c r="F434">
        <f t="shared" ca="1" si="8"/>
        <v>-2.2078868834832985E-2</v>
      </c>
    </row>
    <row r="435" spans="2:6" x14ac:dyDescent="0.35">
      <c r="B435" s="262">
        <v>45670</v>
      </c>
      <c r="C435" s="261">
        <v>3382.75</v>
      </c>
      <c r="D435">
        <v>-1.6713901605987937E-2</v>
      </c>
      <c r="E435">
        <v>432</v>
      </c>
      <c r="F435">
        <f t="shared" ca="1" si="8"/>
        <v>2.7340904678624243E-2</v>
      </c>
    </row>
    <row r="436" spans="2:6" x14ac:dyDescent="0.35">
      <c r="B436" s="262">
        <v>45667</v>
      </c>
      <c r="C436" s="261">
        <v>3440.25</v>
      </c>
      <c r="D436">
        <v>-1.342108659181835E-2</v>
      </c>
      <c r="E436">
        <v>433</v>
      </c>
      <c r="F436">
        <f t="shared" ca="1" si="8"/>
        <v>-2.3705010086640905E-2</v>
      </c>
    </row>
    <row r="437" spans="2:6" x14ac:dyDescent="0.35">
      <c r="B437" s="262">
        <v>45666</v>
      </c>
      <c r="C437" s="261">
        <v>3487.05</v>
      </c>
      <c r="D437">
        <v>8.6106686184182193E-4</v>
      </c>
      <c r="E437">
        <v>434</v>
      </c>
      <c r="F437">
        <f t="shared" ca="1" si="8"/>
        <v>6.0239166540811987E-3</v>
      </c>
    </row>
    <row r="438" spans="2:6" x14ac:dyDescent="0.35">
      <c r="B438" s="262">
        <v>45665</v>
      </c>
      <c r="C438" s="261">
        <v>3484.05</v>
      </c>
      <c r="D438">
        <v>-6.0055347921599174E-3</v>
      </c>
      <c r="E438">
        <v>435</v>
      </c>
      <c r="F438">
        <f t="shared" ca="1" si="8"/>
        <v>-1.252163990135002E-2</v>
      </c>
    </row>
    <row r="439" spans="2:6" x14ac:dyDescent="0.35">
      <c r="B439" s="262">
        <v>45664</v>
      </c>
      <c r="C439" s="261">
        <v>3505.1</v>
      </c>
      <c r="D439">
        <v>9.9988473951129024E-3</v>
      </c>
      <c r="E439">
        <v>436</v>
      </c>
      <c r="F439">
        <f t="shared" ca="1" si="8"/>
        <v>1.208387468986348E-2</v>
      </c>
    </row>
    <row r="440" spans="2:6" x14ac:dyDescent="0.35">
      <c r="B440" s="262">
        <v>45663</v>
      </c>
      <c r="C440" s="261">
        <v>3470.4</v>
      </c>
      <c r="D440">
        <v>5.4321846073616962E-3</v>
      </c>
      <c r="E440">
        <v>437</v>
      </c>
      <c r="F440">
        <f t="shared" ca="1" si="8"/>
        <v>1.241686945035156E-2</v>
      </c>
    </row>
    <row r="441" spans="2:6" x14ac:dyDescent="0.35">
      <c r="B441" s="262">
        <v>45660</v>
      </c>
      <c r="C441" s="261">
        <v>3451.65</v>
      </c>
      <c r="D441">
        <v>1.8501305714159335E-2</v>
      </c>
      <c r="E441">
        <v>438</v>
      </c>
      <c r="F441">
        <f t="shared" ca="1" si="8"/>
        <v>2.2602909493564988E-2</v>
      </c>
    </row>
    <row r="442" spans="2:6" x14ac:dyDescent="0.35">
      <c r="B442" s="262">
        <v>45659</v>
      </c>
      <c r="C442" s="261">
        <v>3388.95</v>
      </c>
      <c r="D442">
        <v>4.1520045484579778E-2</v>
      </c>
      <c r="E442">
        <v>439</v>
      </c>
      <c r="F442">
        <f t="shared" ca="1" si="8"/>
        <v>-1.9090273873713471E-2</v>
      </c>
    </row>
    <row r="443" spans="2:6" x14ac:dyDescent="0.35">
      <c r="B443" s="262">
        <v>45658</v>
      </c>
      <c r="C443" s="261">
        <v>3253.85</v>
      </c>
      <c r="D443">
        <v>2.1517606012628316E-4</v>
      </c>
      <c r="E443">
        <v>440</v>
      </c>
      <c r="F443">
        <f t="shared" ca="1" si="8"/>
        <v>-6.655272508206818E-3</v>
      </c>
    </row>
    <row r="444" spans="2:6" x14ac:dyDescent="0.35">
      <c r="B444" s="262">
        <v>45657</v>
      </c>
      <c r="C444" s="261">
        <v>3253.15</v>
      </c>
      <c r="D444">
        <v>-1.2893916834235861E-3</v>
      </c>
      <c r="E444">
        <v>441</v>
      </c>
      <c r="F444">
        <f t="shared" ca="1" si="8"/>
        <v>2.8113754465428748E-3</v>
      </c>
    </row>
    <row r="445" spans="2:6" x14ac:dyDescent="0.35">
      <c r="B445" s="262">
        <v>45656</v>
      </c>
      <c r="C445" s="261">
        <v>3257.35</v>
      </c>
      <c r="D445">
        <v>-1.5668439501994414E-2</v>
      </c>
      <c r="E445">
        <v>442</v>
      </c>
      <c r="F445">
        <f t="shared" ca="1" si="8"/>
        <v>-1.6014940284149029E-2</v>
      </c>
    </row>
    <row r="446" spans="2:6" x14ac:dyDescent="0.35">
      <c r="B446" s="262">
        <v>45653</v>
      </c>
      <c r="C446" s="261">
        <v>3309.2</v>
      </c>
      <c r="D446">
        <v>-4.1678578414409539E-3</v>
      </c>
      <c r="E446">
        <v>443</v>
      </c>
      <c r="F446">
        <f t="shared" ca="1" si="8"/>
        <v>7.7207350240061749E-3</v>
      </c>
    </row>
    <row r="447" spans="2:6" x14ac:dyDescent="0.35">
      <c r="B447" s="262">
        <v>45652</v>
      </c>
      <c r="C447" s="261">
        <v>3323.05</v>
      </c>
      <c r="D447">
        <v>-9.0505158943161891E-3</v>
      </c>
      <c r="E447">
        <v>444</v>
      </c>
      <c r="F447">
        <f t="shared" ca="1" si="8"/>
        <v>1.4338331298316557E-2</v>
      </c>
    </row>
    <row r="448" spans="2:6" x14ac:dyDescent="0.35">
      <c r="B448" s="262">
        <v>45650</v>
      </c>
      <c r="C448" s="261">
        <v>3353.4</v>
      </c>
      <c r="D448">
        <v>-1.2820324114278907E-2</v>
      </c>
      <c r="E448">
        <v>445</v>
      </c>
      <c r="F448">
        <f t="shared" ca="1" si="8"/>
        <v>2.4516382536979991E-2</v>
      </c>
    </row>
    <row r="449" spans="2:6" x14ac:dyDescent="0.35">
      <c r="B449" s="262">
        <v>45649</v>
      </c>
      <c r="C449" s="261">
        <v>3396.95</v>
      </c>
      <c r="D449">
        <v>1.2126629422718754E-2</v>
      </c>
      <c r="E449">
        <v>446</v>
      </c>
      <c r="F449">
        <f t="shared" ca="1" si="8"/>
        <v>-4.2627504870973425E-3</v>
      </c>
    </row>
    <row r="450" spans="2:6" x14ac:dyDescent="0.35">
      <c r="B450" s="262">
        <v>45646</v>
      </c>
      <c r="C450" s="261">
        <v>3356.25</v>
      </c>
      <c r="D450">
        <v>-1.7873899638050825E-4</v>
      </c>
      <c r="E450">
        <v>447</v>
      </c>
      <c r="F450">
        <f t="shared" ca="1" si="8"/>
        <v>1.3926115397693077E-2</v>
      </c>
    </row>
    <row r="451" spans="2:6" x14ac:dyDescent="0.35">
      <c r="B451" s="262">
        <v>45645</v>
      </c>
      <c r="C451" s="261">
        <v>3356.85</v>
      </c>
      <c r="D451">
        <v>-1.3242599723683877E-2</v>
      </c>
      <c r="E451">
        <v>448</v>
      </c>
      <c r="F451">
        <f t="shared" ca="1" si="8"/>
        <v>9.2476653624779404E-3</v>
      </c>
    </row>
    <row r="452" spans="2:6" x14ac:dyDescent="0.35">
      <c r="B452" s="262">
        <v>45644</v>
      </c>
      <c r="C452" s="261">
        <v>3401.9</v>
      </c>
      <c r="D452">
        <v>-1.2330818237866821E-3</v>
      </c>
      <c r="E452">
        <v>449</v>
      </c>
      <c r="F452">
        <f t="shared" ca="1" si="8"/>
        <v>-2.0635093213839183E-2</v>
      </c>
    </row>
    <row r="453" spans="2:6" x14ac:dyDescent="0.35">
      <c r="B453" s="262">
        <v>45643</v>
      </c>
      <c r="C453" s="261">
        <v>3406.1</v>
      </c>
      <c r="D453">
        <v>-9.3362806119480866E-3</v>
      </c>
      <c r="E453">
        <v>450</v>
      </c>
      <c r="F453">
        <f t="shared" ref="F453:F516" ca="1" si="9">_xlfn.NORM.INV(RAND(),M$6,M$7)</f>
        <v>-2.3135100865809569E-2</v>
      </c>
    </row>
    <row r="454" spans="2:6" x14ac:dyDescent="0.35">
      <c r="B454" s="262">
        <v>45642</v>
      </c>
      <c r="C454" s="261">
        <v>3438.2</v>
      </c>
      <c r="D454">
        <v>-2.0134802000655511E-2</v>
      </c>
      <c r="E454">
        <v>451</v>
      </c>
      <c r="F454">
        <f t="shared" ca="1" si="9"/>
        <v>1.8312171219346793E-2</v>
      </c>
    </row>
    <row r="455" spans="2:6" x14ac:dyDescent="0.35">
      <c r="B455" s="262">
        <v>45639</v>
      </c>
      <c r="C455" s="261">
        <v>3508.85</v>
      </c>
      <c r="D455">
        <v>1.8312413843140075E-2</v>
      </c>
      <c r="E455">
        <v>452</v>
      </c>
      <c r="F455">
        <f t="shared" ca="1" si="9"/>
        <v>-1.4277776599895414E-2</v>
      </c>
    </row>
    <row r="456" spans="2:6" x14ac:dyDescent="0.35">
      <c r="B456" s="262">
        <v>45638</v>
      </c>
      <c r="C456" s="261">
        <v>3445.75</v>
      </c>
      <c r="D456">
        <v>-7.8748092482220228E-3</v>
      </c>
      <c r="E456">
        <v>453</v>
      </c>
      <c r="F456">
        <f t="shared" ca="1" si="9"/>
        <v>-9.6604780490160899E-3</v>
      </c>
    </row>
    <row r="457" spans="2:6" x14ac:dyDescent="0.35">
      <c r="B457" s="262">
        <v>45637</v>
      </c>
      <c r="C457" s="261">
        <v>3473.1</v>
      </c>
      <c r="D457">
        <v>-7.6242537581819488E-4</v>
      </c>
      <c r="E457">
        <v>454</v>
      </c>
      <c r="F457">
        <f t="shared" ca="1" si="9"/>
        <v>7.7377089363870654E-3</v>
      </c>
    </row>
    <row r="458" spans="2:6" x14ac:dyDescent="0.35">
      <c r="B458" s="262">
        <v>45636</v>
      </c>
      <c r="C458" s="261">
        <v>3475.75</v>
      </c>
      <c r="D458">
        <v>2.1769217461507936E-3</v>
      </c>
      <c r="E458">
        <v>455</v>
      </c>
      <c r="F458">
        <f t="shared" ca="1" si="9"/>
        <v>2.4836774661512974E-3</v>
      </c>
    </row>
    <row r="459" spans="2:6" x14ac:dyDescent="0.35">
      <c r="B459" s="262">
        <v>45635</v>
      </c>
      <c r="C459" s="261">
        <v>3468.2</v>
      </c>
      <c r="D459">
        <v>-5.4753465318004989E-4</v>
      </c>
      <c r="E459">
        <v>456</v>
      </c>
      <c r="F459">
        <f t="shared" ca="1" si="9"/>
        <v>3.4426063136944414E-2</v>
      </c>
    </row>
    <row r="460" spans="2:6" x14ac:dyDescent="0.35">
      <c r="B460" s="262">
        <v>45632</v>
      </c>
      <c r="C460" s="261">
        <v>3470.1</v>
      </c>
      <c r="D460">
        <v>8.4421906104240642E-3</v>
      </c>
      <c r="E460">
        <v>457</v>
      </c>
      <c r="F460">
        <f t="shared" ca="1" si="9"/>
        <v>1.0790567424143929E-2</v>
      </c>
    </row>
    <row r="461" spans="2:6" x14ac:dyDescent="0.35">
      <c r="B461" s="262">
        <v>45631</v>
      </c>
      <c r="C461" s="261">
        <v>3441.05</v>
      </c>
      <c r="D461">
        <v>2.2767465707619481E-2</v>
      </c>
      <c r="E461">
        <v>458</v>
      </c>
      <c r="F461">
        <f t="shared" ca="1" si="9"/>
        <v>8.4975563347360512E-3</v>
      </c>
    </row>
    <row r="462" spans="2:6" x14ac:dyDescent="0.35">
      <c r="B462" s="262">
        <v>45630</v>
      </c>
      <c r="C462" s="261">
        <v>3364.45</v>
      </c>
      <c r="D462">
        <v>9.5116645412946718E-3</v>
      </c>
      <c r="E462">
        <v>459</v>
      </c>
      <c r="F462">
        <f t="shared" ca="1" si="9"/>
        <v>-2.0394997707985491E-2</v>
      </c>
    </row>
    <row r="463" spans="2:6" x14ac:dyDescent="0.35">
      <c r="B463" s="262">
        <v>45629</v>
      </c>
      <c r="C463" s="261">
        <v>3332.75</v>
      </c>
      <c r="D463">
        <v>7.8322270438635228E-3</v>
      </c>
      <c r="E463">
        <v>460</v>
      </c>
      <c r="F463">
        <f t="shared" ca="1" si="9"/>
        <v>1.3321072271032399E-2</v>
      </c>
    </row>
    <row r="464" spans="2:6" x14ac:dyDescent="0.35">
      <c r="B464" s="262">
        <v>45628</v>
      </c>
      <c r="C464" s="261">
        <v>3306.85</v>
      </c>
      <c r="D464">
        <v>1.7805478608802681E-2</v>
      </c>
      <c r="E464">
        <v>461</v>
      </c>
      <c r="F464">
        <f t="shared" ca="1" si="9"/>
        <v>-1.849292833527794E-2</v>
      </c>
    </row>
    <row r="465" spans="2:6" x14ac:dyDescent="0.35">
      <c r="B465" s="262">
        <v>45625</v>
      </c>
      <c r="C465" s="261">
        <v>3249</v>
      </c>
      <c r="D465">
        <v>1.1409093031581269E-2</v>
      </c>
      <c r="E465">
        <v>462</v>
      </c>
      <c r="F465">
        <f t="shared" ca="1" si="9"/>
        <v>-1.1533268938593211E-2</v>
      </c>
    </row>
    <row r="466" spans="2:6" x14ac:dyDescent="0.35">
      <c r="B466" s="262">
        <v>45624</v>
      </c>
      <c r="C466" s="261">
        <v>3212.35</v>
      </c>
      <c r="D466">
        <v>-2.4091261221575861E-2</v>
      </c>
      <c r="E466">
        <v>463</v>
      </c>
      <c r="F466">
        <f t="shared" ca="1" si="9"/>
        <v>8.4902809949528608E-3</v>
      </c>
    </row>
    <row r="467" spans="2:6" x14ac:dyDescent="0.35">
      <c r="B467" s="262">
        <v>45623</v>
      </c>
      <c r="C467" s="261">
        <v>3291.65</v>
      </c>
      <c r="D467">
        <v>-1.0773854244928598E-2</v>
      </c>
      <c r="E467">
        <v>464</v>
      </c>
      <c r="F467">
        <f t="shared" ca="1" si="9"/>
        <v>-1.7975122299654384E-2</v>
      </c>
    </row>
    <row r="468" spans="2:6" x14ac:dyDescent="0.35">
      <c r="B468" s="262">
        <v>45622</v>
      </c>
      <c r="C468" s="261">
        <v>3327.5</v>
      </c>
      <c r="D468">
        <v>5.5604242845486967E-3</v>
      </c>
      <c r="E468">
        <v>465</v>
      </c>
      <c r="F468">
        <f t="shared" ca="1" si="9"/>
        <v>-1.3053817906239534E-2</v>
      </c>
    </row>
    <row r="469" spans="2:6" x14ac:dyDescent="0.35">
      <c r="B469" s="262">
        <v>45621</v>
      </c>
      <c r="C469" s="261">
        <v>3309.1</v>
      </c>
      <c r="D469">
        <v>1.208934022426001E-4</v>
      </c>
      <c r="E469">
        <v>466</v>
      </c>
      <c r="F469">
        <f t="shared" ca="1" si="9"/>
        <v>-6.5314684681256913E-3</v>
      </c>
    </row>
    <row r="470" spans="2:6" x14ac:dyDescent="0.35">
      <c r="B470" s="262">
        <v>45618</v>
      </c>
      <c r="C470" s="261">
        <v>3308.7</v>
      </c>
      <c r="D470">
        <v>4.0979093583350376E-2</v>
      </c>
      <c r="E470">
        <v>467</v>
      </c>
      <c r="F470">
        <f t="shared" ca="1" si="9"/>
        <v>1.6515952249781564E-2</v>
      </c>
    </row>
    <row r="471" spans="2:6" x14ac:dyDescent="0.35">
      <c r="B471" s="262">
        <v>45617</v>
      </c>
      <c r="C471" s="261">
        <v>3178.45</v>
      </c>
      <c r="D471">
        <v>-1.4342419449871307E-2</v>
      </c>
      <c r="E471">
        <v>468</v>
      </c>
      <c r="F471">
        <f t="shared" ca="1" si="9"/>
        <v>1.8367929507656512E-2</v>
      </c>
    </row>
    <row r="472" spans="2:6" x14ac:dyDescent="0.35">
      <c r="B472" s="262">
        <v>45615</v>
      </c>
      <c r="C472" s="261">
        <v>3224.7</v>
      </c>
      <c r="D472">
        <v>1.6517983797244784E-2</v>
      </c>
      <c r="E472">
        <v>469</v>
      </c>
      <c r="F472">
        <f t="shared" ca="1" si="9"/>
        <v>1.6955570610730098E-2</v>
      </c>
    </row>
    <row r="473" spans="2:6" x14ac:dyDescent="0.35">
      <c r="B473" s="262">
        <v>45614</v>
      </c>
      <c r="C473" s="261">
        <v>3172.3</v>
      </c>
      <c r="D473">
        <v>-3.5807393912741896E-3</v>
      </c>
      <c r="E473">
        <v>470</v>
      </c>
      <c r="F473">
        <f t="shared" ca="1" si="9"/>
        <v>-4.9816964139785102E-3</v>
      </c>
    </row>
    <row r="474" spans="2:6" x14ac:dyDescent="0.35">
      <c r="B474" s="262">
        <v>45610</v>
      </c>
      <c r="C474" s="261">
        <v>3183.7</v>
      </c>
      <c r="D474">
        <v>-1.3018178396097969E-3</v>
      </c>
      <c r="E474">
        <v>471</v>
      </c>
      <c r="F474">
        <f t="shared" ca="1" si="9"/>
        <v>1.8940306757168242E-2</v>
      </c>
    </row>
    <row r="475" spans="2:6" x14ac:dyDescent="0.35">
      <c r="B475" s="262">
        <v>45609</v>
      </c>
      <c r="C475" s="261">
        <v>3187.85</v>
      </c>
      <c r="D475">
        <v>-3.314105269740002E-3</v>
      </c>
      <c r="E475">
        <v>472</v>
      </c>
      <c r="F475">
        <f t="shared" ca="1" si="9"/>
        <v>1.3141366418869486E-2</v>
      </c>
    </row>
    <row r="476" spans="2:6" x14ac:dyDescent="0.35">
      <c r="B476" s="262">
        <v>45608</v>
      </c>
      <c r="C476" s="261">
        <v>3198.45</v>
      </c>
      <c r="D476">
        <v>-2.5416328821805311E-3</v>
      </c>
      <c r="E476">
        <v>473</v>
      </c>
      <c r="F476">
        <f t="shared" ca="1" si="9"/>
        <v>6.5040586879050238E-3</v>
      </c>
    </row>
    <row r="477" spans="2:6" x14ac:dyDescent="0.35">
      <c r="B477" s="262">
        <v>45607</v>
      </c>
      <c r="C477" s="261">
        <v>3206.6</v>
      </c>
      <c r="D477">
        <v>6.3868183601412032E-3</v>
      </c>
      <c r="E477">
        <v>474</v>
      </c>
      <c r="F477">
        <f t="shared" ca="1" si="9"/>
        <v>3.3449245046995608E-3</v>
      </c>
    </row>
    <row r="478" spans="2:6" x14ac:dyDescent="0.35">
      <c r="B478" s="262">
        <v>45604</v>
      </c>
      <c r="C478" s="261">
        <v>3186.25</v>
      </c>
      <c r="D478">
        <v>2.0955829341365362E-2</v>
      </c>
      <c r="E478">
        <v>475</v>
      </c>
      <c r="F478">
        <f t="shared" ca="1" si="9"/>
        <v>-1.6662148635298985E-2</v>
      </c>
    </row>
    <row r="479" spans="2:6" x14ac:dyDescent="0.35">
      <c r="B479" s="262">
        <v>45603</v>
      </c>
      <c r="C479" s="261">
        <v>3120.85</v>
      </c>
      <c r="D479">
        <v>-1.7689365921216307E-2</v>
      </c>
      <c r="E479">
        <v>476</v>
      </c>
      <c r="F479">
        <f t="shared" ca="1" si="9"/>
        <v>-2.0095990290645905E-3</v>
      </c>
    </row>
    <row r="480" spans="2:6" x14ac:dyDescent="0.35">
      <c r="B480" s="262">
        <v>45602</v>
      </c>
      <c r="C480" s="261">
        <v>3177.05</v>
      </c>
      <c r="D480">
        <v>-1.6469313520625282E-2</v>
      </c>
      <c r="E480">
        <v>477</v>
      </c>
      <c r="F480">
        <f t="shared" ca="1" si="9"/>
        <v>-2.9228950944282388E-2</v>
      </c>
    </row>
    <row r="481" spans="2:6" x14ac:dyDescent="0.35">
      <c r="B481" s="262">
        <v>45601</v>
      </c>
      <c r="C481" s="261">
        <v>3230.25</v>
      </c>
      <c r="D481">
        <v>2.5605214152700185E-3</v>
      </c>
      <c r="E481">
        <v>478</v>
      </c>
      <c r="F481">
        <f t="shared" ca="1" si="9"/>
        <v>-1.0329181203748693E-2</v>
      </c>
    </row>
    <row r="482" spans="2:6" x14ac:dyDescent="0.35">
      <c r="B482" s="262">
        <v>45600</v>
      </c>
      <c r="C482" s="261">
        <v>3222</v>
      </c>
      <c r="D482">
        <v>-2.1768831405410274E-2</v>
      </c>
      <c r="E482">
        <v>479</v>
      </c>
      <c r="F482">
        <f t="shared" ca="1" si="9"/>
        <v>-2.7173283381017693E-2</v>
      </c>
    </row>
    <row r="483" spans="2:6" x14ac:dyDescent="0.35">
      <c r="B483" s="262">
        <v>45597</v>
      </c>
      <c r="C483" s="261">
        <v>3293.7</v>
      </c>
      <c r="D483">
        <v>8.157206042148004E-3</v>
      </c>
      <c r="E483">
        <v>480</v>
      </c>
      <c r="F483">
        <f t="shared" ca="1" si="9"/>
        <v>1.6518530626888062E-2</v>
      </c>
    </row>
    <row r="484" spans="2:6" x14ac:dyDescent="0.35">
      <c r="B484" s="262">
        <v>45596</v>
      </c>
      <c r="C484" s="261">
        <v>3267.05</v>
      </c>
      <c r="D484">
        <v>-1.2513412625247362E-2</v>
      </c>
      <c r="E484">
        <v>481</v>
      </c>
      <c r="F484">
        <f t="shared" ca="1" si="9"/>
        <v>7.3437810816977516E-4</v>
      </c>
    </row>
    <row r="485" spans="2:6" x14ac:dyDescent="0.35">
      <c r="B485" s="262">
        <v>45595</v>
      </c>
      <c r="C485" s="261">
        <v>3308.45</v>
      </c>
      <c r="D485">
        <v>7.6292867149904756E-3</v>
      </c>
      <c r="E485">
        <v>482</v>
      </c>
      <c r="F485">
        <f t="shared" ca="1" si="9"/>
        <v>2.4686842937117107E-2</v>
      </c>
    </row>
    <row r="486" spans="2:6" x14ac:dyDescent="0.35">
      <c r="B486" s="262">
        <v>45594</v>
      </c>
      <c r="C486" s="261">
        <v>3283.4</v>
      </c>
      <c r="D486">
        <v>1.0660818446259089E-4</v>
      </c>
      <c r="E486">
        <v>483</v>
      </c>
      <c r="F486">
        <f t="shared" ca="1" si="9"/>
        <v>1.8543456674598852E-2</v>
      </c>
    </row>
    <row r="487" spans="2:6" x14ac:dyDescent="0.35">
      <c r="B487" s="262">
        <v>45593</v>
      </c>
      <c r="C487" s="261">
        <v>3283.05</v>
      </c>
      <c r="D487">
        <v>5.0512008081921292E-3</v>
      </c>
      <c r="E487">
        <v>484</v>
      </c>
      <c r="F487">
        <f t="shared" ca="1" si="9"/>
        <v>1.0887500529096225E-2</v>
      </c>
    </row>
    <row r="488" spans="2:6" x14ac:dyDescent="0.35">
      <c r="B488" s="262">
        <v>45590</v>
      </c>
      <c r="C488" s="261">
        <v>3266.55</v>
      </c>
      <c r="D488">
        <v>-1.9319102945149932E-2</v>
      </c>
      <c r="E488">
        <v>485</v>
      </c>
      <c r="F488">
        <f t="shared" ca="1" si="9"/>
        <v>-1.514827174730987E-2</v>
      </c>
    </row>
    <row r="489" spans="2:6" x14ac:dyDescent="0.35">
      <c r="B489" s="262">
        <v>45589</v>
      </c>
      <c r="C489" s="261">
        <v>3330.9</v>
      </c>
      <c r="D489">
        <v>1.2862616310892229E-2</v>
      </c>
      <c r="E489">
        <v>486</v>
      </c>
      <c r="F489">
        <f t="shared" ca="1" si="9"/>
        <v>-1.1486570890145877E-2</v>
      </c>
    </row>
    <row r="490" spans="2:6" x14ac:dyDescent="0.35">
      <c r="B490" s="262">
        <v>45588</v>
      </c>
      <c r="C490" s="261">
        <v>3288.6</v>
      </c>
      <c r="D490">
        <v>-1.237311550243266E-2</v>
      </c>
      <c r="E490">
        <v>487</v>
      </c>
      <c r="F490">
        <f t="shared" ca="1" si="9"/>
        <v>-4.7757638197212099E-3</v>
      </c>
    </row>
    <row r="491" spans="2:6" x14ac:dyDescent="0.35">
      <c r="B491" s="262">
        <v>45587</v>
      </c>
      <c r="C491" s="261">
        <v>3329.8</v>
      </c>
      <c r="D491">
        <v>-9.9457370103322139E-3</v>
      </c>
      <c r="E491">
        <v>488</v>
      </c>
      <c r="F491">
        <f t="shared" ca="1" si="9"/>
        <v>1.3556872412974715E-2</v>
      </c>
    </row>
    <row r="492" spans="2:6" x14ac:dyDescent="0.35">
      <c r="B492" s="262">
        <v>45586</v>
      </c>
      <c r="C492" s="261">
        <v>3363.25</v>
      </c>
      <c r="D492">
        <v>-5.3823064070146883E-3</v>
      </c>
      <c r="E492">
        <v>489</v>
      </c>
      <c r="F492">
        <f t="shared" ca="1" si="9"/>
        <v>3.16452389588135E-2</v>
      </c>
    </row>
    <row r="493" spans="2:6" x14ac:dyDescent="0.35">
      <c r="B493" s="262">
        <v>45583</v>
      </c>
      <c r="C493" s="261">
        <v>3381.45</v>
      </c>
      <c r="D493">
        <v>-6.4348362642690556E-3</v>
      </c>
      <c r="E493">
        <v>490</v>
      </c>
      <c r="F493">
        <f t="shared" ca="1" si="9"/>
        <v>9.1496018016196945E-3</v>
      </c>
    </row>
    <row r="494" spans="2:6" x14ac:dyDescent="0.35">
      <c r="B494" s="262">
        <v>45582</v>
      </c>
      <c r="C494" s="261">
        <v>3403.35</v>
      </c>
      <c r="D494">
        <v>-1.9490060501296484E-2</v>
      </c>
      <c r="E494">
        <v>491</v>
      </c>
      <c r="F494">
        <f t="shared" ca="1" si="9"/>
        <v>5.2049703382184851E-4</v>
      </c>
    </row>
    <row r="495" spans="2:6" x14ac:dyDescent="0.35">
      <c r="B495" s="262">
        <v>45581</v>
      </c>
      <c r="C495" s="261">
        <v>3471</v>
      </c>
      <c r="D495">
        <v>-1.0688328345446772E-2</v>
      </c>
      <c r="E495">
        <v>492</v>
      </c>
      <c r="F495">
        <f t="shared" ca="1" si="9"/>
        <v>-1.6346515556532664E-3</v>
      </c>
    </row>
    <row r="496" spans="2:6" x14ac:dyDescent="0.35">
      <c r="B496" s="262">
        <v>45580</v>
      </c>
      <c r="C496" s="261">
        <v>3508.5</v>
      </c>
      <c r="D496">
        <v>3.0590656984389665E-3</v>
      </c>
      <c r="E496">
        <v>493</v>
      </c>
      <c r="F496">
        <f t="shared" ca="1" si="9"/>
        <v>-8.6832406032153805E-3</v>
      </c>
    </row>
    <row r="497" spans="2:6" x14ac:dyDescent="0.35">
      <c r="B497" s="262">
        <v>45579</v>
      </c>
      <c r="C497" s="261">
        <v>3497.8</v>
      </c>
      <c r="D497">
        <v>6.7349758231637375E-3</v>
      </c>
      <c r="E497">
        <v>494</v>
      </c>
      <c r="F497">
        <f t="shared" ca="1" si="9"/>
        <v>9.0907235242728823E-3</v>
      </c>
    </row>
    <row r="498" spans="2:6" x14ac:dyDescent="0.35">
      <c r="B498" s="262">
        <v>45576</v>
      </c>
      <c r="C498" s="261">
        <v>3474.4</v>
      </c>
      <c r="D498">
        <v>7.8758430633113618E-3</v>
      </c>
      <c r="E498">
        <v>495</v>
      </c>
      <c r="F498">
        <f t="shared" ca="1" si="9"/>
        <v>2.9705422628983454E-2</v>
      </c>
    </row>
    <row r="499" spans="2:6" x14ac:dyDescent="0.35">
      <c r="B499" s="262">
        <v>45575</v>
      </c>
      <c r="C499" s="261">
        <v>3447.25</v>
      </c>
      <c r="D499">
        <v>-1.3224749173453126E-2</v>
      </c>
      <c r="E499">
        <v>496</v>
      </c>
      <c r="F499">
        <f t="shared" ca="1" si="9"/>
        <v>8.6732705317323269E-3</v>
      </c>
    </row>
    <row r="500" spans="2:6" x14ac:dyDescent="0.35">
      <c r="B500" s="262">
        <v>45574</v>
      </c>
      <c r="C500" s="261">
        <v>3493.45</v>
      </c>
      <c r="D500">
        <v>2.8625817624889876E-5</v>
      </c>
      <c r="E500">
        <v>497</v>
      </c>
      <c r="F500">
        <f t="shared" ca="1" si="9"/>
        <v>5.0167170112199646E-3</v>
      </c>
    </row>
    <row r="501" spans="2:6" x14ac:dyDescent="0.35">
      <c r="B501" s="262">
        <v>45573</v>
      </c>
      <c r="C501" s="261">
        <v>3493.35</v>
      </c>
      <c r="D501">
        <v>-2.6718673817649953E-2</v>
      </c>
      <c r="E501">
        <v>498</v>
      </c>
      <c r="F501">
        <f t="shared" ca="1" si="9"/>
        <v>1.4465557926652906E-2</v>
      </c>
    </row>
    <row r="502" spans="2:6" x14ac:dyDescent="0.35">
      <c r="B502" s="262">
        <v>45572</v>
      </c>
      <c r="C502" s="261">
        <v>3589.25</v>
      </c>
      <c r="D502">
        <v>-2.2029372496662192E-2</v>
      </c>
      <c r="E502">
        <v>499</v>
      </c>
      <c r="F502">
        <f t="shared" ca="1" si="9"/>
        <v>1.4972389938627591E-2</v>
      </c>
    </row>
    <row r="503" spans="2:6" x14ac:dyDescent="0.35">
      <c r="B503" s="262">
        <v>45569</v>
      </c>
      <c r="C503" s="261">
        <v>3670.1</v>
      </c>
      <c r="D503">
        <v>-1.3197458468822457E-3</v>
      </c>
      <c r="E503">
        <v>500</v>
      </c>
      <c r="F503">
        <f t="shared" ca="1" si="9"/>
        <v>-1.8212466413509754E-2</v>
      </c>
    </row>
    <row r="504" spans="2:6" x14ac:dyDescent="0.35">
      <c r="B504" s="262">
        <v>45568</v>
      </c>
      <c r="C504" s="261">
        <v>3674.95</v>
      </c>
      <c r="D504">
        <v>-2.6748235543373192E-2</v>
      </c>
      <c r="E504">
        <v>501</v>
      </c>
      <c r="F504">
        <f t="shared" ca="1" si="9"/>
        <v>1.8559014905504604E-2</v>
      </c>
    </row>
    <row r="505" spans="2:6" x14ac:dyDescent="0.35">
      <c r="B505" s="262">
        <v>45566</v>
      </c>
      <c r="C505" s="261">
        <v>3775.95</v>
      </c>
      <c r="D505">
        <v>-1.2552465382654062E-2</v>
      </c>
      <c r="E505">
        <v>502</v>
      </c>
      <c r="F505">
        <f t="shared" ca="1" si="9"/>
        <v>1.7842720833912758E-2</v>
      </c>
    </row>
    <row r="506" spans="2:6" x14ac:dyDescent="0.35">
      <c r="B506" s="262">
        <v>45565</v>
      </c>
      <c r="C506" s="261">
        <v>3823.95</v>
      </c>
      <c r="D506">
        <v>1.8995467288495298E-3</v>
      </c>
      <c r="E506">
        <v>503</v>
      </c>
      <c r="F506">
        <f t="shared" ca="1" si="9"/>
        <v>-5.8523834450695342E-3</v>
      </c>
    </row>
    <row r="507" spans="2:6" x14ac:dyDescent="0.35">
      <c r="B507" s="262">
        <v>45562</v>
      </c>
      <c r="C507" s="261">
        <v>3816.7</v>
      </c>
      <c r="D507">
        <v>1.5741640164468773E-2</v>
      </c>
      <c r="E507">
        <v>504</v>
      </c>
      <c r="F507">
        <f t="shared" ca="1" si="9"/>
        <v>-3.9049503216182009E-2</v>
      </c>
    </row>
    <row r="508" spans="2:6" x14ac:dyDescent="0.35">
      <c r="B508" s="262">
        <v>45561</v>
      </c>
      <c r="C508" s="261">
        <v>3757.55</v>
      </c>
      <c r="D508">
        <v>5.4318014582915731E-3</v>
      </c>
      <c r="E508">
        <v>505</v>
      </c>
      <c r="F508">
        <f t="shared" ca="1" si="9"/>
        <v>-7.6859557004391752E-5</v>
      </c>
    </row>
    <row r="509" spans="2:6" x14ac:dyDescent="0.35">
      <c r="B509" s="262">
        <v>45560</v>
      </c>
      <c r="C509" s="261">
        <v>3737.25</v>
      </c>
      <c r="D509">
        <v>-1.2589500383101294E-2</v>
      </c>
      <c r="E509">
        <v>506</v>
      </c>
      <c r="F509">
        <f t="shared" ca="1" si="9"/>
        <v>-3.1502589385965308E-3</v>
      </c>
    </row>
    <row r="510" spans="2:6" x14ac:dyDescent="0.35">
      <c r="B510" s="262">
        <v>45559</v>
      </c>
      <c r="C510" s="261">
        <v>3784.9</v>
      </c>
      <c r="D510">
        <v>-9.2144184707206138E-3</v>
      </c>
      <c r="E510">
        <v>507</v>
      </c>
      <c r="F510">
        <f t="shared" ca="1" si="9"/>
        <v>-2.8602515614928599E-3</v>
      </c>
    </row>
    <row r="511" spans="2:6" x14ac:dyDescent="0.35">
      <c r="B511" s="262">
        <v>45558</v>
      </c>
      <c r="C511" s="261">
        <v>3820.1</v>
      </c>
      <c r="D511">
        <v>6.0307595070051862E-3</v>
      </c>
      <c r="E511">
        <v>508</v>
      </c>
      <c r="F511">
        <f t="shared" ca="1" si="9"/>
        <v>-1.2151860844519597E-2</v>
      </c>
    </row>
    <row r="512" spans="2:6" x14ac:dyDescent="0.35">
      <c r="B512" s="262">
        <v>45555</v>
      </c>
      <c r="C512" s="261">
        <v>3797.2</v>
      </c>
      <c r="D512">
        <v>4.297861648527487E-3</v>
      </c>
      <c r="E512">
        <v>509</v>
      </c>
      <c r="F512">
        <f t="shared" ca="1" si="9"/>
        <v>-1.6712611490595909E-3</v>
      </c>
    </row>
    <row r="513" spans="2:6" x14ac:dyDescent="0.35">
      <c r="B513" s="262">
        <v>45554</v>
      </c>
      <c r="C513" s="261">
        <v>3780.95</v>
      </c>
      <c r="D513">
        <v>1.4924772169057916E-2</v>
      </c>
      <c r="E513">
        <v>510</v>
      </c>
      <c r="F513">
        <f t="shared" ca="1" si="9"/>
        <v>-6.3389465722243285E-3</v>
      </c>
    </row>
    <row r="514" spans="2:6" x14ac:dyDescent="0.35">
      <c r="B514" s="262">
        <v>45553</v>
      </c>
      <c r="C514" s="261">
        <v>3725.35</v>
      </c>
      <c r="D514">
        <v>-1.1161543770239471E-2</v>
      </c>
      <c r="E514">
        <v>511</v>
      </c>
      <c r="F514">
        <f t="shared" ca="1" si="9"/>
        <v>-5.413990088692271E-3</v>
      </c>
    </row>
    <row r="515" spans="2:6" x14ac:dyDescent="0.35">
      <c r="B515" s="262">
        <v>45552</v>
      </c>
      <c r="C515" s="261">
        <v>3767.4</v>
      </c>
      <c r="D515">
        <v>7.1511635678291208E-3</v>
      </c>
      <c r="E515">
        <v>512</v>
      </c>
      <c r="F515">
        <f t="shared" ca="1" si="9"/>
        <v>-2.8685921893637566E-2</v>
      </c>
    </row>
    <row r="516" spans="2:6" x14ac:dyDescent="0.35">
      <c r="B516" s="262">
        <v>45551</v>
      </c>
      <c r="C516" s="261">
        <v>3740.65</v>
      </c>
      <c r="D516">
        <v>-6.9949561985664741E-3</v>
      </c>
      <c r="E516">
        <v>513</v>
      </c>
      <c r="F516">
        <f t="shared" ca="1" si="9"/>
        <v>-1.3992270367824063E-4</v>
      </c>
    </row>
    <row r="517" spans="2:6" x14ac:dyDescent="0.35">
      <c r="B517" s="262">
        <v>45548</v>
      </c>
      <c r="C517" s="261">
        <v>3767</v>
      </c>
      <c r="D517">
        <v>7.3055721591286447E-4</v>
      </c>
      <c r="E517">
        <v>514</v>
      </c>
      <c r="F517">
        <f t="shared" ref="F517:F580" ca="1" si="10">_xlfn.NORM.INV(RAND(),M$6,M$7)</f>
        <v>2.1964821875861837E-2</v>
      </c>
    </row>
    <row r="518" spans="2:6" x14ac:dyDescent="0.35">
      <c r="B518" s="262">
        <v>45547</v>
      </c>
      <c r="C518" s="261">
        <v>3764.25</v>
      </c>
      <c r="D518">
        <v>1.4321899167362801E-2</v>
      </c>
      <c r="E518">
        <v>515</v>
      </c>
      <c r="F518">
        <f t="shared" ca="1" si="10"/>
        <v>4.754532549891243E-4</v>
      </c>
    </row>
    <row r="519" spans="2:6" x14ac:dyDescent="0.35">
      <c r="B519" s="262">
        <v>45546</v>
      </c>
      <c r="C519" s="261">
        <v>3711.1</v>
      </c>
      <c r="D519">
        <v>-4.3730214090251067E-3</v>
      </c>
      <c r="E519">
        <v>516</v>
      </c>
      <c r="F519">
        <f t="shared" ca="1" si="10"/>
        <v>-4.2362793036729114E-3</v>
      </c>
    </row>
    <row r="520" spans="2:6" x14ac:dyDescent="0.35">
      <c r="B520" s="262">
        <v>45545</v>
      </c>
      <c r="C520" s="261">
        <v>3727.4</v>
      </c>
      <c r="D520">
        <v>1.1629642697208589E-2</v>
      </c>
      <c r="E520">
        <v>517</v>
      </c>
      <c r="F520">
        <f t="shared" ca="1" si="10"/>
        <v>-1.2166849561340174E-2</v>
      </c>
    </row>
    <row r="521" spans="2:6" x14ac:dyDescent="0.35">
      <c r="B521" s="262">
        <v>45544</v>
      </c>
      <c r="C521" s="261">
        <v>3684.55</v>
      </c>
      <c r="D521">
        <v>-2.9630631849546256E-3</v>
      </c>
      <c r="E521">
        <v>518</v>
      </c>
      <c r="F521">
        <f t="shared" ca="1" si="10"/>
        <v>9.504484344375624E-3</v>
      </c>
    </row>
    <row r="522" spans="2:6" x14ac:dyDescent="0.35">
      <c r="B522" s="262">
        <v>45541</v>
      </c>
      <c r="C522" s="261">
        <v>3695.5</v>
      </c>
      <c r="D522">
        <v>-7.3465221537262872E-3</v>
      </c>
      <c r="E522">
        <v>519</v>
      </c>
      <c r="F522">
        <f t="shared" ca="1" si="10"/>
        <v>-2.4859785428979996E-2</v>
      </c>
    </row>
    <row r="523" spans="2:6" x14ac:dyDescent="0.35">
      <c r="B523" s="262">
        <v>45540</v>
      </c>
      <c r="C523" s="261">
        <v>3722.85</v>
      </c>
      <c r="D523">
        <v>3.191784239266017E-2</v>
      </c>
      <c r="E523">
        <v>520</v>
      </c>
      <c r="F523">
        <f t="shared" ca="1" si="10"/>
        <v>9.2198714432227217E-3</v>
      </c>
    </row>
    <row r="524" spans="2:6" x14ac:dyDescent="0.35">
      <c r="B524" s="262">
        <v>45539</v>
      </c>
      <c r="C524" s="261">
        <v>3607.7</v>
      </c>
      <c r="D524">
        <v>-3.7142896593624327E-3</v>
      </c>
      <c r="E524">
        <v>521</v>
      </c>
      <c r="F524">
        <f t="shared" ca="1" si="10"/>
        <v>-2.3719707160894034E-2</v>
      </c>
    </row>
    <row r="525" spans="2:6" x14ac:dyDescent="0.35">
      <c r="B525" s="262">
        <v>45538</v>
      </c>
      <c r="C525" s="261">
        <v>3621.15</v>
      </c>
      <c r="D525">
        <v>9.3657231258100666E-3</v>
      </c>
      <c r="E525">
        <v>522</v>
      </c>
      <c r="F525">
        <f t="shared" ca="1" si="10"/>
        <v>-2.2989446954006568E-2</v>
      </c>
    </row>
    <row r="526" spans="2:6" x14ac:dyDescent="0.35">
      <c r="B526" s="262">
        <v>45537</v>
      </c>
      <c r="C526" s="261">
        <v>3587.55</v>
      </c>
      <c r="D526">
        <v>6.2830455941545486E-3</v>
      </c>
      <c r="E526">
        <v>523</v>
      </c>
      <c r="F526">
        <f t="shared" ca="1" si="10"/>
        <v>2.2655912236583583E-3</v>
      </c>
    </row>
    <row r="527" spans="2:6" x14ac:dyDescent="0.35">
      <c r="B527" s="262">
        <v>45534</v>
      </c>
      <c r="C527" s="261">
        <v>3565.15</v>
      </c>
      <c r="D527">
        <v>9.0427940677007459E-3</v>
      </c>
      <c r="E527">
        <v>524</v>
      </c>
      <c r="F527">
        <f t="shared" ca="1" si="10"/>
        <v>-2.3676846571836457E-3</v>
      </c>
    </row>
    <row r="528" spans="2:6" x14ac:dyDescent="0.35">
      <c r="B528" s="262">
        <v>45533</v>
      </c>
      <c r="C528" s="261">
        <v>3533.2</v>
      </c>
      <c r="D528">
        <v>1.6158752657689066E-3</v>
      </c>
      <c r="E528">
        <v>525</v>
      </c>
      <c r="F528">
        <f t="shared" ca="1" si="10"/>
        <v>-1.4302090821713943E-2</v>
      </c>
    </row>
    <row r="529" spans="2:6" x14ac:dyDescent="0.35">
      <c r="B529" s="262">
        <v>45532</v>
      </c>
      <c r="C529" s="261">
        <v>3527.5</v>
      </c>
      <c r="D529">
        <v>-6.6877859908482931E-3</v>
      </c>
      <c r="E529">
        <v>526</v>
      </c>
      <c r="F529">
        <f t="shared" ca="1" si="10"/>
        <v>2.813247104157423E-5</v>
      </c>
    </row>
    <row r="530" spans="2:6" x14ac:dyDescent="0.35">
      <c r="B530" s="262">
        <v>45531</v>
      </c>
      <c r="C530" s="261">
        <v>3551.25</v>
      </c>
      <c r="D530">
        <v>-2.1748113051622452E-2</v>
      </c>
      <c r="E530">
        <v>527</v>
      </c>
      <c r="F530">
        <f t="shared" ca="1" si="10"/>
        <v>6.0807532085311511E-3</v>
      </c>
    </row>
    <row r="531" spans="2:6" x14ac:dyDescent="0.35">
      <c r="B531" s="262">
        <v>45530</v>
      </c>
      <c r="C531" s="261">
        <v>3630.2</v>
      </c>
      <c r="D531">
        <v>1.6862745098039165E-2</v>
      </c>
      <c r="E531">
        <v>528</v>
      </c>
      <c r="F531">
        <f t="shared" ca="1" si="10"/>
        <v>-5.2457689237255401E-3</v>
      </c>
    </row>
    <row r="532" spans="2:6" x14ac:dyDescent="0.35">
      <c r="B532" s="262">
        <v>45527</v>
      </c>
      <c r="C532" s="261">
        <v>3570</v>
      </c>
      <c r="D532">
        <v>-9.5438908001331951E-3</v>
      </c>
      <c r="E532">
        <v>529</v>
      </c>
      <c r="F532">
        <f t="shared" ca="1" si="10"/>
        <v>-1.7348320195750473E-3</v>
      </c>
    </row>
    <row r="533" spans="2:6" x14ac:dyDescent="0.35">
      <c r="B533" s="262">
        <v>45526</v>
      </c>
      <c r="C533" s="261">
        <v>3604.4</v>
      </c>
      <c r="D533">
        <v>1.2358162004269183E-2</v>
      </c>
      <c r="E533">
        <v>530</v>
      </c>
      <c r="F533">
        <f t="shared" ca="1" si="10"/>
        <v>-5.0309352289694001E-3</v>
      </c>
    </row>
    <row r="534" spans="2:6" x14ac:dyDescent="0.35">
      <c r="B534" s="262">
        <v>45525</v>
      </c>
      <c r="C534" s="261">
        <v>3560.4</v>
      </c>
      <c r="D534">
        <v>2.4605024605024603E-2</v>
      </c>
      <c r="E534">
        <v>531</v>
      </c>
      <c r="F534">
        <f t="shared" ca="1" si="10"/>
        <v>-8.6001762475551146E-3</v>
      </c>
    </row>
    <row r="535" spans="2:6" x14ac:dyDescent="0.35">
      <c r="B535" s="262">
        <v>45524</v>
      </c>
      <c r="C535" s="261">
        <v>3474.9</v>
      </c>
      <c r="D535">
        <v>2.9005584657345001E-3</v>
      </c>
      <c r="E535">
        <v>532</v>
      </c>
      <c r="F535">
        <f t="shared" ca="1" si="10"/>
        <v>1.3903310823035326E-3</v>
      </c>
    </row>
    <row r="536" spans="2:6" x14ac:dyDescent="0.35">
      <c r="B536" s="262">
        <v>45523</v>
      </c>
      <c r="C536" s="261">
        <v>3464.85</v>
      </c>
      <c r="D536">
        <v>5.8349662529936595E-3</v>
      </c>
      <c r="E536">
        <v>533</v>
      </c>
      <c r="F536">
        <f t="shared" ca="1" si="10"/>
        <v>-1.6762848637299124E-2</v>
      </c>
    </row>
    <row r="537" spans="2:6" x14ac:dyDescent="0.35">
      <c r="B537" s="262">
        <v>45520</v>
      </c>
      <c r="C537" s="261">
        <v>3444.75</v>
      </c>
      <c r="D537">
        <v>1.2521493761297976E-2</v>
      </c>
      <c r="E537">
        <v>534</v>
      </c>
      <c r="F537">
        <f t="shared" ca="1" si="10"/>
        <v>-9.7503192236465426E-3</v>
      </c>
    </row>
    <row r="538" spans="2:6" x14ac:dyDescent="0.35">
      <c r="B538" s="262">
        <v>45518</v>
      </c>
      <c r="C538" s="261">
        <v>3402.15</v>
      </c>
      <c r="D538">
        <v>5.4971849093407542E-3</v>
      </c>
      <c r="E538">
        <v>535</v>
      </c>
      <c r="F538">
        <f t="shared" ca="1" si="10"/>
        <v>-5.7618852727675174E-3</v>
      </c>
    </row>
    <row r="539" spans="2:6" x14ac:dyDescent="0.35">
      <c r="B539" s="262">
        <v>45517</v>
      </c>
      <c r="C539" s="261">
        <v>3383.55</v>
      </c>
      <c r="D539">
        <v>1.8880708252405339E-2</v>
      </c>
      <c r="E539">
        <v>536</v>
      </c>
      <c r="F539">
        <f t="shared" ca="1" si="10"/>
        <v>2.4146988860555507E-2</v>
      </c>
    </row>
    <row r="540" spans="2:6" x14ac:dyDescent="0.35">
      <c r="B540" s="262">
        <v>45516</v>
      </c>
      <c r="C540" s="261">
        <v>3320.85</v>
      </c>
      <c r="D540">
        <v>-3.2565957319086081E-3</v>
      </c>
      <c r="E540">
        <v>537</v>
      </c>
      <c r="F540">
        <f t="shared" ca="1" si="10"/>
        <v>-1.4782800560939472E-2</v>
      </c>
    </row>
    <row r="541" spans="2:6" x14ac:dyDescent="0.35">
      <c r="B541" s="262">
        <v>45513</v>
      </c>
      <c r="C541" s="261">
        <v>3331.7</v>
      </c>
      <c r="D541">
        <v>1.0677991809494863E-2</v>
      </c>
      <c r="E541">
        <v>538</v>
      </c>
      <c r="F541">
        <f t="shared" ca="1" si="10"/>
        <v>4.7249800130643631E-3</v>
      </c>
    </row>
    <row r="542" spans="2:6" x14ac:dyDescent="0.35">
      <c r="B542" s="262">
        <v>45512</v>
      </c>
      <c r="C542" s="261">
        <v>3296.5</v>
      </c>
      <c r="D542">
        <v>-8.9440060127771517E-3</v>
      </c>
      <c r="E542">
        <v>539</v>
      </c>
      <c r="F542">
        <f t="shared" ca="1" si="10"/>
        <v>-8.2546948451228935E-3</v>
      </c>
    </row>
    <row r="543" spans="2:6" x14ac:dyDescent="0.35">
      <c r="B543" s="262">
        <v>45511</v>
      </c>
      <c r="C543" s="261">
        <v>3326.25</v>
      </c>
      <c r="D543">
        <v>-2.6535935953944136E-3</v>
      </c>
      <c r="E543">
        <v>540</v>
      </c>
      <c r="F543">
        <f t="shared" ca="1" si="10"/>
        <v>1.0775198591234002E-2</v>
      </c>
    </row>
    <row r="544" spans="2:6" x14ac:dyDescent="0.35">
      <c r="B544" s="262">
        <v>45510</v>
      </c>
      <c r="C544" s="261">
        <v>3335.1</v>
      </c>
      <c r="D544">
        <v>-1.2100297693982407E-2</v>
      </c>
      <c r="E544">
        <v>541</v>
      </c>
      <c r="F544">
        <f t="shared" ca="1" si="10"/>
        <v>-4.4194882974065109E-3</v>
      </c>
    </row>
    <row r="545" spans="2:6" x14ac:dyDescent="0.35">
      <c r="B545" s="262">
        <v>45509</v>
      </c>
      <c r="C545" s="261">
        <v>3375.95</v>
      </c>
      <c r="D545">
        <v>-2.4954149638251502E-2</v>
      </c>
      <c r="E545">
        <v>542</v>
      </c>
      <c r="F545">
        <f t="shared" ca="1" si="10"/>
        <v>1.9090836208134987E-3</v>
      </c>
    </row>
    <row r="546" spans="2:6" x14ac:dyDescent="0.35">
      <c r="B546" s="262">
        <v>45506</v>
      </c>
      <c r="C546" s="261">
        <v>3462.35</v>
      </c>
      <c r="D546">
        <v>-1.7299292170628686E-3</v>
      </c>
      <c r="E546">
        <v>543</v>
      </c>
      <c r="F546">
        <f t="shared" ca="1" si="10"/>
        <v>-1.6349039388551572E-2</v>
      </c>
    </row>
    <row r="547" spans="2:6" x14ac:dyDescent="0.35">
      <c r="B547" s="262">
        <v>45505</v>
      </c>
      <c r="C547" s="261">
        <v>3468.35</v>
      </c>
      <c r="D547">
        <v>2.7175877072522273E-3</v>
      </c>
      <c r="E547">
        <v>544</v>
      </c>
      <c r="F547">
        <f t="shared" ca="1" si="10"/>
        <v>-5.8530351852800087E-3</v>
      </c>
    </row>
    <row r="548" spans="2:6" x14ac:dyDescent="0.35">
      <c r="B548" s="262">
        <v>45504</v>
      </c>
      <c r="C548" s="261">
        <v>3458.95</v>
      </c>
      <c r="D548">
        <v>-2.6814675989332319E-3</v>
      </c>
      <c r="E548">
        <v>545</v>
      </c>
      <c r="F548">
        <f t="shared" ca="1" si="10"/>
        <v>-6.5278700325673593E-3</v>
      </c>
    </row>
    <row r="549" spans="2:6" x14ac:dyDescent="0.35">
      <c r="B549" s="262">
        <v>45503</v>
      </c>
      <c r="C549" s="261">
        <v>3468.25</v>
      </c>
      <c r="D549">
        <v>1.6575314359410318E-2</v>
      </c>
      <c r="E549">
        <v>546</v>
      </c>
      <c r="F549">
        <f t="shared" ca="1" si="10"/>
        <v>1.7826843063691429E-2</v>
      </c>
    </row>
    <row r="550" spans="2:6" x14ac:dyDescent="0.35">
      <c r="B550" s="262">
        <v>45502</v>
      </c>
      <c r="C550" s="261">
        <v>3411.7</v>
      </c>
      <c r="D550">
        <v>-2.3596582859923092E-2</v>
      </c>
      <c r="E550">
        <v>547</v>
      </c>
      <c r="F550">
        <f t="shared" ca="1" si="10"/>
        <v>4.6927664886867839E-3</v>
      </c>
    </row>
    <row r="551" spans="2:6" x14ac:dyDescent="0.35">
      <c r="B551" s="262">
        <v>45499</v>
      </c>
      <c r="C551" s="261">
        <v>3494.15</v>
      </c>
      <c r="D551">
        <v>2.5941041752304862E-2</v>
      </c>
      <c r="E551">
        <v>548</v>
      </c>
      <c r="F551">
        <f t="shared" ca="1" si="10"/>
        <v>2.0689484332007693E-2</v>
      </c>
    </row>
    <row r="552" spans="2:6" x14ac:dyDescent="0.35">
      <c r="B552" s="262">
        <v>45498</v>
      </c>
      <c r="C552" s="261">
        <v>3405.8</v>
      </c>
      <c r="D552">
        <v>-2.0871665133394637E-2</v>
      </c>
      <c r="E552">
        <v>549</v>
      </c>
      <c r="F552">
        <f t="shared" ca="1" si="10"/>
        <v>-9.3900842003846133E-3</v>
      </c>
    </row>
    <row r="553" spans="2:6" x14ac:dyDescent="0.35">
      <c r="B553" s="262">
        <v>45497</v>
      </c>
      <c r="C553" s="261">
        <v>3478.4</v>
      </c>
      <c r="D553">
        <v>3.3315545812481594E-3</v>
      </c>
      <c r="E553">
        <v>550</v>
      </c>
      <c r="F553">
        <f t="shared" ca="1" si="10"/>
        <v>-4.096245405588104E-3</v>
      </c>
    </row>
    <row r="554" spans="2:6" x14ac:dyDescent="0.35">
      <c r="B554" s="262">
        <v>45496</v>
      </c>
      <c r="C554" s="261">
        <v>3466.85</v>
      </c>
      <c r="D554">
        <v>6.5264484014195975E-2</v>
      </c>
      <c r="E554">
        <v>551</v>
      </c>
      <c r="F554">
        <f t="shared" ca="1" si="10"/>
        <v>-9.5210241016895764E-3</v>
      </c>
    </row>
    <row r="555" spans="2:6" x14ac:dyDescent="0.35">
      <c r="B555" s="262">
        <v>45495</v>
      </c>
      <c r="C555" s="261">
        <v>3254.45</v>
      </c>
      <c r="D555">
        <v>-1.3961337833691874E-3</v>
      </c>
      <c r="E555">
        <v>552</v>
      </c>
      <c r="F555">
        <f t="shared" ca="1" si="10"/>
        <v>3.5926114935711392E-2</v>
      </c>
    </row>
    <row r="556" spans="2:6" x14ac:dyDescent="0.35">
      <c r="B556" s="262">
        <v>45492</v>
      </c>
      <c r="C556" s="261">
        <v>3259</v>
      </c>
      <c r="D556">
        <v>-9.5030808374970386E-4</v>
      </c>
      <c r="E556">
        <v>553</v>
      </c>
      <c r="F556">
        <f t="shared" ca="1" si="10"/>
        <v>-6.2871078403837375E-3</v>
      </c>
    </row>
    <row r="557" spans="2:6" x14ac:dyDescent="0.35">
      <c r="B557" s="262">
        <v>45491</v>
      </c>
      <c r="C557" s="261">
        <v>3262.1</v>
      </c>
      <c r="D557">
        <v>8.673335291662072E-3</v>
      </c>
      <c r="E557">
        <v>554</v>
      </c>
      <c r="F557">
        <f t="shared" ca="1" si="10"/>
        <v>1.6072154677346916E-2</v>
      </c>
    </row>
    <row r="558" spans="2:6" x14ac:dyDescent="0.35">
      <c r="B558" s="262">
        <v>45489</v>
      </c>
      <c r="C558" s="261">
        <v>3234.05</v>
      </c>
      <c r="D558">
        <v>3.0550214006576405E-3</v>
      </c>
      <c r="E558">
        <v>555</v>
      </c>
      <c r="F558">
        <f t="shared" ca="1" si="10"/>
        <v>2.4224665735438906E-3</v>
      </c>
    </row>
    <row r="559" spans="2:6" x14ac:dyDescent="0.35">
      <c r="B559" s="262">
        <v>45488</v>
      </c>
      <c r="C559" s="261">
        <v>3224.2</v>
      </c>
      <c r="D559">
        <v>-1.7493072433704634E-3</v>
      </c>
      <c r="E559">
        <v>556</v>
      </c>
      <c r="F559">
        <f t="shared" ca="1" si="10"/>
        <v>-5.6859423035117707E-3</v>
      </c>
    </row>
    <row r="560" spans="2:6" x14ac:dyDescent="0.35">
      <c r="B560" s="262">
        <v>45485</v>
      </c>
      <c r="C560" s="261">
        <v>3229.85</v>
      </c>
      <c r="D560">
        <v>-5.7717170473434712E-3</v>
      </c>
      <c r="E560">
        <v>557</v>
      </c>
      <c r="F560">
        <f t="shared" ca="1" si="10"/>
        <v>1.2807213926222116E-2</v>
      </c>
    </row>
    <row r="561" spans="2:6" x14ac:dyDescent="0.35">
      <c r="B561" s="262">
        <v>45484</v>
      </c>
      <c r="C561" s="261">
        <v>3248.6</v>
      </c>
      <c r="D561">
        <v>7.3178294573643127E-3</v>
      </c>
      <c r="E561">
        <v>558</v>
      </c>
      <c r="F561">
        <f t="shared" ca="1" si="10"/>
        <v>-1.3392017654238668E-2</v>
      </c>
    </row>
    <row r="562" spans="2:6" x14ac:dyDescent="0.35">
      <c r="B562" s="262">
        <v>45483</v>
      </c>
      <c r="C562" s="261">
        <v>3225</v>
      </c>
      <c r="D562">
        <v>3.0636206708862445E-3</v>
      </c>
      <c r="E562">
        <v>559</v>
      </c>
      <c r="F562">
        <f t="shared" ca="1" si="10"/>
        <v>1.9038650775792191E-3</v>
      </c>
    </row>
    <row r="563" spans="2:6" x14ac:dyDescent="0.35">
      <c r="B563" s="262">
        <v>45482</v>
      </c>
      <c r="C563" s="261">
        <v>3215.15</v>
      </c>
      <c r="D563">
        <v>1.8677523604334414E-2</v>
      </c>
      <c r="E563">
        <v>560</v>
      </c>
      <c r="F563">
        <f t="shared" ca="1" si="10"/>
        <v>-1.4509763714359754E-3</v>
      </c>
    </row>
    <row r="564" spans="2:6" x14ac:dyDescent="0.35">
      <c r="B564" s="262">
        <v>45481</v>
      </c>
      <c r="C564" s="261">
        <v>3156.2</v>
      </c>
      <c r="D564">
        <v>-3.4609326012816029E-2</v>
      </c>
      <c r="E564">
        <v>561</v>
      </c>
      <c r="F564">
        <f t="shared" ca="1" si="10"/>
        <v>-1.9649447021625174E-2</v>
      </c>
    </row>
    <row r="565" spans="2:6" x14ac:dyDescent="0.35">
      <c r="B565" s="262">
        <v>45478</v>
      </c>
      <c r="C565" s="261">
        <v>3269.35</v>
      </c>
      <c r="D565">
        <v>-1.9979016786570769E-2</v>
      </c>
      <c r="E565">
        <v>562</v>
      </c>
      <c r="F565">
        <f t="shared" ca="1" si="10"/>
        <v>-1.3161093257797987E-2</v>
      </c>
    </row>
    <row r="566" spans="2:6" x14ac:dyDescent="0.35">
      <c r="B566" s="262">
        <v>45477</v>
      </c>
      <c r="C566" s="261">
        <v>3336</v>
      </c>
      <c r="D566">
        <v>-7.2167249460605614E-3</v>
      </c>
      <c r="E566">
        <v>563</v>
      </c>
      <c r="F566">
        <f t="shared" ca="1" si="10"/>
        <v>-1.7346374848115482E-2</v>
      </c>
    </row>
    <row r="567" spans="2:6" x14ac:dyDescent="0.35">
      <c r="B567" s="262">
        <v>45476</v>
      </c>
      <c r="C567" s="261">
        <v>3360.25</v>
      </c>
      <c r="D567">
        <v>-1.1589428323503917E-2</v>
      </c>
      <c r="E567">
        <v>564</v>
      </c>
      <c r="F567">
        <f t="shared" ca="1" si="10"/>
        <v>1.3128967376963755E-2</v>
      </c>
    </row>
    <row r="568" spans="2:6" x14ac:dyDescent="0.35">
      <c r="B568" s="262">
        <v>45475</v>
      </c>
      <c r="C568" s="261">
        <v>3399.65</v>
      </c>
      <c r="D568">
        <v>-9.2672193970478167E-3</v>
      </c>
      <c r="E568">
        <v>565</v>
      </c>
      <c r="F568">
        <f t="shared" ca="1" si="10"/>
        <v>2.2628289619214745E-2</v>
      </c>
    </row>
    <row r="569" spans="2:6" x14ac:dyDescent="0.35">
      <c r="B569" s="262">
        <v>45474</v>
      </c>
      <c r="C569" s="261">
        <v>3431.45</v>
      </c>
      <c r="D569">
        <v>8.0048175782856477E-3</v>
      </c>
      <c r="E569">
        <v>566</v>
      </c>
      <c r="F569">
        <f t="shared" ca="1" si="10"/>
        <v>-1.2805803628591418E-2</v>
      </c>
    </row>
    <row r="570" spans="2:6" x14ac:dyDescent="0.35">
      <c r="B570" s="262">
        <v>45471</v>
      </c>
      <c r="C570" s="261">
        <v>3404.2</v>
      </c>
      <c r="D570">
        <v>6.9810092882919925E-3</v>
      </c>
      <c r="E570">
        <v>567</v>
      </c>
      <c r="F570">
        <f t="shared" ca="1" si="10"/>
        <v>-4.27615176492717E-3</v>
      </c>
    </row>
    <row r="571" spans="2:6" x14ac:dyDescent="0.35">
      <c r="B571" s="262">
        <v>45470</v>
      </c>
      <c r="C571" s="261">
        <v>3380.6</v>
      </c>
      <c r="D571">
        <v>2.3274775776443287E-3</v>
      </c>
      <c r="E571">
        <v>568</v>
      </c>
      <c r="F571">
        <f t="shared" ca="1" si="10"/>
        <v>2.1477741669681018E-4</v>
      </c>
    </row>
    <row r="572" spans="2:6" x14ac:dyDescent="0.35">
      <c r="B572" s="262">
        <v>45469</v>
      </c>
      <c r="C572" s="261">
        <v>3372.75</v>
      </c>
      <c r="D572">
        <v>-8.7290040999867206E-3</v>
      </c>
      <c r="E572">
        <v>569</v>
      </c>
      <c r="F572">
        <f t="shared" ca="1" si="10"/>
        <v>-2.5161683556640339E-3</v>
      </c>
    </row>
    <row r="573" spans="2:6" x14ac:dyDescent="0.35">
      <c r="B573" s="262">
        <v>45468</v>
      </c>
      <c r="C573" s="261">
        <v>3402.45</v>
      </c>
      <c r="D573">
        <v>-2.901226427535303E-3</v>
      </c>
      <c r="E573">
        <v>570</v>
      </c>
      <c r="F573">
        <f t="shared" ca="1" si="10"/>
        <v>-1.4867378777739328E-2</v>
      </c>
    </row>
    <row r="574" spans="2:6" x14ac:dyDescent="0.35">
      <c r="B574" s="262">
        <v>45467</v>
      </c>
      <c r="C574" s="261">
        <v>3412.35</v>
      </c>
      <c r="D574">
        <v>3.7061548643282328E-3</v>
      </c>
      <c r="E574">
        <v>571</v>
      </c>
      <c r="F574">
        <f t="shared" ca="1" si="10"/>
        <v>6.3112371269627588E-3</v>
      </c>
    </row>
    <row r="575" spans="2:6" x14ac:dyDescent="0.35">
      <c r="B575" s="262">
        <v>45464</v>
      </c>
      <c r="C575" s="261">
        <v>3399.75</v>
      </c>
      <c r="D575">
        <v>-1.0535659715653551E-2</v>
      </c>
      <c r="E575">
        <v>572</v>
      </c>
      <c r="F575">
        <f t="shared" ca="1" si="10"/>
        <v>-2.7527385097049981E-2</v>
      </c>
    </row>
    <row r="576" spans="2:6" x14ac:dyDescent="0.35">
      <c r="B576" s="262">
        <v>45463</v>
      </c>
      <c r="C576" s="261">
        <v>3435.95</v>
      </c>
      <c r="D576">
        <v>-7.6248790561324218E-3</v>
      </c>
      <c r="E576">
        <v>573</v>
      </c>
      <c r="F576">
        <f t="shared" ca="1" si="10"/>
        <v>1.902370712554348E-3</v>
      </c>
    </row>
    <row r="577" spans="2:6" x14ac:dyDescent="0.35">
      <c r="B577" s="262">
        <v>45462</v>
      </c>
      <c r="C577" s="261">
        <v>3462.35</v>
      </c>
      <c r="D577">
        <v>-3.5288381164669848E-2</v>
      </c>
      <c r="E577">
        <v>574</v>
      </c>
      <c r="F577">
        <f t="shared" ca="1" si="10"/>
        <v>-2.5217720548616859E-2</v>
      </c>
    </row>
    <row r="578" spans="2:6" x14ac:dyDescent="0.35">
      <c r="B578" s="262">
        <v>45461</v>
      </c>
      <c r="C578" s="261">
        <v>3589</v>
      </c>
      <c r="D578">
        <v>1.6699480177334546E-2</v>
      </c>
      <c r="E578">
        <v>575</v>
      </c>
      <c r="F578">
        <f t="shared" ca="1" si="10"/>
        <v>2.2771109086405329E-2</v>
      </c>
    </row>
    <row r="579" spans="2:6" x14ac:dyDescent="0.35">
      <c r="B579" s="262">
        <v>45457</v>
      </c>
      <c r="C579" s="261">
        <v>3530.05</v>
      </c>
      <c r="D579">
        <v>1.6660906629802536E-2</v>
      </c>
      <c r="E579">
        <v>576</v>
      </c>
      <c r="F579">
        <f t="shared" ca="1" si="10"/>
        <v>-1.5486942856984647E-2</v>
      </c>
    </row>
    <row r="580" spans="2:6" x14ac:dyDescent="0.35">
      <c r="B580" s="262">
        <v>45456</v>
      </c>
      <c r="C580" s="261">
        <v>3472.2</v>
      </c>
      <c r="D580">
        <v>2.6579546462466259E-2</v>
      </c>
      <c r="E580">
        <v>577</v>
      </c>
      <c r="F580">
        <f t="shared" ca="1" si="10"/>
        <v>1.2174962900232466E-2</v>
      </c>
    </row>
    <row r="581" spans="2:6" x14ac:dyDescent="0.35">
      <c r="B581" s="262">
        <v>45455</v>
      </c>
      <c r="C581" s="261">
        <v>3382.3</v>
      </c>
      <c r="D581">
        <v>-8.3267364470635472E-3</v>
      </c>
      <c r="E581">
        <v>578</v>
      </c>
      <c r="F581">
        <f t="shared" ref="F581:F644" ca="1" si="11">_xlfn.NORM.INV(RAND(),M$6,M$7)</f>
        <v>-2.3750666688852215E-2</v>
      </c>
    </row>
    <row r="582" spans="2:6" x14ac:dyDescent="0.35">
      <c r="B582" s="262">
        <v>45454</v>
      </c>
      <c r="C582" s="261">
        <v>3410.7</v>
      </c>
      <c r="D582">
        <v>-3.3604114312430601E-3</v>
      </c>
      <c r="E582">
        <v>579</v>
      </c>
      <c r="F582">
        <f t="shared" ca="1" si="11"/>
        <v>1.3329467538078725E-2</v>
      </c>
    </row>
    <row r="583" spans="2:6" x14ac:dyDescent="0.35">
      <c r="B583" s="262">
        <v>45453</v>
      </c>
      <c r="C583" s="261">
        <v>3422.2</v>
      </c>
      <c r="D583">
        <v>-6.3442749089009636E-3</v>
      </c>
      <c r="E583">
        <v>580</v>
      </c>
      <c r="F583">
        <f t="shared" ca="1" si="11"/>
        <v>-2.4127150209423385E-2</v>
      </c>
    </row>
    <row r="584" spans="2:6" x14ac:dyDescent="0.35">
      <c r="B584" s="262">
        <v>45450</v>
      </c>
      <c r="C584" s="261">
        <v>3444.05</v>
      </c>
      <c r="D584">
        <v>3.6849156292806315E-2</v>
      </c>
      <c r="E584">
        <v>581</v>
      </c>
      <c r="F584">
        <f t="shared" ca="1" si="11"/>
        <v>2.1835376769414158E-3</v>
      </c>
    </row>
    <row r="585" spans="2:6" x14ac:dyDescent="0.35">
      <c r="B585" s="262">
        <v>45449</v>
      </c>
      <c r="C585" s="261">
        <v>3321.65</v>
      </c>
      <c r="D585">
        <v>1.2056726900064804E-3</v>
      </c>
      <c r="E585">
        <v>582</v>
      </c>
      <c r="F585">
        <f t="shared" ca="1" si="11"/>
        <v>-1.0589926401838709E-2</v>
      </c>
    </row>
    <row r="586" spans="2:6" x14ac:dyDescent="0.35">
      <c r="B586" s="262">
        <v>45448</v>
      </c>
      <c r="C586" s="261">
        <v>3317.65</v>
      </c>
      <c r="D586">
        <v>2.4297997807931668E-2</v>
      </c>
      <c r="E586">
        <v>583</v>
      </c>
      <c r="F586">
        <f t="shared" ca="1" si="11"/>
        <v>6.6403734319252792E-5</v>
      </c>
    </row>
    <row r="587" spans="2:6" x14ac:dyDescent="0.35">
      <c r="B587" s="262">
        <v>45447</v>
      </c>
      <c r="C587" s="261">
        <v>3238.95</v>
      </c>
      <c r="D587">
        <v>-6.8226419722801426E-3</v>
      </c>
      <c r="E587">
        <v>584</v>
      </c>
      <c r="F587">
        <f t="shared" ca="1" si="11"/>
        <v>1.061325506118232E-2</v>
      </c>
    </row>
    <row r="588" spans="2:6" x14ac:dyDescent="0.35">
      <c r="B588" s="262">
        <v>45446</v>
      </c>
      <c r="C588" s="261">
        <v>3261.2</v>
      </c>
      <c r="D588">
        <v>5.9532989913321588E-3</v>
      </c>
      <c r="E588">
        <v>585</v>
      </c>
      <c r="F588">
        <f t="shared" ca="1" si="11"/>
        <v>1.3382474855991324E-3</v>
      </c>
    </row>
    <row r="589" spans="2:6" x14ac:dyDescent="0.35">
      <c r="B589" s="262">
        <v>45443</v>
      </c>
      <c r="C589" s="261">
        <v>3241.9</v>
      </c>
      <c r="D589">
        <v>-9.1538426272597517E-3</v>
      </c>
      <c r="E589">
        <v>586</v>
      </c>
      <c r="F589">
        <f t="shared" ca="1" si="11"/>
        <v>1.2960626393898025E-2</v>
      </c>
    </row>
    <row r="590" spans="2:6" x14ac:dyDescent="0.35">
      <c r="B590" s="262">
        <v>45442</v>
      </c>
      <c r="C590" s="261">
        <v>3271.85</v>
      </c>
      <c r="D590">
        <v>-3.2111584427878412E-2</v>
      </c>
      <c r="E590">
        <v>587</v>
      </c>
      <c r="F590">
        <f t="shared" ca="1" si="11"/>
        <v>8.1109774728033435E-3</v>
      </c>
    </row>
    <row r="591" spans="2:6" x14ac:dyDescent="0.35">
      <c r="B591" s="262">
        <v>45441</v>
      </c>
      <c r="C591" s="261">
        <v>3380.4</v>
      </c>
      <c r="D591">
        <v>-8.5058954654777964E-3</v>
      </c>
      <c r="E591">
        <v>588</v>
      </c>
      <c r="F591">
        <f t="shared" ca="1" si="11"/>
        <v>1.1387241108639881E-2</v>
      </c>
    </row>
    <row r="592" spans="2:6" x14ac:dyDescent="0.35">
      <c r="B592" s="262">
        <v>45440</v>
      </c>
      <c r="C592" s="261">
        <v>3409.4</v>
      </c>
      <c r="D592">
        <v>1.7629429394135276E-3</v>
      </c>
      <c r="E592">
        <v>589</v>
      </c>
      <c r="F592">
        <f t="shared" ca="1" si="11"/>
        <v>-2.3484968534011372E-2</v>
      </c>
    </row>
    <row r="593" spans="2:6" x14ac:dyDescent="0.35">
      <c r="B593" s="262">
        <v>45439</v>
      </c>
      <c r="C593" s="261">
        <v>3403.4</v>
      </c>
      <c r="D593">
        <v>-2.6374399249794863E-3</v>
      </c>
      <c r="E593">
        <v>590</v>
      </c>
      <c r="F593">
        <f t="shared" ca="1" si="11"/>
        <v>5.7991925792709436E-3</v>
      </c>
    </row>
    <row r="594" spans="2:6" x14ac:dyDescent="0.35">
      <c r="B594" s="262">
        <v>45436</v>
      </c>
      <c r="C594" s="261">
        <v>3412.4</v>
      </c>
      <c r="D594">
        <v>-1.1485928651091406E-2</v>
      </c>
      <c r="E594">
        <v>591</v>
      </c>
      <c r="F594">
        <f t="shared" ca="1" si="11"/>
        <v>4.5904403735694196E-3</v>
      </c>
    </row>
    <row r="595" spans="2:6" x14ac:dyDescent="0.35">
      <c r="B595" s="262">
        <v>45435</v>
      </c>
      <c r="C595" s="261">
        <v>3452.05</v>
      </c>
      <c r="D595">
        <v>2.0154557678384172E-2</v>
      </c>
      <c r="E595">
        <v>592</v>
      </c>
      <c r="F595">
        <f t="shared" ca="1" si="11"/>
        <v>-2.6252177272307727E-2</v>
      </c>
    </row>
    <row r="596" spans="2:6" x14ac:dyDescent="0.35">
      <c r="B596" s="262">
        <v>45434</v>
      </c>
      <c r="C596" s="261">
        <v>3383.85</v>
      </c>
      <c r="D596">
        <v>2.0284275984601449E-3</v>
      </c>
      <c r="E596">
        <v>593</v>
      </c>
      <c r="F596">
        <f t="shared" ca="1" si="11"/>
        <v>2.1245643498751875E-2</v>
      </c>
    </row>
    <row r="597" spans="2:6" x14ac:dyDescent="0.35">
      <c r="B597" s="262">
        <v>45433</v>
      </c>
      <c r="C597" s="261">
        <v>3377</v>
      </c>
      <c r="D597">
        <v>4.2973338686413043E-3</v>
      </c>
      <c r="E597">
        <v>594</v>
      </c>
      <c r="F597">
        <f t="shared" ca="1" si="11"/>
        <v>1.3543803269847486E-3</v>
      </c>
    </row>
    <row r="598" spans="2:6" x14ac:dyDescent="0.35">
      <c r="B598" s="262">
        <v>45430</v>
      </c>
      <c r="C598" s="261">
        <v>3362.55</v>
      </c>
      <c r="D598">
        <v>4.1652410633268103E-4</v>
      </c>
      <c r="E598">
        <v>595</v>
      </c>
      <c r="F598">
        <f t="shared" ca="1" si="11"/>
        <v>2.2217110237331941E-2</v>
      </c>
    </row>
    <row r="599" spans="2:6" x14ac:dyDescent="0.35">
      <c r="B599" s="262">
        <v>45429</v>
      </c>
      <c r="C599" s="261">
        <v>3361.15</v>
      </c>
      <c r="D599">
        <v>8.173610486217342E-3</v>
      </c>
      <c r="E599">
        <v>596</v>
      </c>
      <c r="F599">
        <f t="shared" ca="1" si="11"/>
        <v>-1.285643154980471E-2</v>
      </c>
    </row>
    <row r="600" spans="2:6" x14ac:dyDescent="0.35">
      <c r="B600" s="262">
        <v>45428</v>
      </c>
      <c r="C600" s="261">
        <v>3333.9</v>
      </c>
      <c r="D600">
        <v>1.9993575132704076E-2</v>
      </c>
      <c r="E600">
        <v>597</v>
      </c>
      <c r="F600">
        <f t="shared" ca="1" si="11"/>
        <v>-1.9444379732661179E-2</v>
      </c>
    </row>
    <row r="601" spans="2:6" x14ac:dyDescent="0.35">
      <c r="B601" s="262">
        <v>45427</v>
      </c>
      <c r="C601" s="261">
        <v>3268.55</v>
      </c>
      <c r="D601">
        <v>-6.1874790963543768E-3</v>
      </c>
      <c r="E601">
        <v>598</v>
      </c>
      <c r="F601">
        <f t="shared" ca="1" si="11"/>
        <v>-9.9359742406412987E-3</v>
      </c>
    </row>
    <row r="602" spans="2:6" x14ac:dyDescent="0.35">
      <c r="B602" s="262">
        <v>45426</v>
      </c>
      <c r="C602" s="261">
        <v>3288.9</v>
      </c>
      <c r="D602">
        <v>1.0833986445991425E-2</v>
      </c>
      <c r="E602">
        <v>599</v>
      </c>
      <c r="F602">
        <f t="shared" ca="1" si="11"/>
        <v>8.9870712925124597E-3</v>
      </c>
    </row>
    <row r="603" spans="2:6" x14ac:dyDescent="0.35">
      <c r="B603" s="262">
        <v>45425</v>
      </c>
      <c r="C603" s="261">
        <v>3253.65</v>
      </c>
      <c r="D603">
        <v>-1.1003541194887249E-2</v>
      </c>
      <c r="E603">
        <v>600</v>
      </c>
      <c r="F603">
        <f t="shared" ca="1" si="11"/>
        <v>-1.8579539885056395E-2</v>
      </c>
    </row>
    <row r="604" spans="2:6" x14ac:dyDescent="0.35">
      <c r="B604" s="262">
        <v>45422</v>
      </c>
      <c r="C604" s="261">
        <v>3289.85</v>
      </c>
      <c r="D604">
        <v>1.3602612687555872E-2</v>
      </c>
      <c r="E604">
        <v>601</v>
      </c>
      <c r="F604">
        <f t="shared" ca="1" si="11"/>
        <v>1.0025172470126065E-2</v>
      </c>
    </row>
    <row r="605" spans="2:6" x14ac:dyDescent="0.35">
      <c r="B605" s="262">
        <v>45421</v>
      </c>
      <c r="C605" s="261">
        <v>3245.7</v>
      </c>
      <c r="D605">
        <v>-4.3406905225700848E-3</v>
      </c>
      <c r="E605">
        <v>602</v>
      </c>
      <c r="F605">
        <f t="shared" ca="1" si="11"/>
        <v>-1.6561750217215059E-2</v>
      </c>
    </row>
    <row r="606" spans="2:6" x14ac:dyDescent="0.35">
      <c r="B606" s="262">
        <v>45420</v>
      </c>
      <c r="C606" s="261">
        <v>3259.85</v>
      </c>
      <c r="D606">
        <v>-3.3782750924822471E-3</v>
      </c>
      <c r="E606">
        <v>603</v>
      </c>
      <c r="F606">
        <f t="shared" ca="1" si="11"/>
        <v>1.3878400899521533E-2</v>
      </c>
    </row>
    <row r="607" spans="2:6" x14ac:dyDescent="0.35">
      <c r="B607" s="262">
        <v>45419</v>
      </c>
      <c r="C607" s="261">
        <v>3270.9</v>
      </c>
      <c r="D607">
        <v>-2.8199929881255431E-3</v>
      </c>
      <c r="E607">
        <v>604</v>
      </c>
      <c r="F607">
        <f t="shared" ca="1" si="11"/>
        <v>-2.5160724244290611E-2</v>
      </c>
    </row>
    <row r="608" spans="2:6" x14ac:dyDescent="0.35">
      <c r="B608" s="262">
        <v>45418</v>
      </c>
      <c r="C608" s="261">
        <v>3280.15</v>
      </c>
      <c r="D608">
        <v>-7.1804521916296438E-2</v>
      </c>
      <c r="E608">
        <v>605</v>
      </c>
      <c r="F608">
        <f t="shared" ca="1" si="11"/>
        <v>-1.1354650898463076E-2</v>
      </c>
    </row>
    <row r="609" spans="2:6" x14ac:dyDescent="0.35">
      <c r="B609" s="262">
        <v>45415</v>
      </c>
      <c r="C609" s="261">
        <v>3533.9</v>
      </c>
      <c r="D609">
        <v>-9.6820748504251788E-3</v>
      </c>
      <c r="E609">
        <v>606</v>
      </c>
      <c r="F609">
        <f t="shared" ca="1" si="11"/>
        <v>1.2070950953331784E-2</v>
      </c>
    </row>
    <row r="610" spans="2:6" x14ac:dyDescent="0.35">
      <c r="B610" s="262">
        <v>45414</v>
      </c>
      <c r="C610" s="261">
        <v>3568.45</v>
      </c>
      <c r="D610">
        <v>-5.7950825381347581E-3</v>
      </c>
      <c r="E610">
        <v>607</v>
      </c>
      <c r="F610">
        <f t="shared" ca="1" si="11"/>
        <v>-1.3390066169352503E-2</v>
      </c>
    </row>
    <row r="611" spans="2:6" x14ac:dyDescent="0.35">
      <c r="B611" s="262">
        <v>45412</v>
      </c>
      <c r="C611" s="261">
        <v>3589.25</v>
      </c>
      <c r="D611">
        <v>-4.3275032248220897E-3</v>
      </c>
      <c r="E611">
        <v>608</v>
      </c>
      <c r="F611">
        <f t="shared" ca="1" si="11"/>
        <v>-1.3530145408387918E-3</v>
      </c>
    </row>
    <row r="612" spans="2:6" x14ac:dyDescent="0.35">
      <c r="B612" s="262">
        <v>45411</v>
      </c>
      <c r="C612" s="261">
        <v>3604.85</v>
      </c>
      <c r="D612">
        <v>5.5930595849140053E-3</v>
      </c>
      <c r="E612">
        <v>609</v>
      </c>
      <c r="F612">
        <f t="shared" ca="1" si="11"/>
        <v>-1.0472978694886846E-3</v>
      </c>
    </row>
    <row r="613" spans="2:6" x14ac:dyDescent="0.35">
      <c r="B613" s="262">
        <v>45408</v>
      </c>
      <c r="C613" s="261">
        <v>3584.8</v>
      </c>
      <c r="D613">
        <v>3.8363529444709679E-3</v>
      </c>
      <c r="E613">
        <v>610</v>
      </c>
      <c r="F613">
        <f t="shared" ca="1" si="11"/>
        <v>1.5187285207198626E-2</v>
      </c>
    </row>
    <row r="614" spans="2:6" x14ac:dyDescent="0.35">
      <c r="B614" s="262">
        <v>45407</v>
      </c>
      <c r="C614" s="261">
        <v>3571.1</v>
      </c>
      <c r="D614">
        <v>-1.0707112680933608E-2</v>
      </c>
      <c r="E614">
        <v>611</v>
      </c>
      <c r="F614">
        <f t="shared" ca="1" si="11"/>
        <v>-1.5535153443115877E-2</v>
      </c>
    </row>
    <row r="615" spans="2:6" x14ac:dyDescent="0.35">
      <c r="B615" s="262">
        <v>45406</v>
      </c>
      <c r="C615" s="261">
        <v>3609.75</v>
      </c>
      <c r="D615">
        <v>-6.3996696944673822E-3</v>
      </c>
      <c r="E615">
        <v>612</v>
      </c>
      <c r="F615">
        <f t="shared" ca="1" si="11"/>
        <v>2.0494874238817629E-2</v>
      </c>
    </row>
    <row r="616" spans="2:6" x14ac:dyDescent="0.35">
      <c r="B616" s="262">
        <v>45405</v>
      </c>
      <c r="C616" s="261">
        <v>3633</v>
      </c>
      <c r="D616">
        <v>1.0078543129213873E-2</v>
      </c>
      <c r="E616">
        <v>613</v>
      </c>
      <c r="F616">
        <f t="shared" ca="1" si="11"/>
        <v>4.7072276985632336E-2</v>
      </c>
    </row>
    <row r="617" spans="2:6" x14ac:dyDescent="0.35">
      <c r="B617" s="262">
        <v>45404</v>
      </c>
      <c r="C617" s="261">
        <v>3596.75</v>
      </c>
      <c r="D617">
        <v>9.4581889111855898E-3</v>
      </c>
      <c r="E617">
        <v>614</v>
      </c>
      <c r="F617">
        <f t="shared" ca="1" si="11"/>
        <v>-9.8766316357932309E-3</v>
      </c>
    </row>
    <row r="618" spans="2:6" x14ac:dyDescent="0.35">
      <c r="B618" s="262">
        <v>45401</v>
      </c>
      <c r="C618" s="261">
        <v>3563.05</v>
      </c>
      <c r="D618">
        <v>1.0765652038240127E-2</v>
      </c>
      <c r="E618">
        <v>615</v>
      </c>
      <c r="F618">
        <f t="shared" ca="1" si="11"/>
        <v>-1.3013253529336209E-2</v>
      </c>
    </row>
    <row r="619" spans="2:6" x14ac:dyDescent="0.35">
      <c r="B619" s="262">
        <v>45400</v>
      </c>
      <c r="C619" s="261">
        <v>3525.1</v>
      </c>
      <c r="D619">
        <v>-3.3133108423160314E-2</v>
      </c>
      <c r="E619">
        <v>616</v>
      </c>
      <c r="F619">
        <f t="shared" ca="1" si="11"/>
        <v>2.1428181439688523E-2</v>
      </c>
    </row>
    <row r="620" spans="2:6" x14ac:dyDescent="0.35">
      <c r="B620" s="262">
        <v>45398</v>
      </c>
      <c r="C620" s="261">
        <v>3645.9</v>
      </c>
      <c r="D620">
        <v>1.2581236460589952E-2</v>
      </c>
      <c r="E620">
        <v>617</v>
      </c>
      <c r="F620">
        <f t="shared" ca="1" si="11"/>
        <v>1.5790973666055683E-2</v>
      </c>
    </row>
    <row r="621" spans="2:6" x14ac:dyDescent="0.35">
      <c r="B621" s="262">
        <v>45397</v>
      </c>
      <c r="C621" s="261">
        <v>3600.6</v>
      </c>
      <c r="D621">
        <v>-5.1667449506811458E-3</v>
      </c>
      <c r="E621">
        <v>618</v>
      </c>
      <c r="F621">
        <f t="shared" ca="1" si="11"/>
        <v>-5.8927297833112416E-3</v>
      </c>
    </row>
    <row r="622" spans="2:6" x14ac:dyDescent="0.35">
      <c r="B622" s="262">
        <v>45394</v>
      </c>
      <c r="C622" s="261">
        <v>3619.3</v>
      </c>
      <c r="D622">
        <v>-2.476287993101952E-2</v>
      </c>
      <c r="E622">
        <v>619</v>
      </c>
      <c r="F622">
        <f t="shared" ca="1" si="11"/>
        <v>-1.7794664824097087E-2</v>
      </c>
    </row>
    <row r="623" spans="2:6" x14ac:dyDescent="0.35">
      <c r="B623" s="262">
        <v>45392</v>
      </c>
      <c r="C623" s="261">
        <v>3711.2</v>
      </c>
      <c r="D623">
        <v>8.6564202916275725E-3</v>
      </c>
      <c r="E623">
        <v>620</v>
      </c>
      <c r="F623">
        <f t="shared" ca="1" si="11"/>
        <v>4.8998482058004852E-4</v>
      </c>
    </row>
    <row r="624" spans="2:6" x14ac:dyDescent="0.35">
      <c r="B624" s="262">
        <v>45391</v>
      </c>
      <c r="C624" s="261">
        <v>3679.35</v>
      </c>
      <c r="D624">
        <v>-1.855210861852815E-2</v>
      </c>
      <c r="E624">
        <v>621</v>
      </c>
      <c r="F624">
        <f t="shared" ca="1" si="11"/>
        <v>1.6654676384716158E-2</v>
      </c>
    </row>
    <row r="625" spans="2:6" x14ac:dyDescent="0.35">
      <c r="B625" s="262">
        <v>45390</v>
      </c>
      <c r="C625" s="261">
        <v>3748.9</v>
      </c>
      <c r="D625">
        <v>-1.4782458149661675E-3</v>
      </c>
      <c r="E625">
        <v>622</v>
      </c>
      <c r="F625">
        <f t="shared" ca="1" si="11"/>
        <v>6.3336248644062006E-3</v>
      </c>
    </row>
    <row r="626" spans="2:6" x14ac:dyDescent="0.35">
      <c r="B626" s="262">
        <v>45387</v>
      </c>
      <c r="C626" s="261">
        <v>3754.45</v>
      </c>
      <c r="D626">
        <v>-7.481329720441526E-3</v>
      </c>
      <c r="E626">
        <v>623</v>
      </c>
      <c r="F626">
        <f t="shared" ca="1" si="11"/>
        <v>1.2692107048483121E-2</v>
      </c>
    </row>
    <row r="627" spans="2:6" x14ac:dyDescent="0.35">
      <c r="B627" s="262">
        <v>45386</v>
      </c>
      <c r="C627" s="261">
        <v>3782.75</v>
      </c>
      <c r="D627">
        <v>1.8922558922558924E-2</v>
      </c>
      <c r="E627">
        <v>624</v>
      </c>
      <c r="F627">
        <f t="shared" ca="1" si="11"/>
        <v>2.3370156661890854E-2</v>
      </c>
    </row>
    <row r="628" spans="2:6" x14ac:dyDescent="0.35">
      <c r="B628" s="262">
        <v>45385</v>
      </c>
      <c r="C628" s="261">
        <v>3712.5</v>
      </c>
      <c r="D628">
        <v>-1.1568311612241861E-2</v>
      </c>
      <c r="E628">
        <v>625</v>
      </c>
      <c r="F628">
        <f t="shared" ca="1" si="11"/>
        <v>-1.2295831563575523E-2</v>
      </c>
    </row>
    <row r="629" spans="2:6" x14ac:dyDescent="0.35">
      <c r="B629" s="262">
        <v>45384</v>
      </c>
      <c r="C629" s="261">
        <v>3755.95</v>
      </c>
      <c r="D629">
        <v>4.6945217205220753E-3</v>
      </c>
      <c r="E629">
        <v>626</v>
      </c>
      <c r="F629">
        <f t="shared" ca="1" si="11"/>
        <v>8.0922528337481012E-3</v>
      </c>
    </row>
    <row r="630" spans="2:6" x14ac:dyDescent="0.35">
      <c r="B630" s="262">
        <v>45383</v>
      </c>
      <c r="C630" s="261">
        <v>3738.4</v>
      </c>
      <c r="D630">
        <v>-1.6676311221000602E-2</v>
      </c>
      <c r="E630">
        <v>627</v>
      </c>
      <c r="F630">
        <f t="shared" ca="1" si="11"/>
        <v>1.6191807814189739E-2</v>
      </c>
    </row>
    <row r="631" spans="2:6" x14ac:dyDescent="0.35">
      <c r="B631" s="262">
        <v>45379</v>
      </c>
      <c r="C631" s="261">
        <v>3801.8</v>
      </c>
      <c r="D631">
        <v>1.1278395488641828E-2</v>
      </c>
      <c r="E631">
        <v>628</v>
      </c>
      <c r="F631">
        <f t="shared" ca="1" si="11"/>
        <v>-1.2660603071959733E-2</v>
      </c>
    </row>
    <row r="632" spans="2:6" x14ac:dyDescent="0.35">
      <c r="B632" s="262">
        <v>45378</v>
      </c>
      <c r="C632" s="261">
        <v>3759.4</v>
      </c>
      <c r="D632">
        <v>1.6548591206532983E-2</v>
      </c>
      <c r="E632">
        <v>629</v>
      </c>
      <c r="F632">
        <f t="shared" ca="1" si="11"/>
        <v>-3.1239953755992072E-3</v>
      </c>
    </row>
    <row r="633" spans="2:6" x14ac:dyDescent="0.35">
      <c r="B633" s="262">
        <v>45377</v>
      </c>
      <c r="C633" s="261">
        <v>3698.2</v>
      </c>
      <c r="D633">
        <v>-2.293144845819732E-3</v>
      </c>
      <c r="E633">
        <v>630</v>
      </c>
      <c r="F633">
        <f t="shared" ca="1" si="11"/>
        <v>7.3850825042547112E-3</v>
      </c>
    </row>
    <row r="634" spans="2:6" x14ac:dyDescent="0.35">
      <c r="B634" s="262">
        <v>45373</v>
      </c>
      <c r="C634" s="261">
        <v>3706.7</v>
      </c>
      <c r="D634">
        <v>2.1819134126338614E-2</v>
      </c>
      <c r="E634">
        <v>631</v>
      </c>
      <c r="F634">
        <f t="shared" ca="1" si="11"/>
        <v>-1.8825586769810599E-2</v>
      </c>
    </row>
    <row r="635" spans="2:6" x14ac:dyDescent="0.35">
      <c r="B635" s="262">
        <v>45372</v>
      </c>
      <c r="C635" s="261">
        <v>3627.55</v>
      </c>
      <c r="D635">
        <v>1.0318897089541897E-2</v>
      </c>
      <c r="E635">
        <v>632</v>
      </c>
      <c r="F635">
        <f t="shared" ca="1" si="11"/>
        <v>7.7676805362769516E-3</v>
      </c>
    </row>
    <row r="636" spans="2:6" x14ac:dyDescent="0.35">
      <c r="B636" s="262">
        <v>45371</v>
      </c>
      <c r="C636" s="261">
        <v>3590.5</v>
      </c>
      <c r="D636">
        <v>1.9813584863537168E-3</v>
      </c>
      <c r="E636">
        <v>633</v>
      </c>
      <c r="F636">
        <f t="shared" ca="1" si="11"/>
        <v>-9.8765962299559966E-3</v>
      </c>
    </row>
    <row r="637" spans="2:6" x14ac:dyDescent="0.35">
      <c r="B637" s="262">
        <v>45370</v>
      </c>
      <c r="C637" s="261">
        <v>3583.4</v>
      </c>
      <c r="D637">
        <v>1.0336061681147227E-3</v>
      </c>
      <c r="E637">
        <v>634</v>
      </c>
      <c r="F637">
        <f t="shared" ca="1" si="11"/>
        <v>1.9104486109412448E-2</v>
      </c>
    </row>
    <row r="638" spans="2:6" x14ac:dyDescent="0.35">
      <c r="B638" s="262">
        <v>45369</v>
      </c>
      <c r="C638" s="261">
        <v>3579.7</v>
      </c>
      <c r="D638">
        <v>-1.4725311020587913E-2</v>
      </c>
      <c r="E638">
        <v>635</v>
      </c>
      <c r="F638">
        <f t="shared" ca="1" si="11"/>
        <v>2.8459135986758255E-2</v>
      </c>
    </row>
    <row r="639" spans="2:6" x14ac:dyDescent="0.35">
      <c r="B639" s="262">
        <v>45366</v>
      </c>
      <c r="C639" s="261">
        <v>3633.2</v>
      </c>
      <c r="D639">
        <v>-1.9092619809623979E-3</v>
      </c>
      <c r="E639">
        <v>636</v>
      </c>
      <c r="F639">
        <f t="shared" ca="1" si="11"/>
        <v>-4.8791447263044248E-3</v>
      </c>
    </row>
    <row r="640" spans="2:6" x14ac:dyDescent="0.35">
      <c r="B640" s="262">
        <v>45365</v>
      </c>
      <c r="C640" s="261">
        <v>3640.15</v>
      </c>
      <c r="D640">
        <v>3.9854372948672735E-3</v>
      </c>
      <c r="E640">
        <v>637</v>
      </c>
      <c r="F640">
        <f t="shared" ca="1" si="11"/>
        <v>1.315039419110099E-2</v>
      </c>
    </row>
    <row r="641" spans="2:6" x14ac:dyDescent="0.35">
      <c r="B641" s="262">
        <v>45364</v>
      </c>
      <c r="C641" s="261">
        <v>3625.7</v>
      </c>
      <c r="D641">
        <v>-3.2837174562526772E-2</v>
      </c>
      <c r="E641">
        <v>638</v>
      </c>
      <c r="F641">
        <f t="shared" ca="1" si="11"/>
        <v>8.1716662476908602E-3</v>
      </c>
    </row>
    <row r="642" spans="2:6" x14ac:dyDescent="0.35">
      <c r="B642" s="262">
        <v>45363</v>
      </c>
      <c r="C642" s="261">
        <v>3748.8</v>
      </c>
      <c r="D642">
        <v>-3.5998560057595269E-4</v>
      </c>
      <c r="E642">
        <v>639</v>
      </c>
      <c r="F642">
        <f t="shared" ca="1" si="11"/>
        <v>5.3584125016230156E-3</v>
      </c>
    </row>
    <row r="643" spans="2:6" x14ac:dyDescent="0.35">
      <c r="B643" s="262">
        <v>45362</v>
      </c>
      <c r="C643" s="261">
        <v>3750.15</v>
      </c>
      <c r="D643">
        <v>-9.7045076447754095E-3</v>
      </c>
      <c r="E643">
        <v>640</v>
      </c>
      <c r="F643">
        <f t="shared" ca="1" si="11"/>
        <v>-1.0522451196343912E-2</v>
      </c>
    </row>
    <row r="644" spans="2:6" x14ac:dyDescent="0.35">
      <c r="B644" s="262">
        <v>45358</v>
      </c>
      <c r="C644" s="261">
        <v>3786.9</v>
      </c>
      <c r="D644">
        <v>-6.2586105097421525E-3</v>
      </c>
      <c r="E644">
        <v>641</v>
      </c>
      <c r="F644">
        <f t="shared" ca="1" si="11"/>
        <v>1.5674088804205569E-2</v>
      </c>
    </row>
    <row r="645" spans="2:6" x14ac:dyDescent="0.35">
      <c r="B645" s="262">
        <v>45357</v>
      </c>
      <c r="C645" s="261">
        <v>3810.75</v>
      </c>
      <c r="D645">
        <v>1.5996800639872025E-2</v>
      </c>
      <c r="E645">
        <v>642</v>
      </c>
      <c r="F645">
        <f t="shared" ref="F645:F708" ca="1" si="12">_xlfn.NORM.INV(RAND(),M$6,M$7)</f>
        <v>2.7971591067978991E-2</v>
      </c>
    </row>
    <row r="646" spans="2:6" x14ac:dyDescent="0.35">
      <c r="B646" s="262">
        <v>45356</v>
      </c>
      <c r="C646" s="261">
        <v>3750.75</v>
      </c>
      <c r="D646">
        <v>4.9164076733468837E-3</v>
      </c>
      <c r="E646">
        <v>643</v>
      </c>
      <c r="F646">
        <f t="shared" ca="1" si="12"/>
        <v>-8.2476009696910938E-3</v>
      </c>
    </row>
    <row r="647" spans="2:6" x14ac:dyDescent="0.35">
      <c r="B647" s="262">
        <v>45355</v>
      </c>
      <c r="C647" s="261">
        <v>3732.4</v>
      </c>
      <c r="D647">
        <v>-8.908774678367936E-3</v>
      </c>
      <c r="E647">
        <v>644</v>
      </c>
      <c r="F647">
        <f t="shared" ca="1" si="12"/>
        <v>-6.255885900351258E-3</v>
      </c>
    </row>
    <row r="648" spans="2:6" x14ac:dyDescent="0.35">
      <c r="B648" s="262">
        <v>45353</v>
      </c>
      <c r="C648" s="261">
        <v>3765.95</v>
      </c>
      <c r="D648">
        <v>1.3277038689218287E-5</v>
      </c>
      <c r="E648">
        <v>645</v>
      </c>
      <c r="F648">
        <f t="shared" ca="1" si="12"/>
        <v>-4.9441897496631205E-3</v>
      </c>
    </row>
    <row r="649" spans="2:6" x14ac:dyDescent="0.35">
      <c r="B649" s="262">
        <v>45352</v>
      </c>
      <c r="C649" s="261">
        <v>3765.9</v>
      </c>
      <c r="D649">
        <v>3.9040944708089616E-2</v>
      </c>
      <c r="E649">
        <v>646</v>
      </c>
      <c r="F649">
        <f t="shared" ca="1" si="12"/>
        <v>-7.3808144088604102E-3</v>
      </c>
    </row>
    <row r="650" spans="2:6" x14ac:dyDescent="0.35">
      <c r="B650" s="262">
        <v>45351</v>
      </c>
      <c r="C650" s="261">
        <v>3624.4</v>
      </c>
      <c r="D650">
        <v>8.2621637410633091E-3</v>
      </c>
      <c r="E650">
        <v>647</v>
      </c>
      <c r="F650">
        <f t="shared" ca="1" si="12"/>
        <v>4.7120616919003773E-3</v>
      </c>
    </row>
    <row r="651" spans="2:6" x14ac:dyDescent="0.35">
      <c r="B651" s="262">
        <v>45350</v>
      </c>
      <c r="C651" s="261">
        <v>3594.7</v>
      </c>
      <c r="D651">
        <v>-1.618840401220633E-2</v>
      </c>
      <c r="E651">
        <v>648</v>
      </c>
      <c r="F651">
        <f t="shared" ca="1" si="12"/>
        <v>8.0385683278702581E-3</v>
      </c>
    </row>
    <row r="652" spans="2:6" x14ac:dyDescent="0.35">
      <c r="B652" s="262">
        <v>45349</v>
      </c>
      <c r="C652" s="261">
        <v>3653.85</v>
      </c>
      <c r="D652">
        <v>8.6542443064181948E-3</v>
      </c>
      <c r="E652">
        <v>649</v>
      </c>
      <c r="F652">
        <f t="shared" ca="1" si="12"/>
        <v>8.7865581550567694E-3</v>
      </c>
    </row>
    <row r="653" spans="2:6" x14ac:dyDescent="0.35">
      <c r="B653" s="262">
        <v>45348</v>
      </c>
      <c r="C653" s="261">
        <v>3622.5</v>
      </c>
      <c r="D653">
        <v>-1.8811197334741753E-2</v>
      </c>
      <c r="E653">
        <v>650</v>
      </c>
      <c r="F653">
        <f t="shared" ca="1" si="12"/>
        <v>6.9786580630990672E-3</v>
      </c>
    </row>
    <row r="654" spans="2:6" x14ac:dyDescent="0.35">
      <c r="B654" s="262">
        <v>45345</v>
      </c>
      <c r="C654" s="261">
        <v>3691.95</v>
      </c>
      <c r="D654">
        <v>1.0925370682219476E-2</v>
      </c>
      <c r="E654">
        <v>651</v>
      </c>
      <c r="F654">
        <f t="shared" ca="1" si="12"/>
        <v>8.0035595758237883E-3</v>
      </c>
    </row>
    <row r="655" spans="2:6" x14ac:dyDescent="0.35">
      <c r="B655" s="262">
        <v>45344</v>
      </c>
      <c r="C655" s="261">
        <v>3652.05</v>
      </c>
      <c r="D655">
        <v>-1.1760362109753517E-3</v>
      </c>
      <c r="E655">
        <v>652</v>
      </c>
      <c r="F655">
        <f t="shared" ca="1" si="12"/>
        <v>2.1912397358111336E-2</v>
      </c>
    </row>
    <row r="656" spans="2:6" x14ac:dyDescent="0.35">
      <c r="B656" s="262">
        <v>45343</v>
      </c>
      <c r="C656" s="261">
        <v>3656.35</v>
      </c>
      <c r="D656">
        <v>-8.2322944638836652E-3</v>
      </c>
      <c r="E656">
        <v>653</v>
      </c>
      <c r="F656">
        <f t="shared" ca="1" si="12"/>
        <v>7.6308212704936026E-3</v>
      </c>
    </row>
    <row r="657" spans="2:6" x14ac:dyDescent="0.35">
      <c r="B657" s="262">
        <v>45342</v>
      </c>
      <c r="C657" s="261">
        <v>3686.7</v>
      </c>
      <c r="D657">
        <v>-2.2597799759138206E-3</v>
      </c>
      <c r="E657">
        <v>654</v>
      </c>
      <c r="F657">
        <f t="shared" ca="1" si="12"/>
        <v>-5.029760727978316E-3</v>
      </c>
    </row>
    <row r="658" spans="2:6" x14ac:dyDescent="0.35">
      <c r="B658" s="262">
        <v>45341</v>
      </c>
      <c r="C658" s="261">
        <v>3695.05</v>
      </c>
      <c r="D658">
        <v>1.0846966132297447E-2</v>
      </c>
      <c r="E658">
        <v>655</v>
      </c>
      <c r="F658">
        <f t="shared" ca="1" si="12"/>
        <v>1.5734261872102247E-2</v>
      </c>
    </row>
    <row r="659" spans="2:6" x14ac:dyDescent="0.35">
      <c r="B659" s="262">
        <v>45338</v>
      </c>
      <c r="C659" s="261">
        <v>3655.4</v>
      </c>
      <c r="D659">
        <v>9.2074929942987833E-3</v>
      </c>
      <c r="E659">
        <v>656</v>
      </c>
      <c r="F659">
        <f t="shared" ca="1" si="12"/>
        <v>1.0479736058146968E-2</v>
      </c>
    </row>
    <row r="660" spans="2:6" x14ac:dyDescent="0.35">
      <c r="B660" s="262">
        <v>45337</v>
      </c>
      <c r="C660" s="261">
        <v>3622.05</v>
      </c>
      <c r="D660">
        <v>1.0179749271380959E-2</v>
      </c>
      <c r="E660">
        <v>657</v>
      </c>
      <c r="F660">
        <f t="shared" ca="1" si="12"/>
        <v>-3.7053440875503742E-3</v>
      </c>
    </row>
    <row r="661" spans="2:6" x14ac:dyDescent="0.35">
      <c r="B661" s="262">
        <v>45336</v>
      </c>
      <c r="C661" s="261">
        <v>3585.55</v>
      </c>
      <c r="D661">
        <v>7.1911122347225005E-3</v>
      </c>
      <c r="E661">
        <v>658</v>
      </c>
      <c r="F661">
        <f t="shared" ca="1" si="12"/>
        <v>-4.7334158417524632E-3</v>
      </c>
    </row>
    <row r="662" spans="2:6" x14ac:dyDescent="0.35">
      <c r="B662" s="262">
        <v>45335</v>
      </c>
      <c r="C662" s="261">
        <v>3559.95</v>
      </c>
      <c r="D662">
        <v>-7.0566906073496081E-3</v>
      </c>
      <c r="E662">
        <v>659</v>
      </c>
      <c r="F662">
        <f t="shared" ca="1" si="12"/>
        <v>-1.0757675099848603E-2</v>
      </c>
    </row>
    <row r="663" spans="2:6" x14ac:dyDescent="0.35">
      <c r="B663" s="262">
        <v>45334</v>
      </c>
      <c r="C663" s="261">
        <v>3585.25</v>
      </c>
      <c r="D663">
        <v>-1.7680142554849954E-3</v>
      </c>
      <c r="E663">
        <v>660</v>
      </c>
      <c r="F663">
        <f t="shared" ca="1" si="12"/>
        <v>-7.7550335526626584E-3</v>
      </c>
    </row>
    <row r="664" spans="2:6" x14ac:dyDescent="0.35">
      <c r="B664" s="262">
        <v>45331</v>
      </c>
      <c r="C664" s="261">
        <v>3591.6</v>
      </c>
      <c r="D664">
        <v>1.197486686765659E-2</v>
      </c>
      <c r="E664">
        <v>661</v>
      </c>
      <c r="F664">
        <f t="shared" ca="1" si="12"/>
        <v>1.2661320290792361E-2</v>
      </c>
    </row>
    <row r="665" spans="2:6" x14ac:dyDescent="0.35">
      <c r="B665" s="262">
        <v>45330</v>
      </c>
      <c r="C665" s="261">
        <v>3549.1</v>
      </c>
      <c r="D665">
        <v>-7.661121207884829E-3</v>
      </c>
      <c r="E665">
        <v>662</v>
      </c>
      <c r="F665">
        <f t="shared" ca="1" si="12"/>
        <v>-2.0347953519880061E-2</v>
      </c>
    </row>
    <row r="666" spans="2:6" x14ac:dyDescent="0.35">
      <c r="B666" s="262">
        <v>45329</v>
      </c>
      <c r="C666" s="261">
        <v>3576.5</v>
      </c>
      <c r="D666">
        <v>4.8747594228958904E-3</v>
      </c>
      <c r="E666">
        <v>663</v>
      </c>
      <c r="F666">
        <f t="shared" ca="1" si="12"/>
        <v>-3.1718099553159684E-2</v>
      </c>
    </row>
    <row r="667" spans="2:6" x14ac:dyDescent="0.35">
      <c r="B667" s="262">
        <v>45328</v>
      </c>
      <c r="C667" s="261">
        <v>3559.15</v>
      </c>
      <c r="D667">
        <v>1.9988457369687668E-3</v>
      </c>
      <c r="E667">
        <v>664</v>
      </c>
      <c r="F667">
        <f t="shared" ca="1" si="12"/>
        <v>4.5989846800903785E-3</v>
      </c>
    </row>
    <row r="668" spans="2:6" x14ac:dyDescent="0.35">
      <c r="B668" s="262">
        <v>45327</v>
      </c>
      <c r="C668" s="261">
        <v>3552.05</v>
      </c>
      <c r="D668">
        <v>-1.6706344812313118E-2</v>
      </c>
      <c r="E668">
        <v>665</v>
      </c>
      <c r="F668">
        <f t="shared" ca="1" si="12"/>
        <v>2.1604038767327926E-2</v>
      </c>
    </row>
    <row r="669" spans="2:6" x14ac:dyDescent="0.35">
      <c r="B669" s="262">
        <v>45324</v>
      </c>
      <c r="C669" s="261">
        <v>3612.4</v>
      </c>
      <c r="D669">
        <v>-4.1489200402485844E-3</v>
      </c>
      <c r="E669">
        <v>666</v>
      </c>
      <c r="F669">
        <f t="shared" ca="1" si="12"/>
        <v>-1.2569995992523413E-2</v>
      </c>
    </row>
    <row r="670" spans="2:6" x14ac:dyDescent="0.35">
      <c r="B670" s="262">
        <v>45323</v>
      </c>
      <c r="C670" s="261">
        <v>3627.45</v>
      </c>
      <c r="D670">
        <v>-1.8958499546997434E-2</v>
      </c>
      <c r="E670">
        <v>667</v>
      </c>
      <c r="F670">
        <f t="shared" ca="1" si="12"/>
        <v>-9.8021979070449551E-3</v>
      </c>
    </row>
    <row r="671" spans="2:6" x14ac:dyDescent="0.35">
      <c r="B671" s="262">
        <v>45322</v>
      </c>
      <c r="C671" s="261">
        <v>3697.55</v>
      </c>
      <c r="D671">
        <v>-1.0225523656561552E-2</v>
      </c>
      <c r="E671">
        <v>668</v>
      </c>
      <c r="F671">
        <f t="shared" ca="1" si="12"/>
        <v>1.4469760363011105E-2</v>
      </c>
    </row>
    <row r="672" spans="2:6" x14ac:dyDescent="0.35">
      <c r="B672" s="262">
        <v>45321</v>
      </c>
      <c r="C672" s="261">
        <v>3735.75</v>
      </c>
      <c r="D672">
        <v>-3.3853594196526733E-2</v>
      </c>
      <c r="E672">
        <v>669</v>
      </c>
      <c r="F672">
        <f t="shared" ca="1" si="12"/>
        <v>-3.4377167495583823E-3</v>
      </c>
    </row>
    <row r="673" spans="2:6" x14ac:dyDescent="0.35">
      <c r="B673" s="262">
        <v>45320</v>
      </c>
      <c r="C673" s="261">
        <v>3866.65</v>
      </c>
      <c r="D673">
        <v>2.5582197230916204E-2</v>
      </c>
      <c r="E673">
        <v>670</v>
      </c>
      <c r="F673">
        <f t="shared" ca="1" si="12"/>
        <v>-1.0121791223921863E-2</v>
      </c>
    </row>
    <row r="674" spans="2:6" x14ac:dyDescent="0.35">
      <c r="B674" s="262">
        <v>45316</v>
      </c>
      <c r="C674" s="261">
        <v>3770.2</v>
      </c>
      <c r="D674">
        <v>6.2369786483005142E-4</v>
      </c>
      <c r="E674">
        <v>671</v>
      </c>
      <c r="F674">
        <f t="shared" ca="1" si="12"/>
        <v>-1.5186959195209687E-2</v>
      </c>
    </row>
    <row r="675" spans="2:6" x14ac:dyDescent="0.35">
      <c r="B675" s="262">
        <v>45315</v>
      </c>
      <c r="C675" s="261">
        <v>3767.85</v>
      </c>
      <c r="D675">
        <v>7.5408126428943394E-3</v>
      </c>
      <c r="E675">
        <v>672</v>
      </c>
      <c r="F675">
        <f t="shared" ca="1" si="12"/>
        <v>-3.8532015558025486E-3</v>
      </c>
    </row>
    <row r="676" spans="2:6" x14ac:dyDescent="0.35">
      <c r="B676" s="262">
        <v>45314</v>
      </c>
      <c r="C676" s="261">
        <v>3739.65</v>
      </c>
      <c r="D676">
        <v>-1.1903189156339929E-2</v>
      </c>
      <c r="E676">
        <v>673</v>
      </c>
      <c r="F676">
        <f t="shared" ca="1" si="12"/>
        <v>-1.3158991921521165E-2</v>
      </c>
    </row>
    <row r="677" spans="2:6" x14ac:dyDescent="0.35">
      <c r="B677" s="262">
        <v>45311</v>
      </c>
      <c r="C677" s="261">
        <v>3784.7</v>
      </c>
      <c r="D677">
        <v>-6.7968298955545297E-3</v>
      </c>
      <c r="E677">
        <v>674</v>
      </c>
      <c r="F677">
        <f t="shared" ca="1" si="12"/>
        <v>3.4924164718384824E-2</v>
      </c>
    </row>
    <row r="678" spans="2:6" x14ac:dyDescent="0.35">
      <c r="B678" s="262">
        <v>45310</v>
      </c>
      <c r="C678" s="261">
        <v>3810.6</v>
      </c>
      <c r="D678">
        <v>2.0322917503413956E-2</v>
      </c>
      <c r="E678">
        <v>675</v>
      </c>
      <c r="F678">
        <f t="shared" ca="1" si="12"/>
        <v>3.5633908607528757E-3</v>
      </c>
    </row>
    <row r="679" spans="2:6" x14ac:dyDescent="0.35">
      <c r="B679" s="262">
        <v>45309</v>
      </c>
      <c r="C679" s="261">
        <v>3734.7</v>
      </c>
      <c r="D679">
        <v>-2.4895236354616875E-2</v>
      </c>
      <c r="E679">
        <v>676</v>
      </c>
      <c r="F679">
        <f t="shared" ca="1" si="12"/>
        <v>-5.6548681847765981E-3</v>
      </c>
    </row>
    <row r="680" spans="2:6" x14ac:dyDescent="0.35">
      <c r="B680" s="262">
        <v>45308</v>
      </c>
      <c r="C680" s="261">
        <v>3830.05</v>
      </c>
      <c r="D680">
        <v>2.5521555898751404E-3</v>
      </c>
      <c r="E680">
        <v>677</v>
      </c>
      <c r="F680">
        <f t="shared" ca="1" si="12"/>
        <v>1.9563574092137638E-2</v>
      </c>
    </row>
    <row r="681" spans="2:6" x14ac:dyDescent="0.35">
      <c r="B681" s="262">
        <v>45307</v>
      </c>
      <c r="C681" s="261">
        <v>3820.3</v>
      </c>
      <c r="D681">
        <v>1.6348085185628657E-2</v>
      </c>
      <c r="E681">
        <v>678</v>
      </c>
      <c r="F681">
        <f t="shared" ca="1" si="12"/>
        <v>8.4290149587669758E-3</v>
      </c>
    </row>
    <row r="682" spans="2:6" x14ac:dyDescent="0.35">
      <c r="B682" s="262">
        <v>45306</v>
      </c>
      <c r="C682" s="261">
        <v>3758.85</v>
      </c>
      <c r="D682">
        <v>8.8164251207729222E-3</v>
      </c>
      <c r="E682">
        <v>679</v>
      </c>
      <c r="F682">
        <f t="shared" ca="1" si="12"/>
        <v>9.5058379864661931E-3</v>
      </c>
    </row>
    <row r="683" spans="2:6" x14ac:dyDescent="0.35">
      <c r="B683" s="262">
        <v>45303</v>
      </c>
      <c r="C683" s="261">
        <v>3726</v>
      </c>
      <c r="D683">
        <v>7.408208511328636E-3</v>
      </c>
      <c r="E683">
        <v>680</v>
      </c>
      <c r="F683">
        <f t="shared" ca="1" si="12"/>
        <v>2.804178996052864E-2</v>
      </c>
    </row>
    <row r="684" spans="2:6" x14ac:dyDescent="0.35">
      <c r="B684" s="262">
        <v>45302</v>
      </c>
      <c r="C684" s="261">
        <v>3698.6</v>
      </c>
      <c r="D684">
        <v>-4.2671189543539174E-3</v>
      </c>
      <c r="E684">
        <v>681</v>
      </c>
      <c r="F684">
        <f t="shared" ca="1" si="12"/>
        <v>-1.5586111701037679E-2</v>
      </c>
    </row>
    <row r="685" spans="2:6" x14ac:dyDescent="0.35">
      <c r="B685" s="262">
        <v>45301</v>
      </c>
      <c r="C685" s="261">
        <v>3714.45</v>
      </c>
      <c r="D685">
        <v>5.5360043313480833E-3</v>
      </c>
      <c r="E685">
        <v>682</v>
      </c>
      <c r="F685">
        <f t="shared" ca="1" si="12"/>
        <v>-1.3862740345189733E-2</v>
      </c>
    </row>
    <row r="686" spans="2:6" x14ac:dyDescent="0.35">
      <c r="B686" s="262"/>
      <c r="C686" s="261"/>
      <c r="E686">
        <v>683</v>
      </c>
      <c r="F686">
        <f t="shared" ca="1" si="12"/>
        <v>-2.5829730134872301E-3</v>
      </c>
    </row>
    <row r="687" spans="2:6" x14ac:dyDescent="0.35">
      <c r="E687">
        <v>684</v>
      </c>
      <c r="F687">
        <f t="shared" ca="1" si="12"/>
        <v>-1.3219807437170732E-2</v>
      </c>
    </row>
    <row r="688" spans="2:6" x14ac:dyDescent="0.35">
      <c r="E688">
        <v>685</v>
      </c>
      <c r="F688">
        <f t="shared" ca="1" si="12"/>
        <v>-1.1113163598771882E-2</v>
      </c>
    </row>
    <row r="689" spans="5:6" x14ac:dyDescent="0.35">
      <c r="E689">
        <v>686</v>
      </c>
      <c r="F689">
        <f t="shared" ca="1" si="12"/>
        <v>-1.4990284683590394E-2</v>
      </c>
    </row>
    <row r="690" spans="5:6" x14ac:dyDescent="0.35">
      <c r="E690">
        <v>687</v>
      </c>
      <c r="F690">
        <f t="shared" ca="1" si="12"/>
        <v>-3.4223295347346637E-3</v>
      </c>
    </row>
    <row r="691" spans="5:6" x14ac:dyDescent="0.35">
      <c r="E691">
        <v>688</v>
      </c>
      <c r="F691">
        <f t="shared" ca="1" si="12"/>
        <v>-1.2027280736465997E-2</v>
      </c>
    </row>
    <row r="692" spans="5:6" x14ac:dyDescent="0.35">
      <c r="E692">
        <v>689</v>
      </c>
      <c r="F692">
        <f t="shared" ca="1" si="12"/>
        <v>1.6992197568400057E-2</v>
      </c>
    </row>
    <row r="693" spans="5:6" x14ac:dyDescent="0.35">
      <c r="E693">
        <v>690</v>
      </c>
      <c r="F693">
        <f t="shared" ca="1" si="12"/>
        <v>2.7868692927027126E-2</v>
      </c>
    </row>
    <row r="694" spans="5:6" x14ac:dyDescent="0.35">
      <c r="E694">
        <v>691</v>
      </c>
      <c r="F694">
        <f t="shared" ca="1" si="12"/>
        <v>1.4087058187087555E-2</v>
      </c>
    </row>
    <row r="695" spans="5:6" x14ac:dyDescent="0.35">
      <c r="E695">
        <v>692</v>
      </c>
      <c r="F695">
        <f t="shared" ca="1" si="12"/>
        <v>-2.6002970722524735E-2</v>
      </c>
    </row>
    <row r="696" spans="5:6" x14ac:dyDescent="0.35">
      <c r="E696">
        <v>693</v>
      </c>
      <c r="F696">
        <f t="shared" ca="1" si="12"/>
        <v>1.798935139488652E-2</v>
      </c>
    </row>
    <row r="697" spans="5:6" x14ac:dyDescent="0.35">
      <c r="E697">
        <v>694</v>
      </c>
      <c r="F697">
        <f t="shared" ca="1" si="12"/>
        <v>2.4162428219564925E-2</v>
      </c>
    </row>
    <row r="698" spans="5:6" x14ac:dyDescent="0.35">
      <c r="E698">
        <v>695</v>
      </c>
      <c r="F698">
        <f t="shared" ca="1" si="12"/>
        <v>1.8201073255995209E-2</v>
      </c>
    </row>
    <row r="699" spans="5:6" x14ac:dyDescent="0.35">
      <c r="E699">
        <v>696</v>
      </c>
      <c r="F699">
        <f t="shared" ca="1" si="12"/>
        <v>1.7572368887641986E-2</v>
      </c>
    </row>
    <row r="700" spans="5:6" x14ac:dyDescent="0.35">
      <c r="E700">
        <v>697</v>
      </c>
      <c r="F700">
        <f t="shared" ca="1" si="12"/>
        <v>3.2652456623625092E-2</v>
      </c>
    </row>
    <row r="701" spans="5:6" x14ac:dyDescent="0.35">
      <c r="E701">
        <v>698</v>
      </c>
      <c r="F701">
        <f t="shared" ca="1" si="12"/>
        <v>1.3868142707205906E-3</v>
      </c>
    </row>
    <row r="702" spans="5:6" x14ac:dyDescent="0.35">
      <c r="E702">
        <v>699</v>
      </c>
      <c r="F702">
        <f t="shared" ca="1" si="12"/>
        <v>-1.273411387306608E-2</v>
      </c>
    </row>
    <row r="703" spans="5:6" x14ac:dyDescent="0.35">
      <c r="E703">
        <v>700</v>
      </c>
      <c r="F703">
        <f t="shared" ca="1" si="12"/>
        <v>2.8668794286566593E-3</v>
      </c>
    </row>
    <row r="704" spans="5:6" x14ac:dyDescent="0.35">
      <c r="E704">
        <v>701</v>
      </c>
      <c r="F704">
        <f t="shared" ca="1" si="12"/>
        <v>3.2256512380398963E-3</v>
      </c>
    </row>
    <row r="705" spans="5:6" x14ac:dyDescent="0.35">
      <c r="E705">
        <v>702</v>
      </c>
      <c r="F705">
        <f t="shared" ca="1" si="12"/>
        <v>-2.3248720675030374E-3</v>
      </c>
    </row>
    <row r="706" spans="5:6" x14ac:dyDescent="0.35">
      <c r="E706">
        <v>703</v>
      </c>
      <c r="F706">
        <f t="shared" ca="1" si="12"/>
        <v>1.9138918859971565E-3</v>
      </c>
    </row>
    <row r="707" spans="5:6" x14ac:dyDescent="0.35">
      <c r="E707">
        <v>704</v>
      </c>
      <c r="F707">
        <f t="shared" ca="1" si="12"/>
        <v>1.6288857248752047E-2</v>
      </c>
    </row>
    <row r="708" spans="5:6" x14ac:dyDescent="0.35">
      <c r="E708">
        <v>705</v>
      </c>
      <c r="F708">
        <f t="shared" ca="1" si="12"/>
        <v>8.2217706809001069E-3</v>
      </c>
    </row>
    <row r="709" spans="5:6" x14ac:dyDescent="0.35">
      <c r="E709">
        <v>706</v>
      </c>
      <c r="F709">
        <f t="shared" ref="F709:F772" ca="1" si="13">_xlfn.NORM.INV(RAND(),M$6,M$7)</f>
        <v>-3.316589167959523E-2</v>
      </c>
    </row>
    <row r="710" spans="5:6" x14ac:dyDescent="0.35">
      <c r="E710">
        <v>707</v>
      </c>
      <c r="F710">
        <f t="shared" ca="1" si="13"/>
        <v>5.3690277016717773E-3</v>
      </c>
    </row>
    <row r="711" spans="5:6" x14ac:dyDescent="0.35">
      <c r="E711">
        <v>708</v>
      </c>
      <c r="F711">
        <f t="shared" ca="1" si="13"/>
        <v>-2.3921152451309162E-3</v>
      </c>
    </row>
    <row r="712" spans="5:6" x14ac:dyDescent="0.35">
      <c r="E712">
        <v>709</v>
      </c>
      <c r="F712">
        <f t="shared" ca="1" si="13"/>
        <v>-1.2903155018669461E-2</v>
      </c>
    </row>
    <row r="713" spans="5:6" x14ac:dyDescent="0.35">
      <c r="E713">
        <v>710</v>
      </c>
      <c r="F713">
        <f t="shared" ca="1" si="13"/>
        <v>-1.4048419951257624E-2</v>
      </c>
    </row>
    <row r="714" spans="5:6" x14ac:dyDescent="0.35">
      <c r="E714">
        <v>711</v>
      </c>
      <c r="F714">
        <f t="shared" ca="1" si="13"/>
        <v>-8.3972881328836183E-3</v>
      </c>
    </row>
    <row r="715" spans="5:6" x14ac:dyDescent="0.35">
      <c r="E715">
        <v>712</v>
      </c>
      <c r="F715">
        <f t="shared" ca="1" si="13"/>
        <v>1.553397365001615E-2</v>
      </c>
    </row>
    <row r="716" spans="5:6" x14ac:dyDescent="0.35">
      <c r="E716">
        <v>713</v>
      </c>
      <c r="F716">
        <f t="shared" ca="1" si="13"/>
        <v>-5.387104362340433E-3</v>
      </c>
    </row>
    <row r="717" spans="5:6" x14ac:dyDescent="0.35">
      <c r="E717">
        <v>714</v>
      </c>
      <c r="F717">
        <f t="shared" ca="1" si="13"/>
        <v>1.1808659234036237E-2</v>
      </c>
    </row>
    <row r="718" spans="5:6" x14ac:dyDescent="0.35">
      <c r="E718">
        <v>715</v>
      </c>
      <c r="F718">
        <f t="shared" ca="1" si="13"/>
        <v>1.5431735373605026E-2</v>
      </c>
    </row>
    <row r="719" spans="5:6" x14ac:dyDescent="0.35">
      <c r="E719">
        <v>716</v>
      </c>
      <c r="F719">
        <f t="shared" ca="1" si="13"/>
        <v>-1.6862127041263112E-2</v>
      </c>
    </row>
    <row r="720" spans="5:6" x14ac:dyDescent="0.35">
      <c r="E720">
        <v>717</v>
      </c>
      <c r="F720">
        <f t="shared" ca="1" si="13"/>
        <v>5.6033802532109533E-4</v>
      </c>
    </row>
    <row r="721" spans="5:6" x14ac:dyDescent="0.35">
      <c r="E721">
        <v>718</v>
      </c>
      <c r="F721">
        <f t="shared" ca="1" si="13"/>
        <v>-1.0942795397199466E-3</v>
      </c>
    </row>
    <row r="722" spans="5:6" x14ac:dyDescent="0.35">
      <c r="E722">
        <v>719</v>
      </c>
      <c r="F722">
        <f t="shared" ca="1" si="13"/>
        <v>-1.3856755136793411E-3</v>
      </c>
    </row>
    <row r="723" spans="5:6" x14ac:dyDescent="0.35">
      <c r="E723">
        <v>720</v>
      </c>
      <c r="F723">
        <f t="shared" ca="1" si="13"/>
        <v>2.6240076402901318E-2</v>
      </c>
    </row>
    <row r="724" spans="5:6" x14ac:dyDescent="0.35">
      <c r="E724">
        <v>721</v>
      </c>
      <c r="F724">
        <f t="shared" ca="1" si="13"/>
        <v>6.8558317375483147E-3</v>
      </c>
    </row>
    <row r="725" spans="5:6" x14ac:dyDescent="0.35">
      <c r="E725">
        <v>722</v>
      </c>
      <c r="F725">
        <f t="shared" ca="1" si="13"/>
        <v>1.3001352440744322E-2</v>
      </c>
    </row>
    <row r="726" spans="5:6" x14ac:dyDescent="0.35">
      <c r="E726">
        <v>723</v>
      </c>
      <c r="F726">
        <f t="shared" ca="1" si="13"/>
        <v>1.9242688341161503E-2</v>
      </c>
    </row>
    <row r="727" spans="5:6" x14ac:dyDescent="0.35">
      <c r="E727">
        <v>724</v>
      </c>
      <c r="F727">
        <f t="shared" ca="1" si="13"/>
        <v>-2.2030917239005486E-2</v>
      </c>
    </row>
    <row r="728" spans="5:6" x14ac:dyDescent="0.35">
      <c r="E728">
        <v>725</v>
      </c>
      <c r="F728">
        <f t="shared" ca="1" si="13"/>
        <v>-2.595808932741479E-2</v>
      </c>
    </row>
    <row r="729" spans="5:6" x14ac:dyDescent="0.35">
      <c r="E729">
        <v>726</v>
      </c>
      <c r="F729">
        <f t="shared" ca="1" si="13"/>
        <v>-1.1233325592353174E-3</v>
      </c>
    </row>
    <row r="730" spans="5:6" x14ac:dyDescent="0.35">
      <c r="E730">
        <v>727</v>
      </c>
      <c r="F730">
        <f t="shared" ca="1" si="13"/>
        <v>-8.0981380025349822E-3</v>
      </c>
    </row>
    <row r="731" spans="5:6" x14ac:dyDescent="0.35">
      <c r="E731">
        <v>728</v>
      </c>
      <c r="F731">
        <f t="shared" ca="1" si="13"/>
        <v>-7.6623576848230037E-3</v>
      </c>
    </row>
    <row r="732" spans="5:6" x14ac:dyDescent="0.35">
      <c r="E732">
        <v>729</v>
      </c>
      <c r="F732">
        <f t="shared" ca="1" si="13"/>
        <v>1.2584112896607311E-2</v>
      </c>
    </row>
    <row r="733" spans="5:6" x14ac:dyDescent="0.35">
      <c r="E733">
        <v>730</v>
      </c>
      <c r="F733">
        <f t="shared" ca="1" si="13"/>
        <v>-3.5513446159478003E-3</v>
      </c>
    </row>
    <row r="734" spans="5:6" x14ac:dyDescent="0.35">
      <c r="E734">
        <v>731</v>
      </c>
      <c r="F734">
        <f t="shared" ca="1" si="13"/>
        <v>-7.2780927103280107E-3</v>
      </c>
    </row>
    <row r="735" spans="5:6" x14ac:dyDescent="0.35">
      <c r="E735">
        <v>732</v>
      </c>
      <c r="F735">
        <f t="shared" ca="1" si="13"/>
        <v>-2.7270024427267628E-2</v>
      </c>
    </row>
    <row r="736" spans="5:6" x14ac:dyDescent="0.35">
      <c r="E736">
        <v>733</v>
      </c>
      <c r="F736">
        <f t="shared" ca="1" si="13"/>
        <v>5.7995458136603679E-3</v>
      </c>
    </row>
    <row r="737" spans="5:6" x14ac:dyDescent="0.35">
      <c r="E737">
        <v>734</v>
      </c>
      <c r="F737">
        <f t="shared" ca="1" si="13"/>
        <v>7.0885188369355845E-3</v>
      </c>
    </row>
    <row r="738" spans="5:6" x14ac:dyDescent="0.35">
      <c r="E738">
        <v>735</v>
      </c>
      <c r="F738">
        <f t="shared" ca="1" si="13"/>
        <v>2.6767735154619565E-2</v>
      </c>
    </row>
    <row r="739" spans="5:6" x14ac:dyDescent="0.35">
      <c r="E739">
        <v>736</v>
      </c>
      <c r="F739">
        <f t="shared" ca="1" si="13"/>
        <v>-1.1127094688069984E-2</v>
      </c>
    </row>
    <row r="740" spans="5:6" x14ac:dyDescent="0.35">
      <c r="E740">
        <v>737</v>
      </c>
      <c r="F740">
        <f t="shared" ca="1" si="13"/>
        <v>-1.6032947076997147E-2</v>
      </c>
    </row>
    <row r="741" spans="5:6" x14ac:dyDescent="0.35">
      <c r="E741">
        <v>738</v>
      </c>
      <c r="F741">
        <f t="shared" ca="1" si="13"/>
        <v>2.1329932873155304E-2</v>
      </c>
    </row>
    <row r="742" spans="5:6" x14ac:dyDescent="0.35">
      <c r="E742">
        <v>739</v>
      </c>
      <c r="F742">
        <f t="shared" ca="1" si="13"/>
        <v>9.7621345334417218E-3</v>
      </c>
    </row>
    <row r="743" spans="5:6" x14ac:dyDescent="0.35">
      <c r="E743">
        <v>740</v>
      </c>
      <c r="F743">
        <f t="shared" ca="1" si="13"/>
        <v>-1.9882378959565735E-2</v>
      </c>
    </row>
    <row r="744" spans="5:6" x14ac:dyDescent="0.35">
      <c r="E744">
        <v>741</v>
      </c>
      <c r="F744">
        <f t="shared" ca="1" si="13"/>
        <v>5.1681336502257648E-3</v>
      </c>
    </row>
    <row r="745" spans="5:6" x14ac:dyDescent="0.35">
      <c r="E745">
        <v>742</v>
      </c>
      <c r="F745">
        <f t="shared" ca="1" si="13"/>
        <v>3.6137642734443642E-3</v>
      </c>
    </row>
    <row r="746" spans="5:6" x14ac:dyDescent="0.35">
      <c r="E746">
        <v>743</v>
      </c>
      <c r="F746">
        <f t="shared" ca="1" si="13"/>
        <v>2.4274057083467398E-2</v>
      </c>
    </row>
    <row r="747" spans="5:6" x14ac:dyDescent="0.35">
      <c r="E747">
        <v>744</v>
      </c>
      <c r="F747">
        <f t="shared" ca="1" si="13"/>
        <v>2.1492626727726834E-3</v>
      </c>
    </row>
    <row r="748" spans="5:6" x14ac:dyDescent="0.35">
      <c r="E748">
        <v>745</v>
      </c>
      <c r="F748">
        <f t="shared" ca="1" si="13"/>
        <v>3.2669846353464288E-2</v>
      </c>
    </row>
    <row r="749" spans="5:6" x14ac:dyDescent="0.35">
      <c r="E749">
        <v>746</v>
      </c>
      <c r="F749">
        <f t="shared" ca="1" si="13"/>
        <v>1.6123294061940777E-3</v>
      </c>
    </row>
    <row r="750" spans="5:6" x14ac:dyDescent="0.35">
      <c r="E750">
        <v>747</v>
      </c>
      <c r="F750">
        <f t="shared" ca="1" si="13"/>
        <v>1.3439959225354878E-2</v>
      </c>
    </row>
    <row r="751" spans="5:6" x14ac:dyDescent="0.35">
      <c r="E751">
        <v>748</v>
      </c>
      <c r="F751">
        <f t="shared" ca="1" si="13"/>
        <v>1.6198651404887111E-2</v>
      </c>
    </row>
    <row r="752" spans="5:6" x14ac:dyDescent="0.35">
      <c r="E752">
        <v>749</v>
      </c>
      <c r="F752">
        <f t="shared" ca="1" si="13"/>
        <v>-1.4374783834793368E-2</v>
      </c>
    </row>
    <row r="753" spans="5:6" x14ac:dyDescent="0.35">
      <c r="E753">
        <v>750</v>
      </c>
      <c r="F753">
        <f t="shared" ca="1" si="13"/>
        <v>-7.795586451720799E-4</v>
      </c>
    </row>
    <row r="754" spans="5:6" x14ac:dyDescent="0.35">
      <c r="E754">
        <v>751</v>
      </c>
      <c r="F754">
        <f t="shared" ca="1" si="13"/>
        <v>-2.4747459588850964E-2</v>
      </c>
    </row>
    <row r="755" spans="5:6" x14ac:dyDescent="0.35">
      <c r="E755">
        <v>752</v>
      </c>
      <c r="F755">
        <f t="shared" ca="1" si="13"/>
        <v>6.0054342169691792E-3</v>
      </c>
    </row>
    <row r="756" spans="5:6" x14ac:dyDescent="0.35">
      <c r="E756">
        <v>753</v>
      </c>
      <c r="F756">
        <f t="shared" ca="1" si="13"/>
        <v>-6.9098269645518576E-4</v>
      </c>
    </row>
    <row r="757" spans="5:6" x14ac:dyDescent="0.35">
      <c r="E757">
        <v>754</v>
      </c>
      <c r="F757">
        <f t="shared" ca="1" si="13"/>
        <v>-3.3328593183914561E-3</v>
      </c>
    </row>
    <row r="758" spans="5:6" x14ac:dyDescent="0.35">
      <c r="E758">
        <v>755</v>
      </c>
      <c r="F758">
        <f t="shared" ca="1" si="13"/>
        <v>-3.1746119754351406E-3</v>
      </c>
    </row>
    <row r="759" spans="5:6" x14ac:dyDescent="0.35">
      <c r="E759">
        <v>756</v>
      </c>
      <c r="F759">
        <f t="shared" ca="1" si="13"/>
        <v>2.3931543142333173E-2</v>
      </c>
    </row>
    <row r="760" spans="5:6" x14ac:dyDescent="0.35">
      <c r="E760">
        <v>757</v>
      </c>
      <c r="F760">
        <f t="shared" ca="1" si="13"/>
        <v>-6.1489855246326473E-3</v>
      </c>
    </row>
    <row r="761" spans="5:6" x14ac:dyDescent="0.35">
      <c r="E761">
        <v>758</v>
      </c>
      <c r="F761">
        <f t="shared" ca="1" si="13"/>
        <v>-1.844370893063221E-2</v>
      </c>
    </row>
    <row r="762" spans="5:6" x14ac:dyDescent="0.35">
      <c r="E762">
        <v>759</v>
      </c>
      <c r="F762">
        <f t="shared" ca="1" si="13"/>
        <v>-1.5865693741729164E-2</v>
      </c>
    </row>
    <row r="763" spans="5:6" x14ac:dyDescent="0.35">
      <c r="E763">
        <v>760</v>
      </c>
      <c r="F763">
        <f t="shared" ca="1" si="13"/>
        <v>-8.1171489349801955E-4</v>
      </c>
    </row>
    <row r="764" spans="5:6" x14ac:dyDescent="0.35">
      <c r="E764">
        <v>761</v>
      </c>
      <c r="F764">
        <f t="shared" ca="1" si="13"/>
        <v>-1.1146323542960156E-2</v>
      </c>
    </row>
    <row r="765" spans="5:6" x14ac:dyDescent="0.35">
      <c r="E765">
        <v>762</v>
      </c>
      <c r="F765">
        <f t="shared" ca="1" si="13"/>
        <v>-4.3206487474742481E-3</v>
      </c>
    </row>
    <row r="766" spans="5:6" x14ac:dyDescent="0.35">
      <c r="E766">
        <v>763</v>
      </c>
      <c r="F766">
        <f t="shared" ca="1" si="13"/>
        <v>-2.4586598038454145E-3</v>
      </c>
    </row>
    <row r="767" spans="5:6" x14ac:dyDescent="0.35">
      <c r="E767">
        <v>764</v>
      </c>
      <c r="F767">
        <f t="shared" ca="1" si="13"/>
        <v>2.5444911828514442E-2</v>
      </c>
    </row>
    <row r="768" spans="5:6" x14ac:dyDescent="0.35">
      <c r="E768">
        <v>765</v>
      </c>
      <c r="F768">
        <f t="shared" ca="1" si="13"/>
        <v>3.0245022701414436E-3</v>
      </c>
    </row>
    <row r="769" spans="5:6" x14ac:dyDescent="0.35">
      <c r="E769">
        <v>766</v>
      </c>
      <c r="F769">
        <f t="shared" ca="1" si="13"/>
        <v>1.0310189985505924E-2</v>
      </c>
    </row>
    <row r="770" spans="5:6" x14ac:dyDescent="0.35">
      <c r="E770">
        <v>767</v>
      </c>
      <c r="F770">
        <f t="shared" ca="1" si="13"/>
        <v>-2.6187324819317213E-2</v>
      </c>
    </row>
    <row r="771" spans="5:6" x14ac:dyDescent="0.35">
      <c r="E771">
        <v>768</v>
      </c>
      <c r="F771">
        <f t="shared" ca="1" si="13"/>
        <v>-5.5431088344366245E-3</v>
      </c>
    </row>
    <row r="772" spans="5:6" x14ac:dyDescent="0.35">
      <c r="E772">
        <v>769</v>
      </c>
      <c r="F772">
        <f t="shared" ca="1" si="13"/>
        <v>1.0557147227516635E-2</v>
      </c>
    </row>
    <row r="773" spans="5:6" x14ac:dyDescent="0.35">
      <c r="E773">
        <v>770</v>
      </c>
      <c r="F773">
        <f t="shared" ref="F773:F836" ca="1" si="14">_xlfn.NORM.INV(RAND(),M$6,M$7)</f>
        <v>2.648441152527534E-2</v>
      </c>
    </row>
    <row r="774" spans="5:6" x14ac:dyDescent="0.35">
      <c r="E774">
        <v>771</v>
      </c>
      <c r="F774">
        <f t="shared" ca="1" si="14"/>
        <v>1.3855569089704613E-2</v>
      </c>
    </row>
    <row r="775" spans="5:6" x14ac:dyDescent="0.35">
      <c r="E775">
        <v>772</v>
      </c>
      <c r="F775">
        <f t="shared" ca="1" si="14"/>
        <v>-1.8173558901491339E-2</v>
      </c>
    </row>
    <row r="776" spans="5:6" x14ac:dyDescent="0.35">
      <c r="E776">
        <v>773</v>
      </c>
      <c r="F776">
        <f t="shared" ca="1" si="14"/>
        <v>9.5995540731142782E-3</v>
      </c>
    </row>
    <row r="777" spans="5:6" x14ac:dyDescent="0.35">
      <c r="E777">
        <v>774</v>
      </c>
      <c r="F777">
        <f t="shared" ca="1" si="14"/>
        <v>2.1489263293004959E-2</v>
      </c>
    </row>
    <row r="778" spans="5:6" x14ac:dyDescent="0.35">
      <c r="E778">
        <v>775</v>
      </c>
      <c r="F778">
        <f t="shared" ca="1" si="14"/>
        <v>-1.0989524401083108E-2</v>
      </c>
    </row>
    <row r="779" spans="5:6" x14ac:dyDescent="0.35">
      <c r="E779">
        <v>776</v>
      </c>
      <c r="F779">
        <f t="shared" ca="1" si="14"/>
        <v>-1.4355917880319015E-2</v>
      </c>
    </row>
    <row r="780" spans="5:6" x14ac:dyDescent="0.35">
      <c r="E780">
        <v>777</v>
      </c>
      <c r="F780">
        <f t="shared" ca="1" si="14"/>
        <v>-2.0272523572132536E-2</v>
      </c>
    </row>
    <row r="781" spans="5:6" x14ac:dyDescent="0.35">
      <c r="E781">
        <v>778</v>
      </c>
      <c r="F781">
        <f t="shared" ca="1" si="14"/>
        <v>-8.8756105024075591E-3</v>
      </c>
    </row>
    <row r="782" spans="5:6" x14ac:dyDescent="0.35">
      <c r="E782">
        <v>779</v>
      </c>
      <c r="F782">
        <f t="shared" ca="1" si="14"/>
        <v>3.1371866472448502E-2</v>
      </c>
    </row>
    <row r="783" spans="5:6" x14ac:dyDescent="0.35">
      <c r="E783">
        <v>780</v>
      </c>
      <c r="F783">
        <f t="shared" ca="1" si="14"/>
        <v>-1.6569445377119824E-2</v>
      </c>
    </row>
    <row r="784" spans="5:6" x14ac:dyDescent="0.35">
      <c r="E784">
        <v>781</v>
      </c>
      <c r="F784">
        <f t="shared" ca="1" si="14"/>
        <v>-1.8400050469167383E-2</v>
      </c>
    </row>
    <row r="785" spans="5:6" x14ac:dyDescent="0.35">
      <c r="E785">
        <v>782</v>
      </c>
      <c r="F785">
        <f t="shared" ca="1" si="14"/>
        <v>3.9089874513461914E-3</v>
      </c>
    </row>
    <row r="786" spans="5:6" x14ac:dyDescent="0.35">
      <c r="E786">
        <v>783</v>
      </c>
      <c r="F786">
        <f t="shared" ca="1" si="14"/>
        <v>-1.1133243151049155E-2</v>
      </c>
    </row>
    <row r="787" spans="5:6" x14ac:dyDescent="0.35">
      <c r="E787">
        <v>784</v>
      </c>
      <c r="F787">
        <f t="shared" ca="1" si="14"/>
        <v>9.4826628755310624E-4</v>
      </c>
    </row>
    <row r="788" spans="5:6" x14ac:dyDescent="0.35">
      <c r="E788">
        <v>785</v>
      </c>
      <c r="F788">
        <f t="shared" ca="1" si="14"/>
        <v>-1.7442538822135662E-2</v>
      </c>
    </row>
    <row r="789" spans="5:6" x14ac:dyDescent="0.35">
      <c r="E789">
        <v>786</v>
      </c>
      <c r="F789">
        <f t="shared" ca="1" si="14"/>
        <v>3.582430969746273E-3</v>
      </c>
    </row>
    <row r="790" spans="5:6" x14ac:dyDescent="0.35">
      <c r="E790">
        <v>787</v>
      </c>
      <c r="F790">
        <f t="shared" ca="1" si="14"/>
        <v>1.1101266446552856E-2</v>
      </c>
    </row>
    <row r="791" spans="5:6" x14ac:dyDescent="0.35">
      <c r="E791">
        <v>788</v>
      </c>
      <c r="F791">
        <f t="shared" ca="1" si="14"/>
        <v>-1.0351396688575593E-2</v>
      </c>
    </row>
    <row r="792" spans="5:6" x14ac:dyDescent="0.35">
      <c r="E792">
        <v>789</v>
      </c>
      <c r="F792">
        <f t="shared" ca="1" si="14"/>
        <v>2.5855457671517423E-2</v>
      </c>
    </row>
    <row r="793" spans="5:6" x14ac:dyDescent="0.35">
      <c r="E793">
        <v>790</v>
      </c>
      <c r="F793">
        <f t="shared" ca="1" si="14"/>
        <v>-2.4325809244146322E-3</v>
      </c>
    </row>
    <row r="794" spans="5:6" x14ac:dyDescent="0.35">
      <c r="E794">
        <v>791</v>
      </c>
      <c r="F794">
        <f t="shared" ca="1" si="14"/>
        <v>2.2263196684106985E-2</v>
      </c>
    </row>
    <row r="795" spans="5:6" x14ac:dyDescent="0.35">
      <c r="E795">
        <v>792</v>
      </c>
      <c r="F795">
        <f t="shared" ca="1" si="14"/>
        <v>4.6539744770995047E-2</v>
      </c>
    </row>
    <row r="796" spans="5:6" x14ac:dyDescent="0.35">
      <c r="E796">
        <v>793</v>
      </c>
      <c r="F796">
        <f t="shared" ca="1" si="14"/>
        <v>3.998587898410616E-2</v>
      </c>
    </row>
    <row r="797" spans="5:6" x14ac:dyDescent="0.35">
      <c r="E797">
        <v>794</v>
      </c>
      <c r="F797">
        <f t="shared" ca="1" si="14"/>
        <v>-2.2361148138748017E-2</v>
      </c>
    </row>
    <row r="798" spans="5:6" x14ac:dyDescent="0.35">
      <c r="E798">
        <v>795</v>
      </c>
      <c r="F798">
        <f t="shared" ca="1" si="14"/>
        <v>2.4031952694127941E-2</v>
      </c>
    </row>
    <row r="799" spans="5:6" x14ac:dyDescent="0.35">
      <c r="E799">
        <v>796</v>
      </c>
      <c r="F799">
        <f t="shared" ca="1" si="14"/>
        <v>2.5469147479607986E-2</v>
      </c>
    </row>
    <row r="800" spans="5:6" x14ac:dyDescent="0.35">
      <c r="E800">
        <v>797</v>
      </c>
      <c r="F800">
        <f t="shared" ca="1" si="14"/>
        <v>-9.2564092596952793E-3</v>
      </c>
    </row>
    <row r="801" spans="5:6" x14ac:dyDescent="0.35">
      <c r="E801">
        <v>798</v>
      </c>
      <c r="F801">
        <f t="shared" ca="1" si="14"/>
        <v>-7.7329134740521336E-3</v>
      </c>
    </row>
    <row r="802" spans="5:6" x14ac:dyDescent="0.35">
      <c r="E802">
        <v>799</v>
      </c>
      <c r="F802">
        <f t="shared" ca="1" si="14"/>
        <v>-7.4377941690648248E-3</v>
      </c>
    </row>
    <row r="803" spans="5:6" x14ac:dyDescent="0.35">
      <c r="E803">
        <v>800</v>
      </c>
      <c r="F803">
        <f t="shared" ca="1" si="14"/>
        <v>-1.4373850233283057E-2</v>
      </c>
    </row>
    <row r="804" spans="5:6" x14ac:dyDescent="0.35">
      <c r="E804">
        <v>801</v>
      </c>
      <c r="F804">
        <f t="shared" ca="1" si="14"/>
        <v>-1.0441920458760677E-2</v>
      </c>
    </row>
    <row r="805" spans="5:6" x14ac:dyDescent="0.35">
      <c r="E805">
        <v>802</v>
      </c>
      <c r="F805">
        <f t="shared" ca="1" si="14"/>
        <v>-2.8156239977981251E-3</v>
      </c>
    </row>
    <row r="806" spans="5:6" x14ac:dyDescent="0.35">
      <c r="E806">
        <v>803</v>
      </c>
      <c r="F806">
        <f t="shared" ca="1" si="14"/>
        <v>9.7504479151754551E-3</v>
      </c>
    </row>
    <row r="807" spans="5:6" x14ac:dyDescent="0.35">
      <c r="E807">
        <v>804</v>
      </c>
      <c r="F807">
        <f t="shared" ca="1" si="14"/>
        <v>-1.7509880809708573E-2</v>
      </c>
    </row>
    <row r="808" spans="5:6" x14ac:dyDescent="0.35">
      <c r="E808">
        <v>805</v>
      </c>
      <c r="F808">
        <f t="shared" ca="1" si="14"/>
        <v>6.2913368455730498E-3</v>
      </c>
    </row>
    <row r="809" spans="5:6" x14ac:dyDescent="0.35">
      <c r="E809">
        <v>806</v>
      </c>
      <c r="F809">
        <f t="shared" ca="1" si="14"/>
        <v>2.7453009816811768E-2</v>
      </c>
    </row>
    <row r="810" spans="5:6" x14ac:dyDescent="0.35">
      <c r="E810">
        <v>807</v>
      </c>
      <c r="F810">
        <f t="shared" ca="1" si="14"/>
        <v>-8.9194705839661902E-3</v>
      </c>
    </row>
    <row r="811" spans="5:6" x14ac:dyDescent="0.35">
      <c r="E811">
        <v>808</v>
      </c>
      <c r="F811">
        <f t="shared" ca="1" si="14"/>
        <v>5.8207901911317608E-3</v>
      </c>
    </row>
    <row r="812" spans="5:6" x14ac:dyDescent="0.35">
      <c r="E812">
        <v>809</v>
      </c>
      <c r="F812">
        <f t="shared" ca="1" si="14"/>
        <v>-4.4252780562275031E-3</v>
      </c>
    </row>
    <row r="813" spans="5:6" x14ac:dyDescent="0.35">
      <c r="E813">
        <v>810</v>
      </c>
      <c r="F813">
        <f t="shared" ca="1" si="14"/>
        <v>1.6940347849153234E-3</v>
      </c>
    </row>
    <row r="814" spans="5:6" x14ac:dyDescent="0.35">
      <c r="E814">
        <v>811</v>
      </c>
      <c r="F814">
        <f t="shared" ca="1" si="14"/>
        <v>6.1722686351371832E-3</v>
      </c>
    </row>
    <row r="815" spans="5:6" x14ac:dyDescent="0.35">
      <c r="E815">
        <v>812</v>
      </c>
      <c r="F815">
        <f t="shared" ca="1" si="14"/>
        <v>-1.5646602296052744E-2</v>
      </c>
    </row>
    <row r="816" spans="5:6" x14ac:dyDescent="0.35">
      <c r="E816">
        <v>813</v>
      </c>
      <c r="F816">
        <f t="shared" ca="1" si="14"/>
        <v>-1.4654825645548869E-2</v>
      </c>
    </row>
    <row r="817" spans="5:6" x14ac:dyDescent="0.35">
      <c r="E817">
        <v>814</v>
      </c>
      <c r="F817">
        <f t="shared" ca="1" si="14"/>
        <v>3.2060721494493204E-2</v>
      </c>
    </row>
    <row r="818" spans="5:6" x14ac:dyDescent="0.35">
      <c r="E818">
        <v>815</v>
      </c>
      <c r="F818">
        <f t="shared" ca="1" si="14"/>
        <v>-1.7404768185194834E-3</v>
      </c>
    </row>
    <row r="819" spans="5:6" x14ac:dyDescent="0.35">
      <c r="E819">
        <v>816</v>
      </c>
      <c r="F819">
        <f t="shared" ca="1" si="14"/>
        <v>-1.9073284143587513E-2</v>
      </c>
    </row>
    <row r="820" spans="5:6" x14ac:dyDescent="0.35">
      <c r="E820">
        <v>817</v>
      </c>
      <c r="F820">
        <f t="shared" ca="1" si="14"/>
        <v>-4.8627887382226209E-3</v>
      </c>
    </row>
    <row r="821" spans="5:6" x14ac:dyDescent="0.35">
      <c r="E821">
        <v>818</v>
      </c>
      <c r="F821">
        <f t="shared" ca="1" si="14"/>
        <v>2.1184590553759937E-2</v>
      </c>
    </row>
    <row r="822" spans="5:6" x14ac:dyDescent="0.35">
      <c r="E822">
        <v>819</v>
      </c>
      <c r="F822">
        <f t="shared" ca="1" si="14"/>
        <v>2.563652349630445E-2</v>
      </c>
    </row>
    <row r="823" spans="5:6" x14ac:dyDescent="0.35">
      <c r="E823">
        <v>820</v>
      </c>
      <c r="F823">
        <f t="shared" ca="1" si="14"/>
        <v>3.4786232851613205E-3</v>
      </c>
    </row>
    <row r="824" spans="5:6" x14ac:dyDescent="0.35">
      <c r="E824">
        <v>821</v>
      </c>
      <c r="F824">
        <f t="shared" ca="1" si="14"/>
        <v>1.1727379958432612E-2</v>
      </c>
    </row>
    <row r="825" spans="5:6" x14ac:dyDescent="0.35">
      <c r="E825">
        <v>822</v>
      </c>
      <c r="F825">
        <f t="shared" ca="1" si="14"/>
        <v>-2.0700366035528543E-2</v>
      </c>
    </row>
    <row r="826" spans="5:6" x14ac:dyDescent="0.35">
      <c r="E826">
        <v>823</v>
      </c>
      <c r="F826">
        <f t="shared" ca="1" si="14"/>
        <v>-1.0118799035690637E-2</v>
      </c>
    </row>
    <row r="827" spans="5:6" x14ac:dyDescent="0.35">
      <c r="E827">
        <v>824</v>
      </c>
      <c r="F827">
        <f t="shared" ca="1" si="14"/>
        <v>-1.6900722653167034E-2</v>
      </c>
    </row>
    <row r="828" spans="5:6" x14ac:dyDescent="0.35">
      <c r="E828">
        <v>825</v>
      </c>
      <c r="F828">
        <f t="shared" ca="1" si="14"/>
        <v>1.1318530867585762E-2</v>
      </c>
    </row>
    <row r="829" spans="5:6" x14ac:dyDescent="0.35">
      <c r="E829">
        <v>826</v>
      </c>
      <c r="F829">
        <f t="shared" ca="1" si="14"/>
        <v>5.6600824170438971E-3</v>
      </c>
    </row>
    <row r="830" spans="5:6" x14ac:dyDescent="0.35">
      <c r="E830">
        <v>827</v>
      </c>
      <c r="F830">
        <f t="shared" ca="1" si="14"/>
        <v>-1.6581216130098039E-2</v>
      </c>
    </row>
    <row r="831" spans="5:6" x14ac:dyDescent="0.35">
      <c r="E831">
        <v>828</v>
      </c>
      <c r="F831">
        <f t="shared" ca="1" si="14"/>
        <v>-7.0364483507150358E-3</v>
      </c>
    </row>
    <row r="832" spans="5:6" x14ac:dyDescent="0.35">
      <c r="E832">
        <v>829</v>
      </c>
      <c r="F832">
        <f t="shared" ca="1" si="14"/>
        <v>-3.3605053735016976E-3</v>
      </c>
    </row>
    <row r="833" spans="5:6" x14ac:dyDescent="0.35">
      <c r="E833">
        <v>830</v>
      </c>
      <c r="F833">
        <f t="shared" ca="1" si="14"/>
        <v>8.4588761690729524E-3</v>
      </c>
    </row>
    <row r="834" spans="5:6" x14ac:dyDescent="0.35">
      <c r="E834">
        <v>831</v>
      </c>
      <c r="F834">
        <f t="shared" ca="1" si="14"/>
        <v>-2.045846898038518E-2</v>
      </c>
    </row>
    <row r="835" spans="5:6" x14ac:dyDescent="0.35">
      <c r="E835">
        <v>832</v>
      </c>
      <c r="F835">
        <f t="shared" ca="1" si="14"/>
        <v>-7.1648625448369084E-3</v>
      </c>
    </row>
    <row r="836" spans="5:6" x14ac:dyDescent="0.35">
      <c r="E836">
        <v>833</v>
      </c>
      <c r="F836">
        <f t="shared" ca="1" si="14"/>
        <v>2.0696669444233277E-3</v>
      </c>
    </row>
    <row r="837" spans="5:6" x14ac:dyDescent="0.35">
      <c r="E837">
        <v>834</v>
      </c>
      <c r="F837">
        <f t="shared" ref="F837:F900" ca="1" si="15">_xlfn.NORM.INV(RAND(),M$6,M$7)</f>
        <v>-9.7231491716334956E-4</v>
      </c>
    </row>
    <row r="838" spans="5:6" x14ac:dyDescent="0.35">
      <c r="E838">
        <v>835</v>
      </c>
      <c r="F838">
        <f t="shared" ca="1" si="15"/>
        <v>-5.8347691384771265E-3</v>
      </c>
    </row>
    <row r="839" spans="5:6" x14ac:dyDescent="0.35">
      <c r="E839">
        <v>836</v>
      </c>
      <c r="F839">
        <f t="shared" ca="1" si="15"/>
        <v>3.0668606843511819E-3</v>
      </c>
    </row>
    <row r="840" spans="5:6" x14ac:dyDescent="0.35">
      <c r="E840">
        <v>837</v>
      </c>
      <c r="F840">
        <f t="shared" ca="1" si="15"/>
        <v>6.2303030903048855E-3</v>
      </c>
    </row>
    <row r="841" spans="5:6" x14ac:dyDescent="0.35">
      <c r="E841">
        <v>838</v>
      </c>
      <c r="F841">
        <f t="shared" ca="1" si="15"/>
        <v>-1.1344132458045949E-3</v>
      </c>
    </row>
    <row r="842" spans="5:6" x14ac:dyDescent="0.35">
      <c r="E842">
        <v>839</v>
      </c>
      <c r="F842">
        <f t="shared" ca="1" si="15"/>
        <v>-2.5684146369290835E-2</v>
      </c>
    </row>
    <row r="843" spans="5:6" x14ac:dyDescent="0.35">
      <c r="E843">
        <v>840</v>
      </c>
      <c r="F843">
        <f t="shared" ca="1" si="15"/>
        <v>1.0634296451184342E-3</v>
      </c>
    </row>
    <row r="844" spans="5:6" x14ac:dyDescent="0.35">
      <c r="E844">
        <v>841</v>
      </c>
      <c r="F844">
        <f t="shared" ca="1" si="15"/>
        <v>-6.9845660838144382E-3</v>
      </c>
    </row>
    <row r="845" spans="5:6" x14ac:dyDescent="0.35">
      <c r="E845">
        <v>842</v>
      </c>
      <c r="F845">
        <f t="shared" ca="1" si="15"/>
        <v>1.5354630696489164E-2</v>
      </c>
    </row>
    <row r="846" spans="5:6" x14ac:dyDescent="0.35">
      <c r="E846">
        <v>843</v>
      </c>
      <c r="F846">
        <f t="shared" ca="1" si="15"/>
        <v>1.530740250727565E-2</v>
      </c>
    </row>
    <row r="847" spans="5:6" x14ac:dyDescent="0.35">
      <c r="E847">
        <v>844</v>
      </c>
      <c r="F847">
        <f t="shared" ca="1" si="15"/>
        <v>-2.5134608872255013E-3</v>
      </c>
    </row>
    <row r="848" spans="5:6" x14ac:dyDescent="0.35">
      <c r="E848">
        <v>845</v>
      </c>
      <c r="F848">
        <f t="shared" ca="1" si="15"/>
        <v>4.013231826763765E-3</v>
      </c>
    </row>
    <row r="849" spans="5:6" x14ac:dyDescent="0.35">
      <c r="E849">
        <v>846</v>
      </c>
      <c r="F849">
        <f t="shared" ca="1" si="15"/>
        <v>2.7596150764723455E-2</v>
      </c>
    </row>
    <row r="850" spans="5:6" x14ac:dyDescent="0.35">
      <c r="E850">
        <v>847</v>
      </c>
      <c r="F850">
        <f t="shared" ca="1" si="15"/>
        <v>6.3503936435817393E-3</v>
      </c>
    </row>
    <row r="851" spans="5:6" x14ac:dyDescent="0.35">
      <c r="E851">
        <v>848</v>
      </c>
      <c r="F851">
        <f t="shared" ca="1" si="15"/>
        <v>2.5513231626527879E-2</v>
      </c>
    </row>
    <row r="852" spans="5:6" x14ac:dyDescent="0.35">
      <c r="E852">
        <v>849</v>
      </c>
      <c r="F852">
        <f t="shared" ca="1" si="15"/>
        <v>9.6214593936172349E-3</v>
      </c>
    </row>
    <row r="853" spans="5:6" x14ac:dyDescent="0.35">
      <c r="E853">
        <v>850</v>
      </c>
      <c r="F853">
        <f t="shared" ca="1" si="15"/>
        <v>-7.3326250644828459E-3</v>
      </c>
    </row>
    <row r="854" spans="5:6" x14ac:dyDescent="0.35">
      <c r="E854">
        <v>851</v>
      </c>
      <c r="F854">
        <f t="shared" ca="1" si="15"/>
        <v>-8.3727031191064578E-3</v>
      </c>
    </row>
    <row r="855" spans="5:6" x14ac:dyDescent="0.35">
      <c r="E855">
        <v>852</v>
      </c>
      <c r="F855">
        <f t="shared" ca="1" si="15"/>
        <v>5.3895948537933877E-3</v>
      </c>
    </row>
    <row r="856" spans="5:6" x14ac:dyDescent="0.35">
      <c r="E856">
        <v>853</v>
      </c>
      <c r="F856">
        <f t="shared" ca="1" si="15"/>
        <v>-6.6823187270087189E-4</v>
      </c>
    </row>
    <row r="857" spans="5:6" x14ac:dyDescent="0.35">
      <c r="E857">
        <v>854</v>
      </c>
      <c r="F857">
        <f t="shared" ca="1" si="15"/>
        <v>1.4270825823330009E-2</v>
      </c>
    </row>
    <row r="858" spans="5:6" x14ac:dyDescent="0.35">
      <c r="E858">
        <v>855</v>
      </c>
      <c r="F858">
        <f t="shared" ca="1" si="15"/>
        <v>5.8969985430855727E-3</v>
      </c>
    </row>
    <row r="859" spans="5:6" x14ac:dyDescent="0.35">
      <c r="E859">
        <v>856</v>
      </c>
      <c r="F859">
        <f t="shared" ca="1" si="15"/>
        <v>8.8137957349981068E-3</v>
      </c>
    </row>
    <row r="860" spans="5:6" x14ac:dyDescent="0.35">
      <c r="E860">
        <v>857</v>
      </c>
      <c r="F860">
        <f t="shared" ca="1" si="15"/>
        <v>1.4060892049833081E-2</v>
      </c>
    </row>
    <row r="861" spans="5:6" x14ac:dyDescent="0.35">
      <c r="E861">
        <v>858</v>
      </c>
      <c r="F861">
        <f t="shared" ca="1" si="15"/>
        <v>-1.6508816364449123E-2</v>
      </c>
    </row>
    <row r="862" spans="5:6" x14ac:dyDescent="0.35">
      <c r="E862">
        <v>859</v>
      </c>
      <c r="F862">
        <f t="shared" ca="1" si="15"/>
        <v>2.015558884324754E-2</v>
      </c>
    </row>
    <row r="863" spans="5:6" x14ac:dyDescent="0.35">
      <c r="E863">
        <v>860</v>
      </c>
      <c r="F863">
        <f t="shared" ca="1" si="15"/>
        <v>5.2861483856177565E-3</v>
      </c>
    </row>
    <row r="864" spans="5:6" x14ac:dyDescent="0.35">
      <c r="E864">
        <v>861</v>
      </c>
      <c r="F864">
        <f t="shared" ca="1" si="15"/>
        <v>-5.669753418823041E-3</v>
      </c>
    </row>
    <row r="865" spans="5:6" x14ac:dyDescent="0.35">
      <c r="E865">
        <v>862</v>
      </c>
      <c r="F865">
        <f t="shared" ca="1" si="15"/>
        <v>-1.1225967548754514E-2</v>
      </c>
    </row>
    <row r="866" spans="5:6" x14ac:dyDescent="0.35">
      <c r="E866">
        <v>863</v>
      </c>
      <c r="F866">
        <f t="shared" ca="1" si="15"/>
        <v>1.9778824429869567E-2</v>
      </c>
    </row>
    <row r="867" spans="5:6" x14ac:dyDescent="0.35">
      <c r="E867">
        <v>864</v>
      </c>
      <c r="F867">
        <f t="shared" ca="1" si="15"/>
        <v>-7.4480428045871037E-3</v>
      </c>
    </row>
    <row r="868" spans="5:6" x14ac:dyDescent="0.35">
      <c r="E868">
        <v>865</v>
      </c>
      <c r="F868">
        <f t="shared" ca="1" si="15"/>
        <v>5.9616439846073887E-3</v>
      </c>
    </row>
    <row r="869" spans="5:6" x14ac:dyDescent="0.35">
      <c r="E869">
        <v>866</v>
      </c>
      <c r="F869">
        <f t="shared" ca="1" si="15"/>
        <v>1.8165905487488948E-2</v>
      </c>
    </row>
    <row r="870" spans="5:6" x14ac:dyDescent="0.35">
      <c r="E870">
        <v>867</v>
      </c>
      <c r="F870">
        <f t="shared" ca="1" si="15"/>
        <v>1.9077952974953617E-2</v>
      </c>
    </row>
    <row r="871" spans="5:6" x14ac:dyDescent="0.35">
      <c r="E871">
        <v>868</v>
      </c>
      <c r="F871">
        <f t="shared" ca="1" si="15"/>
        <v>8.1633743041808343E-3</v>
      </c>
    </row>
    <row r="872" spans="5:6" x14ac:dyDescent="0.35">
      <c r="E872">
        <v>869</v>
      </c>
      <c r="F872">
        <f t="shared" ca="1" si="15"/>
        <v>7.0237999293147292E-3</v>
      </c>
    </row>
    <row r="873" spans="5:6" x14ac:dyDescent="0.35">
      <c r="E873">
        <v>870</v>
      </c>
      <c r="F873">
        <f t="shared" ca="1" si="15"/>
        <v>-2.0733746357411053E-2</v>
      </c>
    </row>
    <row r="874" spans="5:6" x14ac:dyDescent="0.35">
      <c r="E874">
        <v>871</v>
      </c>
      <c r="F874">
        <f t="shared" ca="1" si="15"/>
        <v>-1.161262252806073E-2</v>
      </c>
    </row>
    <row r="875" spans="5:6" x14ac:dyDescent="0.35">
      <c r="E875">
        <v>872</v>
      </c>
      <c r="F875">
        <f t="shared" ca="1" si="15"/>
        <v>7.5453878636428072E-3</v>
      </c>
    </row>
    <row r="876" spans="5:6" x14ac:dyDescent="0.35">
      <c r="E876">
        <v>873</v>
      </c>
      <c r="F876">
        <f t="shared" ca="1" si="15"/>
        <v>-4.3841682389615848E-3</v>
      </c>
    </row>
    <row r="877" spans="5:6" x14ac:dyDescent="0.35">
      <c r="E877">
        <v>874</v>
      </c>
      <c r="F877">
        <f t="shared" ca="1" si="15"/>
        <v>-1.8724325795144929E-2</v>
      </c>
    </row>
    <row r="878" spans="5:6" x14ac:dyDescent="0.35">
      <c r="E878">
        <v>875</v>
      </c>
      <c r="F878">
        <f t="shared" ca="1" si="15"/>
        <v>2.1246144732132519E-2</v>
      </c>
    </row>
    <row r="879" spans="5:6" x14ac:dyDescent="0.35">
      <c r="E879">
        <v>876</v>
      </c>
      <c r="F879">
        <f t="shared" ca="1" si="15"/>
        <v>1.0527402585288613E-2</v>
      </c>
    </row>
    <row r="880" spans="5:6" x14ac:dyDescent="0.35">
      <c r="E880">
        <v>877</v>
      </c>
      <c r="F880">
        <f t="shared" ca="1" si="15"/>
        <v>2.7544503391545854E-3</v>
      </c>
    </row>
    <row r="881" spans="5:6" x14ac:dyDescent="0.35">
      <c r="E881">
        <v>878</v>
      </c>
      <c r="F881">
        <f t="shared" ca="1" si="15"/>
        <v>2.4360996867599173E-5</v>
      </c>
    </row>
    <row r="882" spans="5:6" x14ac:dyDescent="0.35">
      <c r="E882">
        <v>879</v>
      </c>
      <c r="F882">
        <f t="shared" ca="1" si="15"/>
        <v>-2.8630761469463091E-2</v>
      </c>
    </row>
    <row r="883" spans="5:6" x14ac:dyDescent="0.35">
      <c r="E883">
        <v>880</v>
      </c>
      <c r="F883">
        <f t="shared" ca="1" si="15"/>
        <v>-6.4895167287884236E-3</v>
      </c>
    </row>
    <row r="884" spans="5:6" x14ac:dyDescent="0.35">
      <c r="E884">
        <v>881</v>
      </c>
      <c r="F884">
        <f t="shared" ca="1" si="15"/>
        <v>-1.8568100085261892E-2</v>
      </c>
    </row>
    <row r="885" spans="5:6" x14ac:dyDescent="0.35">
      <c r="E885">
        <v>882</v>
      </c>
      <c r="F885">
        <f t="shared" ca="1" si="15"/>
        <v>-1.016475284445344E-3</v>
      </c>
    </row>
    <row r="886" spans="5:6" x14ac:dyDescent="0.35">
      <c r="E886">
        <v>883</v>
      </c>
      <c r="F886">
        <f t="shared" ca="1" si="15"/>
        <v>-1.2916632608550497E-2</v>
      </c>
    </row>
    <row r="887" spans="5:6" x14ac:dyDescent="0.35">
      <c r="E887">
        <v>884</v>
      </c>
      <c r="F887">
        <f t="shared" ca="1" si="15"/>
        <v>8.6025479362838494E-3</v>
      </c>
    </row>
    <row r="888" spans="5:6" x14ac:dyDescent="0.35">
      <c r="E888">
        <v>885</v>
      </c>
      <c r="F888">
        <f t="shared" ca="1" si="15"/>
        <v>1.6253767286099133E-2</v>
      </c>
    </row>
    <row r="889" spans="5:6" x14ac:dyDescent="0.35">
      <c r="E889">
        <v>886</v>
      </c>
      <c r="F889">
        <f t="shared" ca="1" si="15"/>
        <v>-1.2527890814579752E-2</v>
      </c>
    </row>
    <row r="890" spans="5:6" x14ac:dyDescent="0.35">
      <c r="E890">
        <v>887</v>
      </c>
      <c r="F890">
        <f t="shared" ca="1" si="15"/>
        <v>2.251810307106519E-2</v>
      </c>
    </row>
    <row r="891" spans="5:6" x14ac:dyDescent="0.35">
      <c r="E891">
        <v>888</v>
      </c>
      <c r="F891">
        <f t="shared" ca="1" si="15"/>
        <v>-1.0783074041462459E-2</v>
      </c>
    </row>
    <row r="892" spans="5:6" x14ac:dyDescent="0.35">
      <c r="E892">
        <v>889</v>
      </c>
      <c r="F892">
        <f t="shared" ca="1" si="15"/>
        <v>-1.4197963979443694E-2</v>
      </c>
    </row>
    <row r="893" spans="5:6" x14ac:dyDescent="0.35">
      <c r="E893">
        <v>890</v>
      </c>
      <c r="F893">
        <f t="shared" ca="1" si="15"/>
        <v>6.373207050808332E-3</v>
      </c>
    </row>
    <row r="894" spans="5:6" x14ac:dyDescent="0.35">
      <c r="E894">
        <v>891</v>
      </c>
      <c r="F894">
        <f t="shared" ca="1" si="15"/>
        <v>-6.7629886125867593E-3</v>
      </c>
    </row>
    <row r="895" spans="5:6" x14ac:dyDescent="0.35">
      <c r="E895">
        <v>892</v>
      </c>
      <c r="F895">
        <f t="shared" ca="1" si="15"/>
        <v>-2.1503837473873296E-3</v>
      </c>
    </row>
    <row r="896" spans="5:6" x14ac:dyDescent="0.35">
      <c r="E896">
        <v>893</v>
      </c>
      <c r="F896">
        <f t="shared" ca="1" si="15"/>
        <v>9.7721531888075031E-3</v>
      </c>
    </row>
    <row r="897" spans="5:6" x14ac:dyDescent="0.35">
      <c r="E897">
        <v>894</v>
      </c>
      <c r="F897">
        <f t="shared" ca="1" si="15"/>
        <v>-6.6044153788211149E-3</v>
      </c>
    </row>
    <row r="898" spans="5:6" x14ac:dyDescent="0.35">
      <c r="E898">
        <v>895</v>
      </c>
      <c r="F898">
        <f t="shared" ca="1" si="15"/>
        <v>-6.8031921702083596E-4</v>
      </c>
    </row>
    <row r="899" spans="5:6" x14ac:dyDescent="0.35">
      <c r="E899">
        <v>896</v>
      </c>
      <c r="F899">
        <f t="shared" ca="1" si="15"/>
        <v>-1.5280517441820997E-2</v>
      </c>
    </row>
    <row r="900" spans="5:6" x14ac:dyDescent="0.35">
      <c r="E900">
        <v>897</v>
      </c>
      <c r="F900">
        <f t="shared" ca="1" si="15"/>
        <v>-2.0840858275613265E-2</v>
      </c>
    </row>
    <row r="901" spans="5:6" x14ac:dyDescent="0.35">
      <c r="E901">
        <v>898</v>
      </c>
      <c r="F901">
        <f t="shared" ref="F901:F964" ca="1" si="16">_xlfn.NORM.INV(RAND(),M$6,M$7)</f>
        <v>-8.9963742848828722E-3</v>
      </c>
    </row>
    <row r="902" spans="5:6" x14ac:dyDescent="0.35">
      <c r="E902">
        <v>899</v>
      </c>
      <c r="F902">
        <f t="shared" ca="1" si="16"/>
        <v>1.3767564888522444E-2</v>
      </c>
    </row>
    <row r="903" spans="5:6" x14ac:dyDescent="0.35">
      <c r="E903">
        <v>900</v>
      </c>
      <c r="F903">
        <f t="shared" ca="1" si="16"/>
        <v>-1.1443891669270555E-2</v>
      </c>
    </row>
    <row r="904" spans="5:6" x14ac:dyDescent="0.35">
      <c r="E904">
        <v>901</v>
      </c>
      <c r="F904">
        <f t="shared" ca="1" si="16"/>
        <v>6.9206238372591568E-3</v>
      </c>
    </row>
    <row r="905" spans="5:6" x14ac:dyDescent="0.35">
      <c r="E905">
        <v>902</v>
      </c>
      <c r="F905">
        <f t="shared" ca="1" si="16"/>
        <v>-3.0471258428911407E-2</v>
      </c>
    </row>
    <row r="906" spans="5:6" x14ac:dyDescent="0.35">
      <c r="E906">
        <v>903</v>
      </c>
      <c r="F906">
        <f t="shared" ca="1" si="16"/>
        <v>6.9800994120109957E-4</v>
      </c>
    </row>
    <row r="907" spans="5:6" x14ac:dyDescent="0.35">
      <c r="E907">
        <v>904</v>
      </c>
      <c r="F907">
        <f t="shared" ca="1" si="16"/>
        <v>-3.6613370411815596E-3</v>
      </c>
    </row>
    <row r="908" spans="5:6" x14ac:dyDescent="0.35">
      <c r="E908">
        <v>905</v>
      </c>
      <c r="F908">
        <f t="shared" ca="1" si="16"/>
        <v>1.7624714068232732E-2</v>
      </c>
    </row>
    <row r="909" spans="5:6" x14ac:dyDescent="0.35">
      <c r="E909">
        <v>906</v>
      </c>
      <c r="F909">
        <f t="shared" ca="1" si="16"/>
        <v>1.7182500927058423E-2</v>
      </c>
    </row>
    <row r="910" spans="5:6" x14ac:dyDescent="0.35">
      <c r="E910">
        <v>907</v>
      </c>
      <c r="F910">
        <f t="shared" ca="1" si="16"/>
        <v>2.0059420550393094E-2</v>
      </c>
    </row>
    <row r="911" spans="5:6" x14ac:dyDescent="0.35">
      <c r="E911">
        <v>908</v>
      </c>
      <c r="F911">
        <f t="shared" ca="1" si="16"/>
        <v>-2.5395117025080297E-2</v>
      </c>
    </row>
    <row r="912" spans="5:6" x14ac:dyDescent="0.35">
      <c r="E912">
        <v>909</v>
      </c>
      <c r="F912">
        <f t="shared" ca="1" si="16"/>
        <v>3.8366047507658638E-2</v>
      </c>
    </row>
    <row r="913" spans="5:6" x14ac:dyDescent="0.35">
      <c r="E913">
        <v>910</v>
      </c>
      <c r="F913">
        <f t="shared" ca="1" si="16"/>
        <v>-2.001973763332791E-2</v>
      </c>
    </row>
    <row r="914" spans="5:6" x14ac:dyDescent="0.35">
      <c r="E914">
        <v>911</v>
      </c>
      <c r="F914">
        <f t="shared" ca="1" si="16"/>
        <v>1.8591576345697595E-3</v>
      </c>
    </row>
    <row r="915" spans="5:6" x14ac:dyDescent="0.35">
      <c r="E915">
        <v>912</v>
      </c>
      <c r="F915">
        <f t="shared" ca="1" si="16"/>
        <v>-1.8847300599305037E-2</v>
      </c>
    </row>
    <row r="916" spans="5:6" x14ac:dyDescent="0.35">
      <c r="E916">
        <v>913</v>
      </c>
      <c r="F916">
        <f t="shared" ca="1" si="16"/>
        <v>9.9980095372236497E-3</v>
      </c>
    </row>
    <row r="917" spans="5:6" x14ac:dyDescent="0.35">
      <c r="E917">
        <v>914</v>
      </c>
      <c r="F917">
        <f t="shared" ca="1" si="16"/>
        <v>-1.6956938713350939E-2</v>
      </c>
    </row>
    <row r="918" spans="5:6" x14ac:dyDescent="0.35">
      <c r="E918">
        <v>915</v>
      </c>
      <c r="F918">
        <f t="shared" ca="1" si="16"/>
        <v>-2.7145019892268925E-2</v>
      </c>
    </row>
    <row r="919" spans="5:6" x14ac:dyDescent="0.35">
      <c r="E919">
        <v>916</v>
      </c>
      <c r="F919">
        <f t="shared" ca="1" si="16"/>
        <v>-6.3522068070491662E-3</v>
      </c>
    </row>
    <row r="920" spans="5:6" x14ac:dyDescent="0.35">
      <c r="E920">
        <v>917</v>
      </c>
      <c r="F920">
        <f t="shared" ca="1" si="16"/>
        <v>1.1433395155227337E-2</v>
      </c>
    </row>
    <row r="921" spans="5:6" x14ac:dyDescent="0.35">
      <c r="E921">
        <v>918</v>
      </c>
      <c r="F921">
        <f t="shared" ca="1" si="16"/>
        <v>7.2672859215043035E-3</v>
      </c>
    </row>
    <row r="922" spans="5:6" x14ac:dyDescent="0.35">
      <c r="E922">
        <v>919</v>
      </c>
      <c r="F922">
        <f t="shared" ca="1" si="16"/>
        <v>-2.1438752899629449E-5</v>
      </c>
    </row>
    <row r="923" spans="5:6" x14ac:dyDescent="0.35">
      <c r="E923">
        <v>920</v>
      </c>
      <c r="F923">
        <f t="shared" ca="1" si="16"/>
        <v>4.8150487145883099E-5</v>
      </c>
    </row>
    <row r="924" spans="5:6" x14ac:dyDescent="0.35">
      <c r="E924">
        <v>921</v>
      </c>
      <c r="F924">
        <f t="shared" ca="1" si="16"/>
        <v>-7.6896919514134838E-4</v>
      </c>
    </row>
    <row r="925" spans="5:6" x14ac:dyDescent="0.35">
      <c r="E925">
        <v>922</v>
      </c>
      <c r="F925">
        <f t="shared" ca="1" si="16"/>
        <v>7.7362568392171727E-3</v>
      </c>
    </row>
    <row r="926" spans="5:6" x14ac:dyDescent="0.35">
      <c r="E926">
        <v>923</v>
      </c>
      <c r="F926">
        <f t="shared" ca="1" si="16"/>
        <v>-1.3548579237366323E-2</v>
      </c>
    </row>
    <row r="927" spans="5:6" x14ac:dyDescent="0.35">
      <c r="E927">
        <v>924</v>
      </c>
      <c r="F927">
        <f t="shared" ca="1" si="16"/>
        <v>2.3097921090332069E-2</v>
      </c>
    </row>
    <row r="928" spans="5:6" x14ac:dyDescent="0.35">
      <c r="E928">
        <v>925</v>
      </c>
      <c r="F928">
        <f t="shared" ca="1" si="16"/>
        <v>2.6349746343408364E-3</v>
      </c>
    </row>
    <row r="929" spans="5:6" x14ac:dyDescent="0.35">
      <c r="E929">
        <v>926</v>
      </c>
      <c r="F929">
        <f t="shared" ca="1" si="16"/>
        <v>9.7763921924590904E-3</v>
      </c>
    </row>
    <row r="930" spans="5:6" x14ac:dyDescent="0.35">
      <c r="E930">
        <v>927</v>
      </c>
      <c r="F930">
        <f t="shared" ca="1" si="16"/>
        <v>-5.2651580932661854E-3</v>
      </c>
    </row>
    <row r="931" spans="5:6" x14ac:dyDescent="0.35">
      <c r="E931">
        <v>928</v>
      </c>
      <c r="F931">
        <f t="shared" ca="1" si="16"/>
        <v>2.027858348196435E-2</v>
      </c>
    </row>
    <row r="932" spans="5:6" x14ac:dyDescent="0.35">
      <c r="E932">
        <v>929</v>
      </c>
      <c r="F932">
        <f t="shared" ca="1" si="16"/>
        <v>1.1576102960442236E-2</v>
      </c>
    </row>
    <row r="933" spans="5:6" x14ac:dyDescent="0.35">
      <c r="E933">
        <v>930</v>
      </c>
      <c r="F933">
        <f t="shared" ca="1" si="16"/>
        <v>5.8767794411260467E-3</v>
      </c>
    </row>
    <row r="934" spans="5:6" x14ac:dyDescent="0.35">
      <c r="E934">
        <v>931</v>
      </c>
      <c r="F934">
        <f t="shared" ca="1" si="16"/>
        <v>2.9611312793262942E-2</v>
      </c>
    </row>
    <row r="935" spans="5:6" x14ac:dyDescent="0.35">
      <c r="E935">
        <v>932</v>
      </c>
      <c r="F935">
        <f t="shared" ca="1" si="16"/>
        <v>2.2800101023333543E-3</v>
      </c>
    </row>
    <row r="936" spans="5:6" x14ac:dyDescent="0.35">
      <c r="E936">
        <v>933</v>
      </c>
      <c r="F936">
        <f t="shared" ca="1" si="16"/>
        <v>-4.1616120539535395E-4</v>
      </c>
    </row>
    <row r="937" spans="5:6" x14ac:dyDescent="0.35">
      <c r="E937">
        <v>934</v>
      </c>
      <c r="F937">
        <f t="shared" ca="1" si="16"/>
        <v>-2.2357593252800248E-2</v>
      </c>
    </row>
    <row r="938" spans="5:6" x14ac:dyDescent="0.35">
      <c r="E938">
        <v>935</v>
      </c>
      <c r="F938">
        <f t="shared" ca="1" si="16"/>
        <v>-2.9315359268662438E-3</v>
      </c>
    </row>
    <row r="939" spans="5:6" x14ac:dyDescent="0.35">
      <c r="E939">
        <v>936</v>
      </c>
      <c r="F939">
        <f t="shared" ca="1" si="16"/>
        <v>9.5515350893689253E-3</v>
      </c>
    </row>
    <row r="940" spans="5:6" x14ac:dyDescent="0.35">
      <c r="E940">
        <v>937</v>
      </c>
      <c r="F940">
        <f t="shared" ca="1" si="16"/>
        <v>1.1360681002838869E-2</v>
      </c>
    </row>
    <row r="941" spans="5:6" x14ac:dyDescent="0.35">
      <c r="E941">
        <v>938</v>
      </c>
      <c r="F941">
        <f t="shared" ca="1" si="16"/>
        <v>-5.9566655900514789E-3</v>
      </c>
    </row>
    <row r="942" spans="5:6" x14ac:dyDescent="0.35">
      <c r="E942">
        <v>939</v>
      </c>
      <c r="F942">
        <f t="shared" ca="1" si="16"/>
        <v>1.2187864605426809E-2</v>
      </c>
    </row>
    <row r="943" spans="5:6" x14ac:dyDescent="0.35">
      <c r="E943">
        <v>940</v>
      </c>
      <c r="F943">
        <f t="shared" ca="1" si="16"/>
        <v>-2.8133328052438555E-3</v>
      </c>
    </row>
    <row r="944" spans="5:6" x14ac:dyDescent="0.35">
      <c r="E944">
        <v>941</v>
      </c>
      <c r="F944">
        <f t="shared" ca="1" si="16"/>
        <v>-1.7647366050193364E-2</v>
      </c>
    </row>
    <row r="945" spans="5:6" x14ac:dyDescent="0.35">
      <c r="E945">
        <v>942</v>
      </c>
      <c r="F945">
        <f t="shared" ca="1" si="16"/>
        <v>1.8362364063776067E-2</v>
      </c>
    </row>
    <row r="946" spans="5:6" x14ac:dyDescent="0.35">
      <c r="E946">
        <v>943</v>
      </c>
      <c r="F946">
        <f t="shared" ca="1" si="16"/>
        <v>-2.9743712467024872E-2</v>
      </c>
    </row>
    <row r="947" spans="5:6" x14ac:dyDescent="0.35">
      <c r="E947">
        <v>944</v>
      </c>
      <c r="F947">
        <f t="shared" ca="1" si="16"/>
        <v>9.917493561953334E-3</v>
      </c>
    </row>
    <row r="948" spans="5:6" x14ac:dyDescent="0.35">
      <c r="E948">
        <v>945</v>
      </c>
      <c r="F948">
        <f t="shared" ca="1" si="16"/>
        <v>-4.9015378107744719E-4</v>
      </c>
    </row>
    <row r="949" spans="5:6" x14ac:dyDescent="0.35">
      <c r="E949">
        <v>946</v>
      </c>
      <c r="F949">
        <f t="shared" ca="1" si="16"/>
        <v>-2.4209656783087039E-2</v>
      </c>
    </row>
    <row r="950" spans="5:6" x14ac:dyDescent="0.35">
      <c r="E950">
        <v>947</v>
      </c>
      <c r="F950">
        <f t="shared" ca="1" si="16"/>
        <v>5.3860396638275992E-3</v>
      </c>
    </row>
    <row r="951" spans="5:6" x14ac:dyDescent="0.35">
      <c r="E951">
        <v>948</v>
      </c>
      <c r="F951">
        <f t="shared" ca="1" si="16"/>
        <v>1.4568461300817483E-2</v>
      </c>
    </row>
    <row r="952" spans="5:6" x14ac:dyDescent="0.35">
      <c r="E952">
        <v>949</v>
      </c>
      <c r="F952">
        <f t="shared" ca="1" si="16"/>
        <v>-8.8659639696784254E-3</v>
      </c>
    </row>
    <row r="953" spans="5:6" x14ac:dyDescent="0.35">
      <c r="E953">
        <v>950</v>
      </c>
      <c r="F953">
        <f t="shared" ca="1" si="16"/>
        <v>1.0494982902277119E-2</v>
      </c>
    </row>
    <row r="954" spans="5:6" x14ac:dyDescent="0.35">
      <c r="E954">
        <v>951</v>
      </c>
      <c r="F954">
        <f t="shared" ca="1" si="16"/>
        <v>4.0733335128554744E-3</v>
      </c>
    </row>
    <row r="955" spans="5:6" x14ac:dyDescent="0.35">
      <c r="E955">
        <v>952</v>
      </c>
      <c r="F955">
        <f t="shared" ca="1" si="16"/>
        <v>4.0271036876149075E-3</v>
      </c>
    </row>
    <row r="956" spans="5:6" x14ac:dyDescent="0.35">
      <c r="E956">
        <v>953</v>
      </c>
      <c r="F956">
        <f t="shared" ca="1" si="16"/>
        <v>1.9425352858381058E-3</v>
      </c>
    </row>
    <row r="957" spans="5:6" x14ac:dyDescent="0.35">
      <c r="E957">
        <v>954</v>
      </c>
      <c r="F957">
        <f t="shared" ca="1" si="16"/>
        <v>-8.8527816199448304E-3</v>
      </c>
    </row>
    <row r="958" spans="5:6" x14ac:dyDescent="0.35">
      <c r="E958">
        <v>955</v>
      </c>
      <c r="F958">
        <f t="shared" ca="1" si="16"/>
        <v>-1.2323582300064757E-2</v>
      </c>
    </row>
    <row r="959" spans="5:6" x14ac:dyDescent="0.35">
      <c r="E959">
        <v>956</v>
      </c>
      <c r="F959">
        <f t="shared" ca="1" si="16"/>
        <v>1.1552676706058715E-2</v>
      </c>
    </row>
    <row r="960" spans="5:6" x14ac:dyDescent="0.35">
      <c r="E960">
        <v>957</v>
      </c>
      <c r="F960">
        <f t="shared" ca="1" si="16"/>
        <v>1.8073912206603123E-3</v>
      </c>
    </row>
    <row r="961" spans="5:6" x14ac:dyDescent="0.35">
      <c r="E961">
        <v>958</v>
      </c>
      <c r="F961">
        <f t="shared" ca="1" si="16"/>
        <v>-7.5496656829553092E-3</v>
      </c>
    </row>
    <row r="962" spans="5:6" x14ac:dyDescent="0.35">
      <c r="E962">
        <v>959</v>
      </c>
      <c r="F962">
        <f t="shared" ca="1" si="16"/>
        <v>-2.0493301365533782E-2</v>
      </c>
    </row>
    <row r="963" spans="5:6" x14ac:dyDescent="0.35">
      <c r="E963">
        <v>960</v>
      </c>
      <c r="F963">
        <f t="shared" ca="1" si="16"/>
        <v>-1.6399230755630972E-2</v>
      </c>
    </row>
    <row r="964" spans="5:6" x14ac:dyDescent="0.35">
      <c r="E964">
        <v>961</v>
      </c>
      <c r="F964">
        <f t="shared" ca="1" si="16"/>
        <v>-3.1742310456167235E-3</v>
      </c>
    </row>
    <row r="965" spans="5:6" x14ac:dyDescent="0.35">
      <c r="E965">
        <v>962</v>
      </c>
      <c r="F965">
        <f t="shared" ref="F965:F1028" ca="1" si="17">_xlfn.NORM.INV(RAND(),M$6,M$7)</f>
        <v>4.7156748143876827E-3</v>
      </c>
    </row>
    <row r="966" spans="5:6" x14ac:dyDescent="0.35">
      <c r="E966">
        <v>963</v>
      </c>
      <c r="F966">
        <f t="shared" ca="1" si="17"/>
        <v>2.3856848334026164E-2</v>
      </c>
    </row>
    <row r="967" spans="5:6" x14ac:dyDescent="0.35">
      <c r="E967">
        <v>964</v>
      </c>
      <c r="F967">
        <f t="shared" ca="1" si="17"/>
        <v>1.7472979690912362E-2</v>
      </c>
    </row>
    <row r="968" spans="5:6" x14ac:dyDescent="0.35">
      <c r="E968">
        <v>965</v>
      </c>
      <c r="F968">
        <f t="shared" ca="1" si="17"/>
        <v>2.7490088929846456E-2</v>
      </c>
    </row>
    <row r="969" spans="5:6" x14ac:dyDescent="0.35">
      <c r="E969">
        <v>966</v>
      </c>
      <c r="F969">
        <f t="shared" ca="1" si="17"/>
        <v>8.3648909730192026E-4</v>
      </c>
    </row>
    <row r="970" spans="5:6" x14ac:dyDescent="0.35">
      <c r="E970">
        <v>967</v>
      </c>
      <c r="F970">
        <f t="shared" ca="1" si="17"/>
        <v>2.081180513542609E-2</v>
      </c>
    </row>
    <row r="971" spans="5:6" x14ac:dyDescent="0.35">
      <c r="E971">
        <v>968</v>
      </c>
      <c r="F971">
        <f t="shared" ca="1" si="17"/>
        <v>6.020918007970672E-3</v>
      </c>
    </row>
    <row r="972" spans="5:6" x14ac:dyDescent="0.35">
      <c r="E972">
        <v>969</v>
      </c>
      <c r="F972">
        <f t="shared" ca="1" si="17"/>
        <v>3.0511397858987117E-2</v>
      </c>
    </row>
    <row r="973" spans="5:6" x14ac:dyDescent="0.35">
      <c r="E973">
        <v>970</v>
      </c>
      <c r="F973">
        <f t="shared" ca="1" si="17"/>
        <v>2.6936974112612488E-2</v>
      </c>
    </row>
    <row r="974" spans="5:6" x14ac:dyDescent="0.35">
      <c r="E974">
        <v>971</v>
      </c>
      <c r="F974">
        <f t="shared" ca="1" si="17"/>
        <v>2.9483897277026872E-3</v>
      </c>
    </row>
    <row r="975" spans="5:6" x14ac:dyDescent="0.35">
      <c r="E975">
        <v>972</v>
      </c>
      <c r="F975">
        <f t="shared" ca="1" si="17"/>
        <v>5.920319684890955E-3</v>
      </c>
    </row>
    <row r="976" spans="5:6" x14ac:dyDescent="0.35">
      <c r="E976">
        <v>973</v>
      </c>
      <c r="F976">
        <f t="shared" ca="1" si="17"/>
        <v>4.1285300457771486E-3</v>
      </c>
    </row>
    <row r="977" spans="5:6" x14ac:dyDescent="0.35">
      <c r="E977">
        <v>974</v>
      </c>
      <c r="F977">
        <f t="shared" ca="1" si="17"/>
        <v>9.7923666594169727E-3</v>
      </c>
    </row>
    <row r="978" spans="5:6" x14ac:dyDescent="0.35">
      <c r="E978">
        <v>975</v>
      </c>
      <c r="F978">
        <f t="shared" ca="1" si="17"/>
        <v>-1.1465280598126799E-3</v>
      </c>
    </row>
    <row r="979" spans="5:6" x14ac:dyDescent="0.35">
      <c r="E979">
        <v>976</v>
      </c>
      <c r="F979">
        <f t="shared" ca="1" si="17"/>
        <v>-8.319324463781053E-3</v>
      </c>
    </row>
    <row r="980" spans="5:6" x14ac:dyDescent="0.35">
      <c r="E980">
        <v>977</v>
      </c>
      <c r="F980">
        <f t="shared" ca="1" si="17"/>
        <v>-7.8537933495363612E-4</v>
      </c>
    </row>
    <row r="981" spans="5:6" x14ac:dyDescent="0.35">
      <c r="E981">
        <v>978</v>
      </c>
      <c r="F981">
        <f t="shared" ca="1" si="17"/>
        <v>-1.0044068314247851E-3</v>
      </c>
    </row>
    <row r="982" spans="5:6" x14ac:dyDescent="0.35">
      <c r="E982">
        <v>979</v>
      </c>
      <c r="F982">
        <f t="shared" ca="1" si="17"/>
        <v>8.7477791719158329E-3</v>
      </c>
    </row>
    <row r="983" spans="5:6" x14ac:dyDescent="0.35">
      <c r="E983">
        <v>980</v>
      </c>
      <c r="F983">
        <f t="shared" ca="1" si="17"/>
        <v>-1.3636930548764085E-2</v>
      </c>
    </row>
    <row r="984" spans="5:6" x14ac:dyDescent="0.35">
      <c r="E984">
        <v>981</v>
      </c>
      <c r="F984">
        <f t="shared" ca="1" si="17"/>
        <v>-1.5329326814030948E-2</v>
      </c>
    </row>
    <row r="985" spans="5:6" x14ac:dyDescent="0.35">
      <c r="E985">
        <v>982</v>
      </c>
      <c r="F985">
        <f t="shared" ca="1" si="17"/>
        <v>1.5851437661870988E-2</v>
      </c>
    </row>
    <row r="986" spans="5:6" x14ac:dyDescent="0.35">
      <c r="E986">
        <v>983</v>
      </c>
      <c r="F986">
        <f t="shared" ca="1" si="17"/>
        <v>1.2794739118834688E-2</v>
      </c>
    </row>
    <row r="987" spans="5:6" x14ac:dyDescent="0.35">
      <c r="E987">
        <v>984</v>
      </c>
      <c r="F987">
        <f t="shared" ca="1" si="17"/>
        <v>1.4712818577228446E-2</v>
      </c>
    </row>
    <row r="988" spans="5:6" x14ac:dyDescent="0.35">
      <c r="E988">
        <v>985</v>
      </c>
      <c r="F988">
        <f t="shared" ca="1" si="17"/>
        <v>-6.31508439636591E-3</v>
      </c>
    </row>
    <row r="989" spans="5:6" x14ac:dyDescent="0.35">
      <c r="E989">
        <v>986</v>
      </c>
      <c r="F989">
        <f t="shared" ca="1" si="17"/>
        <v>-1.5269142151816146E-2</v>
      </c>
    </row>
    <row r="990" spans="5:6" x14ac:dyDescent="0.35">
      <c r="E990">
        <v>987</v>
      </c>
      <c r="F990">
        <f t="shared" ca="1" si="17"/>
        <v>1.1130009943031517E-2</v>
      </c>
    </row>
    <row r="991" spans="5:6" x14ac:dyDescent="0.35">
      <c r="E991">
        <v>988</v>
      </c>
      <c r="F991">
        <f t="shared" ca="1" si="17"/>
        <v>2.5926734690426014E-3</v>
      </c>
    </row>
    <row r="992" spans="5:6" x14ac:dyDescent="0.35">
      <c r="E992">
        <v>989</v>
      </c>
      <c r="F992">
        <f t="shared" ca="1" si="17"/>
        <v>4.5254667634397677E-3</v>
      </c>
    </row>
    <row r="993" spans="5:6" x14ac:dyDescent="0.35">
      <c r="E993">
        <v>990</v>
      </c>
      <c r="F993">
        <f t="shared" ca="1" si="17"/>
        <v>-9.069836987539057E-3</v>
      </c>
    </row>
    <row r="994" spans="5:6" x14ac:dyDescent="0.35">
      <c r="E994">
        <v>991</v>
      </c>
      <c r="F994">
        <f t="shared" ca="1" si="17"/>
        <v>-7.1035164646897379E-3</v>
      </c>
    </row>
    <row r="995" spans="5:6" x14ac:dyDescent="0.35">
      <c r="E995">
        <v>992</v>
      </c>
      <c r="F995">
        <f t="shared" ca="1" si="17"/>
        <v>1.373268300918975E-2</v>
      </c>
    </row>
    <row r="996" spans="5:6" x14ac:dyDescent="0.35">
      <c r="E996">
        <v>993</v>
      </c>
      <c r="F996">
        <f t="shared" ca="1" si="17"/>
        <v>1.0385500376728151E-2</v>
      </c>
    </row>
    <row r="997" spans="5:6" x14ac:dyDescent="0.35">
      <c r="E997">
        <v>994</v>
      </c>
      <c r="F997">
        <f t="shared" ca="1" si="17"/>
        <v>-1.3852454991597301E-3</v>
      </c>
    </row>
    <row r="998" spans="5:6" x14ac:dyDescent="0.35">
      <c r="E998">
        <v>995</v>
      </c>
      <c r="F998">
        <f t="shared" ca="1" si="17"/>
        <v>-6.8534997180677648E-3</v>
      </c>
    </row>
    <row r="999" spans="5:6" x14ac:dyDescent="0.35">
      <c r="E999">
        <v>996</v>
      </c>
      <c r="F999">
        <f t="shared" ca="1" si="17"/>
        <v>-9.8787479380781813E-3</v>
      </c>
    </row>
    <row r="1000" spans="5:6" x14ac:dyDescent="0.35">
      <c r="E1000">
        <v>997</v>
      </c>
      <c r="F1000">
        <f t="shared" ca="1" si="17"/>
        <v>1.0570891703748303E-3</v>
      </c>
    </row>
    <row r="1001" spans="5:6" x14ac:dyDescent="0.35">
      <c r="E1001">
        <v>998</v>
      </c>
      <c r="F1001">
        <f t="shared" ca="1" si="17"/>
        <v>-4.1076916009034257E-2</v>
      </c>
    </row>
    <row r="1002" spans="5:6" x14ac:dyDescent="0.35">
      <c r="E1002">
        <v>999</v>
      </c>
      <c r="F1002">
        <f t="shared" ca="1" si="17"/>
        <v>1.7654913172102375E-2</v>
      </c>
    </row>
    <row r="1003" spans="5:6" x14ac:dyDescent="0.35">
      <c r="E1003">
        <v>1000</v>
      </c>
      <c r="F1003">
        <f t="shared" ca="1" si="17"/>
        <v>-1.1813303651440593E-2</v>
      </c>
    </row>
    <row r="1004" spans="5:6" x14ac:dyDescent="0.35">
      <c r="E1004">
        <v>1001</v>
      </c>
      <c r="F1004">
        <f t="shared" ca="1" si="17"/>
        <v>4.3631037374216586E-3</v>
      </c>
    </row>
    <row r="1005" spans="5:6" x14ac:dyDescent="0.35">
      <c r="E1005">
        <v>1002</v>
      </c>
      <c r="F1005">
        <f t="shared" ca="1" si="17"/>
        <v>-1.1850705216103631E-2</v>
      </c>
    </row>
    <row r="1006" spans="5:6" x14ac:dyDescent="0.35">
      <c r="E1006">
        <v>1003</v>
      </c>
      <c r="F1006">
        <f t="shared" ca="1" si="17"/>
        <v>-1.5431138582041469E-3</v>
      </c>
    </row>
    <row r="1007" spans="5:6" x14ac:dyDescent="0.35">
      <c r="E1007">
        <v>1004</v>
      </c>
      <c r="F1007">
        <f t="shared" ca="1" si="17"/>
        <v>8.4087927870834713E-3</v>
      </c>
    </row>
    <row r="1008" spans="5:6" x14ac:dyDescent="0.35">
      <c r="E1008">
        <v>1005</v>
      </c>
      <c r="F1008">
        <f t="shared" ca="1" si="17"/>
        <v>1.3815925373672084E-2</v>
      </c>
    </row>
    <row r="1009" spans="5:6" x14ac:dyDescent="0.35">
      <c r="E1009">
        <v>1006</v>
      </c>
      <c r="F1009">
        <f t="shared" ca="1" si="17"/>
        <v>-8.0702155240287808E-3</v>
      </c>
    </row>
    <row r="1010" spans="5:6" x14ac:dyDescent="0.35">
      <c r="E1010">
        <v>1007</v>
      </c>
      <c r="F1010">
        <f t="shared" ca="1" si="17"/>
        <v>3.5794573531806352E-2</v>
      </c>
    </row>
    <row r="1011" spans="5:6" x14ac:dyDescent="0.35">
      <c r="E1011">
        <v>1008</v>
      </c>
      <c r="F1011">
        <f t="shared" ca="1" si="17"/>
        <v>4.6971622331682932E-3</v>
      </c>
    </row>
    <row r="1012" spans="5:6" x14ac:dyDescent="0.35">
      <c r="E1012">
        <v>1009</v>
      </c>
      <c r="F1012">
        <f t="shared" ca="1" si="17"/>
        <v>-1.8420597737736917E-2</v>
      </c>
    </row>
    <row r="1013" spans="5:6" x14ac:dyDescent="0.35">
      <c r="E1013">
        <v>1010</v>
      </c>
      <c r="F1013">
        <f t="shared" ca="1" si="17"/>
        <v>7.0953209753225419E-3</v>
      </c>
    </row>
    <row r="1014" spans="5:6" x14ac:dyDescent="0.35">
      <c r="E1014">
        <v>1011</v>
      </c>
      <c r="F1014">
        <f t="shared" ca="1" si="17"/>
        <v>-1.8759531050656138E-3</v>
      </c>
    </row>
    <row r="1015" spans="5:6" x14ac:dyDescent="0.35">
      <c r="E1015">
        <v>1012</v>
      </c>
      <c r="F1015">
        <f t="shared" ca="1" si="17"/>
        <v>8.2533882443183975E-3</v>
      </c>
    </row>
    <row r="1016" spans="5:6" x14ac:dyDescent="0.35">
      <c r="E1016">
        <v>1013</v>
      </c>
      <c r="F1016">
        <f t="shared" ca="1" si="17"/>
        <v>5.7836462118258884E-3</v>
      </c>
    </row>
    <row r="1017" spans="5:6" x14ac:dyDescent="0.35">
      <c r="E1017">
        <v>1014</v>
      </c>
      <c r="F1017">
        <f t="shared" ca="1" si="17"/>
        <v>-4.4756017540159114E-3</v>
      </c>
    </row>
    <row r="1018" spans="5:6" x14ac:dyDescent="0.35">
      <c r="E1018">
        <v>1015</v>
      </c>
      <c r="F1018">
        <f t="shared" ca="1" si="17"/>
        <v>3.7621489483166168E-2</v>
      </c>
    </row>
    <row r="1019" spans="5:6" x14ac:dyDescent="0.35">
      <c r="E1019">
        <v>1016</v>
      </c>
      <c r="F1019">
        <f t="shared" ca="1" si="17"/>
        <v>1.6852346848637078E-2</v>
      </c>
    </row>
    <row r="1020" spans="5:6" x14ac:dyDescent="0.35">
      <c r="E1020">
        <v>1017</v>
      </c>
      <c r="F1020">
        <f t="shared" ca="1" si="17"/>
        <v>1.6320893928113579E-2</v>
      </c>
    </row>
    <row r="1021" spans="5:6" x14ac:dyDescent="0.35">
      <c r="E1021">
        <v>1018</v>
      </c>
      <c r="F1021">
        <f t="shared" ca="1" si="17"/>
        <v>-3.0723359032144744E-2</v>
      </c>
    </row>
    <row r="1022" spans="5:6" x14ac:dyDescent="0.35">
      <c r="E1022">
        <v>1019</v>
      </c>
      <c r="F1022">
        <f t="shared" ca="1" si="17"/>
        <v>1.3430435026212821E-2</v>
      </c>
    </row>
    <row r="1023" spans="5:6" x14ac:dyDescent="0.35">
      <c r="E1023">
        <v>1020</v>
      </c>
      <c r="F1023">
        <f t="shared" ca="1" si="17"/>
        <v>-3.6609412747333661E-2</v>
      </c>
    </row>
    <row r="1024" spans="5:6" x14ac:dyDescent="0.35">
      <c r="E1024">
        <v>1021</v>
      </c>
      <c r="F1024">
        <f t="shared" ca="1" si="17"/>
        <v>1.2353925685409067E-3</v>
      </c>
    </row>
    <row r="1025" spans="5:6" x14ac:dyDescent="0.35">
      <c r="E1025">
        <v>1022</v>
      </c>
      <c r="F1025">
        <f t="shared" ca="1" si="17"/>
        <v>-3.2715782825248535E-2</v>
      </c>
    </row>
    <row r="1026" spans="5:6" x14ac:dyDescent="0.35">
      <c r="E1026">
        <v>1023</v>
      </c>
      <c r="F1026">
        <f t="shared" ca="1" si="17"/>
        <v>-5.4116492602354566E-3</v>
      </c>
    </row>
    <row r="1027" spans="5:6" x14ac:dyDescent="0.35">
      <c r="E1027">
        <v>1024</v>
      </c>
      <c r="F1027">
        <f t="shared" ca="1" si="17"/>
        <v>1.2028599311778859E-2</v>
      </c>
    </row>
    <row r="1028" spans="5:6" x14ac:dyDescent="0.35">
      <c r="E1028">
        <v>1025</v>
      </c>
      <c r="F1028">
        <f t="shared" ca="1" si="17"/>
        <v>-2.2111602981451192E-2</v>
      </c>
    </row>
    <row r="1029" spans="5:6" x14ac:dyDescent="0.35">
      <c r="E1029">
        <v>1026</v>
      </c>
      <c r="F1029">
        <f t="shared" ref="F1029:F1092" ca="1" si="18">_xlfn.NORM.INV(RAND(),M$6,M$7)</f>
        <v>2.2528865053109123E-2</v>
      </c>
    </row>
    <row r="1030" spans="5:6" x14ac:dyDescent="0.35">
      <c r="E1030">
        <v>1027</v>
      </c>
      <c r="F1030">
        <f t="shared" ca="1" si="18"/>
        <v>-2.7722099482654383E-3</v>
      </c>
    </row>
    <row r="1031" spans="5:6" x14ac:dyDescent="0.35">
      <c r="E1031">
        <v>1028</v>
      </c>
      <c r="F1031">
        <f t="shared" ca="1" si="18"/>
        <v>1.7532117493862724E-3</v>
      </c>
    </row>
    <row r="1032" spans="5:6" x14ac:dyDescent="0.35">
      <c r="E1032">
        <v>1029</v>
      </c>
      <c r="F1032">
        <f t="shared" ca="1" si="18"/>
        <v>-8.2592540626519589E-3</v>
      </c>
    </row>
    <row r="1033" spans="5:6" x14ac:dyDescent="0.35">
      <c r="E1033">
        <v>1030</v>
      </c>
      <c r="F1033">
        <f t="shared" ca="1" si="18"/>
        <v>1.1473614151723738E-2</v>
      </c>
    </row>
    <row r="1034" spans="5:6" x14ac:dyDescent="0.35">
      <c r="E1034">
        <v>1031</v>
      </c>
      <c r="F1034">
        <f t="shared" ca="1" si="18"/>
        <v>-8.9409527937480675E-3</v>
      </c>
    </row>
    <row r="1035" spans="5:6" x14ac:dyDescent="0.35">
      <c r="E1035">
        <v>1032</v>
      </c>
      <c r="F1035">
        <f t="shared" ca="1" si="18"/>
        <v>-6.7355576944101462E-3</v>
      </c>
    </row>
    <row r="1036" spans="5:6" x14ac:dyDescent="0.35">
      <c r="E1036">
        <v>1033</v>
      </c>
      <c r="F1036">
        <f t="shared" ca="1" si="18"/>
        <v>1.0423518302752446E-2</v>
      </c>
    </row>
    <row r="1037" spans="5:6" x14ac:dyDescent="0.35">
      <c r="E1037">
        <v>1034</v>
      </c>
      <c r="F1037">
        <f t="shared" ca="1" si="18"/>
        <v>2.9303651649970425E-2</v>
      </c>
    </row>
    <row r="1038" spans="5:6" x14ac:dyDescent="0.35">
      <c r="E1038">
        <v>1035</v>
      </c>
      <c r="F1038">
        <f t="shared" ca="1" si="18"/>
        <v>-5.6059645907070559E-3</v>
      </c>
    </row>
    <row r="1039" spans="5:6" x14ac:dyDescent="0.35">
      <c r="E1039">
        <v>1036</v>
      </c>
      <c r="F1039">
        <f t="shared" ca="1" si="18"/>
        <v>1.9152613058950278E-2</v>
      </c>
    </row>
    <row r="1040" spans="5:6" x14ac:dyDescent="0.35">
      <c r="E1040">
        <v>1037</v>
      </c>
      <c r="F1040">
        <f t="shared" ca="1" si="18"/>
        <v>1.3623658303660007E-2</v>
      </c>
    </row>
    <row r="1041" spans="5:6" x14ac:dyDescent="0.35">
      <c r="E1041">
        <v>1038</v>
      </c>
      <c r="F1041">
        <f t="shared" ca="1" si="18"/>
        <v>-2.0353809066003436E-2</v>
      </c>
    </row>
    <row r="1042" spans="5:6" x14ac:dyDescent="0.35">
      <c r="E1042">
        <v>1039</v>
      </c>
      <c r="F1042">
        <f t="shared" ca="1" si="18"/>
        <v>-8.4156844943329961E-3</v>
      </c>
    </row>
    <row r="1043" spans="5:6" x14ac:dyDescent="0.35">
      <c r="E1043">
        <v>1040</v>
      </c>
      <c r="F1043">
        <f t="shared" ca="1" si="18"/>
        <v>-1.5213668660203877E-2</v>
      </c>
    </row>
    <row r="1044" spans="5:6" x14ac:dyDescent="0.35">
      <c r="E1044">
        <v>1041</v>
      </c>
      <c r="F1044">
        <f t="shared" ca="1" si="18"/>
        <v>2.2293946295440143E-2</v>
      </c>
    </row>
    <row r="1045" spans="5:6" x14ac:dyDescent="0.35">
      <c r="E1045">
        <v>1042</v>
      </c>
      <c r="F1045">
        <f t="shared" ca="1" si="18"/>
        <v>1.9084466209314626E-2</v>
      </c>
    </row>
    <row r="1046" spans="5:6" x14ac:dyDescent="0.35">
      <c r="E1046">
        <v>1043</v>
      </c>
      <c r="F1046">
        <f t="shared" ca="1" si="18"/>
        <v>2.2921154707939036E-2</v>
      </c>
    </row>
    <row r="1047" spans="5:6" x14ac:dyDescent="0.35">
      <c r="E1047">
        <v>1044</v>
      </c>
      <c r="F1047">
        <f t="shared" ca="1" si="18"/>
        <v>1.9612808522790053E-2</v>
      </c>
    </row>
    <row r="1048" spans="5:6" x14ac:dyDescent="0.35">
      <c r="E1048">
        <v>1045</v>
      </c>
      <c r="F1048">
        <f t="shared" ca="1" si="18"/>
        <v>-1.2663790520072462E-2</v>
      </c>
    </row>
    <row r="1049" spans="5:6" x14ac:dyDescent="0.35">
      <c r="E1049">
        <v>1046</v>
      </c>
      <c r="F1049">
        <f t="shared" ca="1" si="18"/>
        <v>-5.9004329814257208E-3</v>
      </c>
    </row>
    <row r="1050" spans="5:6" x14ac:dyDescent="0.35">
      <c r="E1050">
        <v>1047</v>
      </c>
      <c r="F1050">
        <f t="shared" ca="1" si="18"/>
        <v>-2.3019172335668154E-2</v>
      </c>
    </row>
    <row r="1051" spans="5:6" x14ac:dyDescent="0.35">
      <c r="E1051">
        <v>1048</v>
      </c>
      <c r="F1051">
        <f t="shared" ca="1" si="18"/>
        <v>1.5722590208124013E-2</v>
      </c>
    </row>
    <row r="1052" spans="5:6" x14ac:dyDescent="0.35">
      <c r="E1052">
        <v>1049</v>
      </c>
      <c r="F1052">
        <f t="shared" ca="1" si="18"/>
        <v>-1.5768921703389695E-2</v>
      </c>
    </row>
    <row r="1053" spans="5:6" x14ac:dyDescent="0.35">
      <c r="E1053">
        <v>1050</v>
      </c>
      <c r="F1053">
        <f t="shared" ca="1" si="18"/>
        <v>-1.5511867146867531E-2</v>
      </c>
    </row>
    <row r="1054" spans="5:6" x14ac:dyDescent="0.35">
      <c r="E1054">
        <v>1051</v>
      </c>
      <c r="F1054">
        <f t="shared" ca="1" si="18"/>
        <v>-3.6790750633395901E-3</v>
      </c>
    </row>
    <row r="1055" spans="5:6" x14ac:dyDescent="0.35">
      <c r="E1055">
        <v>1052</v>
      </c>
      <c r="F1055">
        <f t="shared" ca="1" si="18"/>
        <v>1.3431372886575832E-3</v>
      </c>
    </row>
    <row r="1056" spans="5:6" x14ac:dyDescent="0.35">
      <c r="E1056">
        <v>1053</v>
      </c>
      <c r="F1056">
        <f t="shared" ca="1" si="18"/>
        <v>-4.3333422709961027E-3</v>
      </c>
    </row>
    <row r="1057" spans="5:6" x14ac:dyDescent="0.35">
      <c r="E1057">
        <v>1054</v>
      </c>
      <c r="F1057">
        <f t="shared" ca="1" si="18"/>
        <v>-1.2967508910836277E-2</v>
      </c>
    </row>
    <row r="1058" spans="5:6" x14ac:dyDescent="0.35">
      <c r="E1058">
        <v>1055</v>
      </c>
      <c r="F1058">
        <f t="shared" ca="1" si="18"/>
        <v>-3.534516116461927E-2</v>
      </c>
    </row>
    <row r="1059" spans="5:6" x14ac:dyDescent="0.35">
      <c r="E1059">
        <v>1056</v>
      </c>
      <c r="F1059">
        <f t="shared" ca="1" si="18"/>
        <v>-2.0307236790363951E-2</v>
      </c>
    </row>
    <row r="1060" spans="5:6" x14ac:dyDescent="0.35">
      <c r="E1060">
        <v>1057</v>
      </c>
      <c r="F1060">
        <f t="shared" ca="1" si="18"/>
        <v>4.3286033283487513E-3</v>
      </c>
    </row>
    <row r="1061" spans="5:6" x14ac:dyDescent="0.35">
      <c r="E1061">
        <v>1058</v>
      </c>
      <c r="F1061">
        <f t="shared" ca="1" si="18"/>
        <v>-1.735465300498585E-2</v>
      </c>
    </row>
    <row r="1062" spans="5:6" x14ac:dyDescent="0.35">
      <c r="E1062">
        <v>1059</v>
      </c>
      <c r="F1062">
        <f t="shared" ca="1" si="18"/>
        <v>-1.3313678875420273E-2</v>
      </c>
    </row>
    <row r="1063" spans="5:6" x14ac:dyDescent="0.35">
      <c r="E1063">
        <v>1060</v>
      </c>
      <c r="F1063">
        <f t="shared" ca="1" si="18"/>
        <v>-1.7698519546061513E-3</v>
      </c>
    </row>
    <row r="1064" spans="5:6" x14ac:dyDescent="0.35">
      <c r="E1064">
        <v>1061</v>
      </c>
      <c r="F1064">
        <f t="shared" ca="1" si="18"/>
        <v>2.5102198779411222E-2</v>
      </c>
    </row>
    <row r="1065" spans="5:6" x14ac:dyDescent="0.35">
      <c r="E1065">
        <v>1062</v>
      </c>
      <c r="F1065">
        <f t="shared" ca="1" si="18"/>
        <v>-2.3650559742063346E-2</v>
      </c>
    </row>
    <row r="1066" spans="5:6" x14ac:dyDescent="0.35">
      <c r="E1066">
        <v>1063</v>
      </c>
      <c r="F1066">
        <f t="shared" ca="1" si="18"/>
        <v>-6.2268673703358059E-3</v>
      </c>
    </row>
    <row r="1067" spans="5:6" x14ac:dyDescent="0.35">
      <c r="E1067">
        <v>1064</v>
      </c>
      <c r="F1067">
        <f t="shared" ca="1" si="18"/>
        <v>2.7793781960255672E-3</v>
      </c>
    </row>
    <row r="1068" spans="5:6" x14ac:dyDescent="0.35">
      <c r="E1068">
        <v>1065</v>
      </c>
      <c r="F1068">
        <f t="shared" ca="1" si="18"/>
        <v>-5.3868041059745514E-3</v>
      </c>
    </row>
    <row r="1069" spans="5:6" x14ac:dyDescent="0.35">
      <c r="E1069">
        <v>1066</v>
      </c>
      <c r="F1069">
        <f t="shared" ca="1" si="18"/>
        <v>-6.9244240336255132E-3</v>
      </c>
    </row>
    <row r="1070" spans="5:6" x14ac:dyDescent="0.35">
      <c r="E1070">
        <v>1067</v>
      </c>
      <c r="F1070">
        <f t="shared" ca="1" si="18"/>
        <v>1.4922963991075155E-2</v>
      </c>
    </row>
    <row r="1071" spans="5:6" x14ac:dyDescent="0.35">
      <c r="E1071">
        <v>1068</v>
      </c>
      <c r="F1071">
        <f t="shared" ca="1" si="18"/>
        <v>2.8452124504388367E-2</v>
      </c>
    </row>
    <row r="1072" spans="5:6" x14ac:dyDescent="0.35">
      <c r="E1072">
        <v>1069</v>
      </c>
      <c r="F1072">
        <f t="shared" ca="1" si="18"/>
        <v>-8.5501400488267754E-3</v>
      </c>
    </row>
    <row r="1073" spans="5:6" x14ac:dyDescent="0.35">
      <c r="E1073">
        <v>1070</v>
      </c>
      <c r="F1073">
        <f t="shared" ca="1" si="18"/>
        <v>-1.1280306825662606E-2</v>
      </c>
    </row>
    <row r="1074" spans="5:6" x14ac:dyDescent="0.35">
      <c r="E1074">
        <v>1071</v>
      </c>
      <c r="F1074">
        <f t="shared" ca="1" si="18"/>
        <v>6.0530045389145465E-3</v>
      </c>
    </row>
    <row r="1075" spans="5:6" x14ac:dyDescent="0.35">
      <c r="E1075">
        <v>1072</v>
      </c>
      <c r="F1075">
        <f t="shared" ca="1" si="18"/>
        <v>1.617251519669918E-2</v>
      </c>
    </row>
    <row r="1076" spans="5:6" x14ac:dyDescent="0.35">
      <c r="E1076">
        <v>1073</v>
      </c>
      <c r="F1076">
        <f t="shared" ca="1" si="18"/>
        <v>-1.2382098363523983E-2</v>
      </c>
    </row>
    <row r="1077" spans="5:6" x14ac:dyDescent="0.35">
      <c r="E1077">
        <v>1074</v>
      </c>
      <c r="F1077">
        <f t="shared" ca="1" si="18"/>
        <v>-1.2190163585237683E-2</v>
      </c>
    </row>
    <row r="1078" spans="5:6" x14ac:dyDescent="0.35">
      <c r="E1078">
        <v>1075</v>
      </c>
      <c r="F1078">
        <f t="shared" ca="1" si="18"/>
        <v>-8.1943260826587497E-3</v>
      </c>
    </row>
    <row r="1079" spans="5:6" x14ac:dyDescent="0.35">
      <c r="E1079">
        <v>1076</v>
      </c>
      <c r="F1079">
        <f t="shared" ca="1" si="18"/>
        <v>-1.6944646250941192E-2</v>
      </c>
    </row>
    <row r="1080" spans="5:6" x14ac:dyDescent="0.35">
      <c r="E1080">
        <v>1077</v>
      </c>
      <c r="F1080">
        <f t="shared" ca="1" si="18"/>
        <v>1.8857043019787113E-2</v>
      </c>
    </row>
    <row r="1081" spans="5:6" x14ac:dyDescent="0.35">
      <c r="E1081">
        <v>1078</v>
      </c>
      <c r="F1081">
        <f t="shared" ca="1" si="18"/>
        <v>1.1094820671238025E-2</v>
      </c>
    </row>
    <row r="1082" spans="5:6" x14ac:dyDescent="0.35">
      <c r="E1082">
        <v>1079</v>
      </c>
      <c r="F1082">
        <f t="shared" ca="1" si="18"/>
        <v>-1.630167489594982E-2</v>
      </c>
    </row>
    <row r="1083" spans="5:6" x14ac:dyDescent="0.35">
      <c r="E1083">
        <v>1080</v>
      </c>
      <c r="F1083">
        <f t="shared" ca="1" si="18"/>
        <v>3.3479024701300107E-3</v>
      </c>
    </row>
    <row r="1084" spans="5:6" x14ac:dyDescent="0.35">
      <c r="E1084">
        <v>1081</v>
      </c>
      <c r="F1084">
        <f t="shared" ca="1" si="18"/>
        <v>-4.4609289594184781E-3</v>
      </c>
    </row>
    <row r="1085" spans="5:6" x14ac:dyDescent="0.35">
      <c r="E1085">
        <v>1082</v>
      </c>
      <c r="F1085">
        <f t="shared" ca="1" si="18"/>
        <v>3.3874245820775038E-3</v>
      </c>
    </row>
    <row r="1086" spans="5:6" x14ac:dyDescent="0.35">
      <c r="E1086">
        <v>1083</v>
      </c>
      <c r="F1086">
        <f t="shared" ca="1" si="18"/>
        <v>3.4634172394344322E-3</v>
      </c>
    </row>
    <row r="1087" spans="5:6" x14ac:dyDescent="0.35">
      <c r="E1087">
        <v>1084</v>
      </c>
      <c r="F1087">
        <f t="shared" ca="1" si="18"/>
        <v>6.4630245045478501E-3</v>
      </c>
    </row>
    <row r="1088" spans="5:6" x14ac:dyDescent="0.35">
      <c r="E1088">
        <v>1085</v>
      </c>
      <c r="F1088">
        <f t="shared" ca="1" si="18"/>
        <v>8.9890277370486306E-3</v>
      </c>
    </row>
    <row r="1089" spans="5:6" x14ac:dyDescent="0.35">
      <c r="E1089">
        <v>1086</v>
      </c>
      <c r="F1089">
        <f t="shared" ca="1" si="18"/>
        <v>5.0485585148934108E-3</v>
      </c>
    </row>
    <row r="1090" spans="5:6" x14ac:dyDescent="0.35">
      <c r="E1090">
        <v>1087</v>
      </c>
      <c r="F1090">
        <f t="shared" ca="1" si="18"/>
        <v>-2.5538326908366941E-2</v>
      </c>
    </row>
    <row r="1091" spans="5:6" x14ac:dyDescent="0.35">
      <c r="E1091">
        <v>1088</v>
      </c>
      <c r="F1091">
        <f t="shared" ca="1" si="18"/>
        <v>4.2916552456968562E-3</v>
      </c>
    </row>
    <row r="1092" spans="5:6" x14ac:dyDescent="0.35">
      <c r="E1092">
        <v>1089</v>
      </c>
      <c r="F1092">
        <f t="shared" ca="1" si="18"/>
        <v>-2.2432413943894895E-2</v>
      </c>
    </row>
    <row r="1093" spans="5:6" x14ac:dyDescent="0.35">
      <c r="E1093">
        <v>1090</v>
      </c>
      <c r="F1093">
        <f t="shared" ref="F1093:F1156" ca="1" si="19">_xlfn.NORM.INV(RAND(),M$6,M$7)</f>
        <v>-3.5559136091220687E-3</v>
      </c>
    </row>
    <row r="1094" spans="5:6" x14ac:dyDescent="0.35">
      <c r="E1094">
        <v>1091</v>
      </c>
      <c r="F1094">
        <f t="shared" ca="1" si="19"/>
        <v>-9.8591947596287886E-3</v>
      </c>
    </row>
    <row r="1095" spans="5:6" x14ac:dyDescent="0.35">
      <c r="E1095">
        <v>1092</v>
      </c>
      <c r="F1095">
        <f t="shared" ca="1" si="19"/>
        <v>9.7151574167328794E-3</v>
      </c>
    </row>
    <row r="1096" spans="5:6" x14ac:dyDescent="0.35">
      <c r="E1096">
        <v>1093</v>
      </c>
      <c r="F1096">
        <f t="shared" ca="1" si="19"/>
        <v>7.7019621692637407E-3</v>
      </c>
    </row>
    <row r="1097" spans="5:6" x14ac:dyDescent="0.35">
      <c r="E1097">
        <v>1094</v>
      </c>
      <c r="F1097">
        <f t="shared" ca="1" si="19"/>
        <v>1.1477406920233583E-2</v>
      </c>
    </row>
    <row r="1098" spans="5:6" x14ac:dyDescent="0.35">
      <c r="E1098">
        <v>1095</v>
      </c>
      <c r="F1098">
        <f t="shared" ca="1" si="19"/>
        <v>-1.2581926672515373E-2</v>
      </c>
    </row>
    <row r="1099" spans="5:6" x14ac:dyDescent="0.35">
      <c r="E1099">
        <v>1096</v>
      </c>
      <c r="F1099">
        <f t="shared" ca="1" si="19"/>
        <v>4.5137389454410533E-3</v>
      </c>
    </row>
    <row r="1100" spans="5:6" x14ac:dyDescent="0.35">
      <c r="E1100">
        <v>1097</v>
      </c>
      <c r="F1100">
        <f t="shared" ca="1" si="19"/>
        <v>-5.7107651338073702E-3</v>
      </c>
    </row>
    <row r="1101" spans="5:6" x14ac:dyDescent="0.35">
      <c r="E1101">
        <v>1098</v>
      </c>
      <c r="F1101">
        <f t="shared" ca="1" si="19"/>
        <v>-1.3824097016193561E-2</v>
      </c>
    </row>
    <row r="1102" spans="5:6" x14ac:dyDescent="0.35">
      <c r="E1102">
        <v>1099</v>
      </c>
      <c r="F1102">
        <f t="shared" ca="1" si="19"/>
        <v>-8.3494704745045475E-4</v>
      </c>
    </row>
    <row r="1103" spans="5:6" x14ac:dyDescent="0.35">
      <c r="E1103">
        <v>1100</v>
      </c>
      <c r="F1103">
        <f t="shared" ca="1" si="19"/>
        <v>2.3347567280094194E-2</v>
      </c>
    </row>
    <row r="1104" spans="5:6" x14ac:dyDescent="0.35">
      <c r="E1104">
        <v>1101</v>
      </c>
      <c r="F1104">
        <f t="shared" ca="1" si="19"/>
        <v>-1.3105284050039762E-2</v>
      </c>
    </row>
    <row r="1105" spans="5:6" x14ac:dyDescent="0.35">
      <c r="E1105">
        <v>1102</v>
      </c>
      <c r="F1105">
        <f t="shared" ca="1" si="19"/>
        <v>-2.017951490872754E-2</v>
      </c>
    </row>
    <row r="1106" spans="5:6" x14ac:dyDescent="0.35">
      <c r="E1106">
        <v>1103</v>
      </c>
      <c r="F1106">
        <f t="shared" ca="1" si="19"/>
        <v>-1.6496881542715475E-2</v>
      </c>
    </row>
    <row r="1107" spans="5:6" x14ac:dyDescent="0.35">
      <c r="E1107">
        <v>1104</v>
      </c>
      <c r="F1107">
        <f t="shared" ca="1" si="19"/>
        <v>-7.4415433568180535E-3</v>
      </c>
    </row>
    <row r="1108" spans="5:6" x14ac:dyDescent="0.35">
      <c r="E1108">
        <v>1105</v>
      </c>
      <c r="F1108">
        <f t="shared" ca="1" si="19"/>
        <v>1.6260981167302807E-3</v>
      </c>
    </row>
    <row r="1109" spans="5:6" x14ac:dyDescent="0.35">
      <c r="E1109">
        <v>1106</v>
      </c>
      <c r="F1109">
        <f t="shared" ca="1" si="19"/>
        <v>1.8786265429858926E-2</v>
      </c>
    </row>
    <row r="1110" spans="5:6" x14ac:dyDescent="0.35">
      <c r="E1110">
        <v>1107</v>
      </c>
      <c r="F1110">
        <f t="shared" ca="1" si="19"/>
        <v>-9.2799618031425852E-3</v>
      </c>
    </row>
    <row r="1111" spans="5:6" x14ac:dyDescent="0.35">
      <c r="E1111">
        <v>1108</v>
      </c>
      <c r="F1111">
        <f t="shared" ca="1" si="19"/>
        <v>1.1276401777019602E-2</v>
      </c>
    </row>
    <row r="1112" spans="5:6" x14ac:dyDescent="0.35">
      <c r="E1112">
        <v>1109</v>
      </c>
      <c r="F1112">
        <f t="shared" ca="1" si="19"/>
        <v>-8.9689171936786528E-3</v>
      </c>
    </row>
    <row r="1113" spans="5:6" x14ac:dyDescent="0.35">
      <c r="E1113">
        <v>1110</v>
      </c>
      <c r="F1113">
        <f t="shared" ca="1" si="19"/>
        <v>1.488744427010708E-2</v>
      </c>
    </row>
    <row r="1114" spans="5:6" x14ac:dyDescent="0.35">
      <c r="E1114">
        <v>1111</v>
      </c>
      <c r="F1114">
        <f t="shared" ca="1" si="19"/>
        <v>-1.4616327518299662E-2</v>
      </c>
    </row>
    <row r="1115" spans="5:6" x14ac:dyDescent="0.35">
      <c r="E1115">
        <v>1112</v>
      </c>
      <c r="F1115">
        <f t="shared" ca="1" si="19"/>
        <v>2.4495659960096797E-2</v>
      </c>
    </row>
    <row r="1116" spans="5:6" x14ac:dyDescent="0.35">
      <c r="E1116">
        <v>1113</v>
      </c>
      <c r="F1116">
        <f t="shared" ca="1" si="19"/>
        <v>5.8551206600372307E-3</v>
      </c>
    </row>
    <row r="1117" spans="5:6" x14ac:dyDescent="0.35">
      <c r="E1117">
        <v>1114</v>
      </c>
      <c r="F1117">
        <f t="shared" ca="1" si="19"/>
        <v>-1.0475576026784551E-2</v>
      </c>
    </row>
    <row r="1118" spans="5:6" x14ac:dyDescent="0.35">
      <c r="E1118">
        <v>1115</v>
      </c>
      <c r="F1118">
        <f t="shared" ca="1" si="19"/>
        <v>-1.2497744003641844E-2</v>
      </c>
    </row>
    <row r="1119" spans="5:6" x14ac:dyDescent="0.35">
      <c r="E1119">
        <v>1116</v>
      </c>
      <c r="F1119">
        <f t="shared" ca="1" si="19"/>
        <v>-1.9695987862021124E-3</v>
      </c>
    </row>
    <row r="1120" spans="5:6" x14ac:dyDescent="0.35">
      <c r="E1120">
        <v>1117</v>
      </c>
      <c r="F1120">
        <f t="shared" ca="1" si="19"/>
        <v>-4.563559115480708E-2</v>
      </c>
    </row>
    <row r="1121" spans="5:6" x14ac:dyDescent="0.35">
      <c r="E1121">
        <v>1118</v>
      </c>
      <c r="F1121">
        <f t="shared" ca="1" si="19"/>
        <v>-1.978912582495301E-2</v>
      </c>
    </row>
    <row r="1122" spans="5:6" x14ac:dyDescent="0.35">
      <c r="E1122">
        <v>1119</v>
      </c>
      <c r="F1122">
        <f t="shared" ca="1" si="19"/>
        <v>-2.5986505484842475E-2</v>
      </c>
    </row>
    <row r="1123" spans="5:6" x14ac:dyDescent="0.35">
      <c r="E1123">
        <v>1120</v>
      </c>
      <c r="F1123">
        <f t="shared" ca="1" si="19"/>
        <v>-1.6481407662142279E-2</v>
      </c>
    </row>
    <row r="1124" spans="5:6" x14ac:dyDescent="0.35">
      <c r="E1124">
        <v>1121</v>
      </c>
      <c r="F1124">
        <f t="shared" ca="1" si="19"/>
        <v>1.7122888855975637E-2</v>
      </c>
    </row>
    <row r="1125" spans="5:6" x14ac:dyDescent="0.35">
      <c r="E1125">
        <v>1122</v>
      </c>
      <c r="F1125">
        <f t="shared" ca="1" si="19"/>
        <v>7.363345107199994E-3</v>
      </c>
    </row>
    <row r="1126" spans="5:6" x14ac:dyDescent="0.35">
      <c r="E1126">
        <v>1123</v>
      </c>
      <c r="F1126">
        <f t="shared" ca="1" si="19"/>
        <v>6.4343085798378007E-3</v>
      </c>
    </row>
    <row r="1127" spans="5:6" x14ac:dyDescent="0.35">
      <c r="E1127">
        <v>1124</v>
      </c>
      <c r="F1127">
        <f t="shared" ca="1" si="19"/>
        <v>-4.0973520692124147E-3</v>
      </c>
    </row>
    <row r="1128" spans="5:6" x14ac:dyDescent="0.35">
      <c r="E1128">
        <v>1125</v>
      </c>
      <c r="F1128">
        <f t="shared" ca="1" si="19"/>
        <v>1.1186075504558688E-2</v>
      </c>
    </row>
    <row r="1129" spans="5:6" x14ac:dyDescent="0.35">
      <c r="E1129">
        <v>1126</v>
      </c>
      <c r="F1129">
        <f t="shared" ca="1" si="19"/>
        <v>4.9398413523233445E-3</v>
      </c>
    </row>
    <row r="1130" spans="5:6" x14ac:dyDescent="0.35">
      <c r="E1130">
        <v>1127</v>
      </c>
      <c r="F1130">
        <f t="shared" ca="1" si="19"/>
        <v>-5.8488797260199338E-3</v>
      </c>
    </row>
    <row r="1131" spans="5:6" x14ac:dyDescent="0.35">
      <c r="E1131">
        <v>1128</v>
      </c>
      <c r="F1131">
        <f t="shared" ca="1" si="19"/>
        <v>1.528530404765175E-2</v>
      </c>
    </row>
    <row r="1132" spans="5:6" x14ac:dyDescent="0.35">
      <c r="E1132">
        <v>1129</v>
      </c>
      <c r="F1132">
        <f t="shared" ca="1" si="19"/>
        <v>1.1224736354917048E-2</v>
      </c>
    </row>
    <row r="1133" spans="5:6" x14ac:dyDescent="0.35">
      <c r="E1133">
        <v>1130</v>
      </c>
      <c r="F1133">
        <f t="shared" ca="1" si="19"/>
        <v>-4.3844483049220841E-3</v>
      </c>
    </row>
    <row r="1134" spans="5:6" x14ac:dyDescent="0.35">
      <c r="E1134">
        <v>1131</v>
      </c>
      <c r="F1134">
        <f t="shared" ca="1" si="19"/>
        <v>-1.4484043108856448E-2</v>
      </c>
    </row>
    <row r="1135" spans="5:6" x14ac:dyDescent="0.35">
      <c r="E1135">
        <v>1132</v>
      </c>
      <c r="F1135">
        <f t="shared" ca="1" si="19"/>
        <v>-7.1641225443183007E-3</v>
      </c>
    </row>
    <row r="1136" spans="5:6" x14ac:dyDescent="0.35">
      <c r="E1136">
        <v>1133</v>
      </c>
      <c r="F1136">
        <f t="shared" ca="1" si="19"/>
        <v>-1.0329222574861708E-2</v>
      </c>
    </row>
    <row r="1137" spans="5:6" x14ac:dyDescent="0.35">
      <c r="E1137">
        <v>1134</v>
      </c>
      <c r="F1137">
        <f t="shared" ca="1" si="19"/>
        <v>-9.3046252058326725E-3</v>
      </c>
    </row>
    <row r="1138" spans="5:6" x14ac:dyDescent="0.35">
      <c r="E1138">
        <v>1135</v>
      </c>
      <c r="F1138">
        <f t="shared" ca="1" si="19"/>
        <v>-9.1645523217840693E-3</v>
      </c>
    </row>
    <row r="1139" spans="5:6" x14ac:dyDescent="0.35">
      <c r="E1139">
        <v>1136</v>
      </c>
      <c r="F1139">
        <f t="shared" ca="1" si="19"/>
        <v>-4.8252826918235067E-3</v>
      </c>
    </row>
    <row r="1140" spans="5:6" x14ac:dyDescent="0.35">
      <c r="E1140">
        <v>1137</v>
      </c>
      <c r="F1140">
        <f t="shared" ca="1" si="19"/>
        <v>4.0506059839128744E-3</v>
      </c>
    </row>
    <row r="1141" spans="5:6" x14ac:dyDescent="0.35">
      <c r="E1141">
        <v>1138</v>
      </c>
      <c r="F1141">
        <f t="shared" ca="1" si="19"/>
        <v>5.8271262008341047E-3</v>
      </c>
    </row>
    <row r="1142" spans="5:6" x14ac:dyDescent="0.35">
      <c r="E1142">
        <v>1139</v>
      </c>
      <c r="F1142">
        <f t="shared" ca="1" si="19"/>
        <v>-2.0242361458563271E-2</v>
      </c>
    </row>
    <row r="1143" spans="5:6" x14ac:dyDescent="0.35">
      <c r="E1143">
        <v>1140</v>
      </c>
      <c r="F1143">
        <f t="shared" ca="1" si="19"/>
        <v>6.6341289111130517E-3</v>
      </c>
    </row>
    <row r="1144" spans="5:6" x14ac:dyDescent="0.35">
      <c r="E1144">
        <v>1141</v>
      </c>
      <c r="F1144">
        <f t="shared" ca="1" si="19"/>
        <v>4.4471872981088215E-3</v>
      </c>
    </row>
    <row r="1145" spans="5:6" x14ac:dyDescent="0.35">
      <c r="E1145">
        <v>1142</v>
      </c>
      <c r="F1145">
        <f t="shared" ca="1" si="19"/>
        <v>-3.9433797972621048E-3</v>
      </c>
    </row>
    <row r="1146" spans="5:6" x14ac:dyDescent="0.35">
      <c r="E1146">
        <v>1143</v>
      </c>
      <c r="F1146">
        <f t="shared" ca="1" si="19"/>
        <v>-1.0001956421374776E-2</v>
      </c>
    </row>
    <row r="1147" spans="5:6" x14ac:dyDescent="0.35">
      <c r="E1147">
        <v>1144</v>
      </c>
      <c r="F1147">
        <f t="shared" ca="1" si="19"/>
        <v>2.4317096089155433E-4</v>
      </c>
    </row>
    <row r="1148" spans="5:6" x14ac:dyDescent="0.35">
      <c r="E1148">
        <v>1145</v>
      </c>
      <c r="F1148">
        <f t="shared" ca="1" si="19"/>
        <v>-1.6675946317221028E-2</v>
      </c>
    </row>
    <row r="1149" spans="5:6" x14ac:dyDescent="0.35">
      <c r="E1149">
        <v>1146</v>
      </c>
      <c r="F1149">
        <f t="shared" ca="1" si="19"/>
        <v>2.4224039519969601E-2</v>
      </c>
    </row>
    <row r="1150" spans="5:6" x14ac:dyDescent="0.35">
      <c r="E1150">
        <v>1147</v>
      </c>
      <c r="F1150">
        <f t="shared" ca="1" si="19"/>
        <v>-1.3917334524624176E-2</v>
      </c>
    </row>
    <row r="1151" spans="5:6" x14ac:dyDescent="0.35">
      <c r="E1151">
        <v>1148</v>
      </c>
      <c r="F1151">
        <f t="shared" ca="1" si="19"/>
        <v>8.0200396632181346E-3</v>
      </c>
    </row>
    <row r="1152" spans="5:6" x14ac:dyDescent="0.35">
      <c r="E1152">
        <v>1149</v>
      </c>
      <c r="F1152">
        <f t="shared" ca="1" si="19"/>
        <v>3.5231590874559252E-2</v>
      </c>
    </row>
    <row r="1153" spans="5:6" x14ac:dyDescent="0.35">
      <c r="E1153">
        <v>1150</v>
      </c>
      <c r="F1153">
        <f t="shared" ca="1" si="19"/>
        <v>-3.0438308157475041E-2</v>
      </c>
    </row>
    <row r="1154" spans="5:6" x14ac:dyDescent="0.35">
      <c r="E1154">
        <v>1151</v>
      </c>
      <c r="F1154">
        <f t="shared" ca="1" si="19"/>
        <v>-1.6419989581096094E-2</v>
      </c>
    </row>
    <row r="1155" spans="5:6" x14ac:dyDescent="0.35">
      <c r="E1155">
        <v>1152</v>
      </c>
      <c r="F1155">
        <f t="shared" ca="1" si="19"/>
        <v>2.7643241792206761E-2</v>
      </c>
    </row>
    <row r="1156" spans="5:6" x14ac:dyDescent="0.35">
      <c r="E1156">
        <v>1153</v>
      </c>
      <c r="F1156">
        <f t="shared" ca="1" si="19"/>
        <v>1.6306980749223897E-2</v>
      </c>
    </row>
    <row r="1157" spans="5:6" x14ac:dyDescent="0.35">
      <c r="E1157">
        <v>1154</v>
      </c>
      <c r="F1157">
        <f t="shared" ref="F1157:F1220" ca="1" si="20">_xlfn.NORM.INV(RAND(),M$6,M$7)</f>
        <v>1.0072251524183886E-2</v>
      </c>
    </row>
    <row r="1158" spans="5:6" x14ac:dyDescent="0.35">
      <c r="E1158">
        <v>1155</v>
      </c>
      <c r="F1158">
        <f t="shared" ca="1" si="20"/>
        <v>8.4553226618620074E-3</v>
      </c>
    </row>
    <row r="1159" spans="5:6" x14ac:dyDescent="0.35">
      <c r="E1159">
        <v>1156</v>
      </c>
      <c r="F1159">
        <f t="shared" ca="1" si="20"/>
        <v>-2.2999082567651879E-3</v>
      </c>
    </row>
    <row r="1160" spans="5:6" x14ac:dyDescent="0.35">
      <c r="E1160">
        <v>1157</v>
      </c>
      <c r="F1160">
        <f t="shared" ca="1" si="20"/>
        <v>5.9294498743487451E-3</v>
      </c>
    </row>
    <row r="1161" spans="5:6" x14ac:dyDescent="0.35">
      <c r="E1161">
        <v>1158</v>
      </c>
      <c r="F1161">
        <f t="shared" ca="1" si="20"/>
        <v>9.7492498492413662E-3</v>
      </c>
    </row>
    <row r="1162" spans="5:6" x14ac:dyDescent="0.35">
      <c r="E1162">
        <v>1159</v>
      </c>
      <c r="F1162">
        <f t="shared" ca="1" si="20"/>
        <v>1.8254263507552662E-3</v>
      </c>
    </row>
    <row r="1163" spans="5:6" x14ac:dyDescent="0.35">
      <c r="E1163">
        <v>1160</v>
      </c>
      <c r="F1163">
        <f t="shared" ca="1" si="20"/>
        <v>-1.6446126381265656E-3</v>
      </c>
    </row>
    <row r="1164" spans="5:6" x14ac:dyDescent="0.35">
      <c r="E1164">
        <v>1161</v>
      </c>
      <c r="F1164">
        <f t="shared" ca="1" si="20"/>
        <v>9.1587762815460404E-3</v>
      </c>
    </row>
    <row r="1165" spans="5:6" x14ac:dyDescent="0.35">
      <c r="E1165">
        <v>1162</v>
      </c>
      <c r="F1165">
        <f t="shared" ca="1" si="20"/>
        <v>3.4700351370384647E-4</v>
      </c>
    </row>
    <row r="1166" spans="5:6" x14ac:dyDescent="0.35">
      <c r="E1166">
        <v>1163</v>
      </c>
      <c r="F1166">
        <f t="shared" ca="1" si="20"/>
        <v>1.4634591726241536E-2</v>
      </c>
    </row>
    <row r="1167" spans="5:6" x14ac:dyDescent="0.35">
      <c r="E1167">
        <v>1164</v>
      </c>
      <c r="F1167">
        <f t="shared" ca="1" si="20"/>
        <v>-5.0882295783195135E-3</v>
      </c>
    </row>
    <row r="1168" spans="5:6" x14ac:dyDescent="0.35">
      <c r="E1168">
        <v>1165</v>
      </c>
      <c r="F1168">
        <f t="shared" ca="1" si="20"/>
        <v>-3.4620801919652755E-3</v>
      </c>
    </row>
    <row r="1169" spans="5:6" x14ac:dyDescent="0.35">
      <c r="E1169">
        <v>1166</v>
      </c>
      <c r="F1169">
        <f t="shared" ca="1" si="20"/>
        <v>-1.5791168896353024E-2</v>
      </c>
    </row>
    <row r="1170" spans="5:6" x14ac:dyDescent="0.35">
      <c r="E1170">
        <v>1167</v>
      </c>
      <c r="F1170">
        <f t="shared" ca="1" si="20"/>
        <v>4.8347962328497539E-3</v>
      </c>
    </row>
    <row r="1171" spans="5:6" x14ac:dyDescent="0.35">
      <c r="E1171">
        <v>1168</v>
      </c>
      <c r="F1171">
        <f t="shared" ca="1" si="20"/>
        <v>-2.3331568601934253E-2</v>
      </c>
    </row>
    <row r="1172" spans="5:6" x14ac:dyDescent="0.35">
      <c r="E1172">
        <v>1169</v>
      </c>
      <c r="F1172">
        <f t="shared" ca="1" si="20"/>
        <v>3.2343351745614721E-3</v>
      </c>
    </row>
    <row r="1173" spans="5:6" x14ac:dyDescent="0.35">
      <c r="E1173">
        <v>1170</v>
      </c>
      <c r="F1173">
        <f t="shared" ca="1" si="20"/>
        <v>-2.2771200301927426E-2</v>
      </c>
    </row>
    <row r="1174" spans="5:6" x14ac:dyDescent="0.35">
      <c r="E1174">
        <v>1171</v>
      </c>
      <c r="F1174">
        <f t="shared" ca="1" si="20"/>
        <v>-1.1825939722369731E-2</v>
      </c>
    </row>
    <row r="1175" spans="5:6" x14ac:dyDescent="0.35">
      <c r="E1175">
        <v>1172</v>
      </c>
      <c r="F1175">
        <f t="shared" ca="1" si="20"/>
        <v>6.132796669178966E-3</v>
      </c>
    </row>
    <row r="1176" spans="5:6" x14ac:dyDescent="0.35">
      <c r="E1176">
        <v>1173</v>
      </c>
      <c r="F1176">
        <f t="shared" ca="1" si="20"/>
        <v>-9.7450777925326207E-3</v>
      </c>
    </row>
    <row r="1177" spans="5:6" x14ac:dyDescent="0.35">
      <c r="E1177">
        <v>1174</v>
      </c>
      <c r="F1177">
        <f t="shared" ca="1" si="20"/>
        <v>2.8862532338013907E-3</v>
      </c>
    </row>
    <row r="1178" spans="5:6" x14ac:dyDescent="0.35">
      <c r="E1178">
        <v>1175</v>
      </c>
      <c r="F1178">
        <f t="shared" ca="1" si="20"/>
        <v>1.5610635937248643E-2</v>
      </c>
    </row>
    <row r="1179" spans="5:6" x14ac:dyDescent="0.35">
      <c r="E1179">
        <v>1176</v>
      </c>
      <c r="F1179">
        <f t="shared" ca="1" si="20"/>
        <v>-1.9734199999922881E-2</v>
      </c>
    </row>
    <row r="1180" spans="5:6" x14ac:dyDescent="0.35">
      <c r="E1180">
        <v>1177</v>
      </c>
      <c r="F1180">
        <f t="shared" ca="1" si="20"/>
        <v>2.5094692581183312E-2</v>
      </c>
    </row>
    <row r="1181" spans="5:6" x14ac:dyDescent="0.35">
      <c r="E1181">
        <v>1178</v>
      </c>
      <c r="F1181">
        <f t="shared" ca="1" si="20"/>
        <v>-5.727405627960095E-3</v>
      </c>
    </row>
    <row r="1182" spans="5:6" x14ac:dyDescent="0.35">
      <c r="E1182">
        <v>1179</v>
      </c>
      <c r="F1182">
        <f t="shared" ca="1" si="20"/>
        <v>1.3984299543510758E-2</v>
      </c>
    </row>
    <row r="1183" spans="5:6" x14ac:dyDescent="0.35">
      <c r="E1183">
        <v>1180</v>
      </c>
      <c r="F1183">
        <f t="shared" ca="1" si="20"/>
        <v>1.6652864806443783E-2</v>
      </c>
    </row>
    <row r="1184" spans="5:6" x14ac:dyDescent="0.35">
      <c r="E1184">
        <v>1181</v>
      </c>
      <c r="F1184">
        <f t="shared" ca="1" si="20"/>
        <v>1.5691224902465713E-2</v>
      </c>
    </row>
    <row r="1185" spans="5:6" x14ac:dyDescent="0.35">
      <c r="E1185">
        <v>1182</v>
      </c>
      <c r="F1185">
        <f t="shared" ca="1" si="20"/>
        <v>3.43492550930183E-3</v>
      </c>
    </row>
    <row r="1186" spans="5:6" x14ac:dyDescent="0.35">
      <c r="E1186">
        <v>1183</v>
      </c>
      <c r="F1186">
        <f t="shared" ca="1" si="20"/>
        <v>-3.2848704184511106E-3</v>
      </c>
    </row>
    <row r="1187" spans="5:6" x14ac:dyDescent="0.35">
      <c r="E1187">
        <v>1184</v>
      </c>
      <c r="F1187">
        <f t="shared" ca="1" si="20"/>
        <v>2.109904322838673E-3</v>
      </c>
    </row>
    <row r="1188" spans="5:6" x14ac:dyDescent="0.35">
      <c r="E1188">
        <v>1185</v>
      </c>
      <c r="F1188">
        <f t="shared" ca="1" si="20"/>
        <v>3.2774834345259732E-3</v>
      </c>
    </row>
    <row r="1189" spans="5:6" x14ac:dyDescent="0.35">
      <c r="E1189">
        <v>1186</v>
      </c>
      <c r="F1189">
        <f t="shared" ca="1" si="20"/>
        <v>9.4998843690411103E-3</v>
      </c>
    </row>
    <row r="1190" spans="5:6" x14ac:dyDescent="0.35">
      <c r="E1190">
        <v>1187</v>
      </c>
      <c r="F1190">
        <f t="shared" ca="1" si="20"/>
        <v>6.8387270370072048E-3</v>
      </c>
    </row>
    <row r="1191" spans="5:6" x14ac:dyDescent="0.35">
      <c r="E1191">
        <v>1188</v>
      </c>
      <c r="F1191">
        <f t="shared" ca="1" si="20"/>
        <v>1.8418033226933969E-3</v>
      </c>
    </row>
    <row r="1192" spans="5:6" x14ac:dyDescent="0.35">
      <c r="E1192">
        <v>1189</v>
      </c>
      <c r="F1192">
        <f t="shared" ca="1" si="20"/>
        <v>6.7157191005604621E-3</v>
      </c>
    </row>
    <row r="1193" spans="5:6" x14ac:dyDescent="0.35">
      <c r="E1193">
        <v>1190</v>
      </c>
      <c r="F1193">
        <f t="shared" ca="1" si="20"/>
        <v>3.2837101163105523E-2</v>
      </c>
    </row>
    <row r="1194" spans="5:6" x14ac:dyDescent="0.35">
      <c r="E1194">
        <v>1191</v>
      </c>
      <c r="F1194">
        <f t="shared" ca="1" si="20"/>
        <v>2.7992150624701582E-2</v>
      </c>
    </row>
    <row r="1195" spans="5:6" x14ac:dyDescent="0.35">
      <c r="E1195">
        <v>1192</v>
      </c>
      <c r="F1195">
        <f t="shared" ca="1" si="20"/>
        <v>1.1163639285253822E-2</v>
      </c>
    </row>
    <row r="1196" spans="5:6" x14ac:dyDescent="0.35">
      <c r="E1196">
        <v>1193</v>
      </c>
      <c r="F1196">
        <f t="shared" ca="1" si="20"/>
        <v>-5.2762428045731689E-3</v>
      </c>
    </row>
    <row r="1197" spans="5:6" x14ac:dyDescent="0.35">
      <c r="E1197">
        <v>1194</v>
      </c>
      <c r="F1197">
        <f t="shared" ca="1" si="20"/>
        <v>6.5996653052458722E-3</v>
      </c>
    </row>
    <row r="1198" spans="5:6" x14ac:dyDescent="0.35">
      <c r="E1198">
        <v>1195</v>
      </c>
      <c r="F1198">
        <f t="shared" ca="1" si="20"/>
        <v>1.1646520286660491E-3</v>
      </c>
    </row>
    <row r="1199" spans="5:6" x14ac:dyDescent="0.35">
      <c r="E1199">
        <v>1196</v>
      </c>
      <c r="F1199">
        <f t="shared" ca="1" si="20"/>
        <v>7.4375316141322484E-3</v>
      </c>
    </row>
    <row r="1200" spans="5:6" x14ac:dyDescent="0.35">
      <c r="E1200">
        <v>1197</v>
      </c>
      <c r="F1200">
        <f t="shared" ca="1" si="20"/>
        <v>2.3602790722168841E-2</v>
      </c>
    </row>
    <row r="1201" spans="5:6" x14ac:dyDescent="0.35">
      <c r="E1201">
        <v>1198</v>
      </c>
      <c r="F1201">
        <f t="shared" ca="1" si="20"/>
        <v>-5.0740769025876707E-3</v>
      </c>
    </row>
    <row r="1202" spans="5:6" x14ac:dyDescent="0.35">
      <c r="E1202">
        <v>1199</v>
      </c>
      <c r="F1202">
        <f t="shared" ca="1" si="20"/>
        <v>1.7308562872307753E-2</v>
      </c>
    </row>
    <row r="1203" spans="5:6" x14ac:dyDescent="0.35">
      <c r="E1203">
        <v>1200</v>
      </c>
      <c r="F1203">
        <f t="shared" ca="1" si="20"/>
        <v>-3.0495426033431646E-3</v>
      </c>
    </row>
    <row r="1204" spans="5:6" x14ac:dyDescent="0.35">
      <c r="E1204">
        <v>1201</v>
      </c>
      <c r="F1204">
        <f t="shared" ca="1" si="20"/>
        <v>-1.718801119786224E-2</v>
      </c>
    </row>
    <row r="1205" spans="5:6" x14ac:dyDescent="0.35">
      <c r="E1205">
        <v>1202</v>
      </c>
      <c r="F1205">
        <f t="shared" ca="1" si="20"/>
        <v>-1.3211107734081228E-2</v>
      </c>
    </row>
    <row r="1206" spans="5:6" x14ac:dyDescent="0.35">
      <c r="E1206">
        <v>1203</v>
      </c>
      <c r="F1206">
        <f t="shared" ca="1" si="20"/>
        <v>2.0785252822008517E-2</v>
      </c>
    </row>
    <row r="1207" spans="5:6" x14ac:dyDescent="0.35">
      <c r="E1207">
        <v>1204</v>
      </c>
      <c r="F1207">
        <f t="shared" ca="1" si="20"/>
        <v>5.8081609534742897E-3</v>
      </c>
    </row>
    <row r="1208" spans="5:6" x14ac:dyDescent="0.35">
      <c r="E1208">
        <v>1205</v>
      </c>
      <c r="F1208">
        <f t="shared" ca="1" si="20"/>
        <v>5.1196224939105634E-5</v>
      </c>
    </row>
    <row r="1209" spans="5:6" x14ac:dyDescent="0.35">
      <c r="E1209">
        <v>1206</v>
      </c>
      <c r="F1209">
        <f t="shared" ca="1" si="20"/>
        <v>-1.2633455840796734E-2</v>
      </c>
    </row>
    <row r="1210" spans="5:6" x14ac:dyDescent="0.35">
      <c r="E1210">
        <v>1207</v>
      </c>
      <c r="F1210">
        <f t="shared" ca="1" si="20"/>
        <v>-1.1866554349140971E-2</v>
      </c>
    </row>
    <row r="1211" spans="5:6" x14ac:dyDescent="0.35">
      <c r="E1211">
        <v>1208</v>
      </c>
      <c r="F1211">
        <f t="shared" ca="1" si="20"/>
        <v>-3.1098770517574714E-2</v>
      </c>
    </row>
    <row r="1212" spans="5:6" x14ac:dyDescent="0.35">
      <c r="E1212">
        <v>1209</v>
      </c>
      <c r="F1212">
        <f t="shared" ca="1" si="20"/>
        <v>-1.36643531481662E-4</v>
      </c>
    </row>
    <row r="1213" spans="5:6" x14ac:dyDescent="0.35">
      <c r="E1213">
        <v>1210</v>
      </c>
      <c r="F1213">
        <f t="shared" ca="1" si="20"/>
        <v>2.291555750159056E-2</v>
      </c>
    </row>
    <row r="1214" spans="5:6" x14ac:dyDescent="0.35">
      <c r="E1214">
        <v>1211</v>
      </c>
      <c r="F1214">
        <f t="shared" ca="1" si="20"/>
        <v>-1.1880703611885363E-2</v>
      </c>
    </row>
    <row r="1215" spans="5:6" x14ac:dyDescent="0.35">
      <c r="E1215">
        <v>1212</v>
      </c>
      <c r="F1215">
        <f t="shared" ca="1" si="20"/>
        <v>-1.2148102263543605E-2</v>
      </c>
    </row>
    <row r="1216" spans="5:6" x14ac:dyDescent="0.35">
      <c r="E1216">
        <v>1213</v>
      </c>
      <c r="F1216">
        <f t="shared" ca="1" si="20"/>
        <v>-2.2890361573368812E-2</v>
      </c>
    </row>
    <row r="1217" spans="5:6" x14ac:dyDescent="0.35">
      <c r="E1217">
        <v>1214</v>
      </c>
      <c r="F1217">
        <f t="shared" ca="1" si="20"/>
        <v>9.9034869779709295E-3</v>
      </c>
    </row>
    <row r="1218" spans="5:6" x14ac:dyDescent="0.35">
      <c r="E1218">
        <v>1215</v>
      </c>
      <c r="F1218">
        <f t="shared" ca="1" si="20"/>
        <v>-1.2583114417451071E-3</v>
      </c>
    </row>
    <row r="1219" spans="5:6" x14ac:dyDescent="0.35">
      <c r="E1219">
        <v>1216</v>
      </c>
      <c r="F1219">
        <f t="shared" ca="1" si="20"/>
        <v>-8.4448356246641029E-3</v>
      </c>
    </row>
    <row r="1220" spans="5:6" x14ac:dyDescent="0.35">
      <c r="E1220">
        <v>1217</v>
      </c>
      <c r="F1220">
        <f t="shared" ca="1" si="20"/>
        <v>2.5679056933778133E-2</v>
      </c>
    </row>
    <row r="1221" spans="5:6" x14ac:dyDescent="0.35">
      <c r="E1221">
        <v>1218</v>
      </c>
      <c r="F1221">
        <f t="shared" ref="F1221:F1284" ca="1" si="21">_xlfn.NORM.INV(RAND(),M$6,M$7)</f>
        <v>2.597502420875808E-3</v>
      </c>
    </row>
    <row r="1222" spans="5:6" x14ac:dyDescent="0.35">
      <c r="E1222">
        <v>1219</v>
      </c>
      <c r="F1222">
        <f t="shared" ca="1" si="21"/>
        <v>-1.9021136460840052E-4</v>
      </c>
    </row>
    <row r="1223" spans="5:6" x14ac:dyDescent="0.35">
      <c r="E1223">
        <v>1220</v>
      </c>
      <c r="F1223">
        <f t="shared" ca="1" si="21"/>
        <v>-3.0690784504872979E-3</v>
      </c>
    </row>
    <row r="1224" spans="5:6" x14ac:dyDescent="0.35">
      <c r="E1224">
        <v>1221</v>
      </c>
      <c r="F1224">
        <f t="shared" ca="1" si="21"/>
        <v>-1.0616490791486993E-2</v>
      </c>
    </row>
    <row r="1225" spans="5:6" x14ac:dyDescent="0.35">
      <c r="E1225">
        <v>1222</v>
      </c>
      <c r="F1225">
        <f t="shared" ca="1" si="21"/>
        <v>9.3291575281353057E-4</v>
      </c>
    </row>
    <row r="1226" spans="5:6" x14ac:dyDescent="0.35">
      <c r="E1226">
        <v>1223</v>
      </c>
      <c r="F1226">
        <f t="shared" ca="1" si="21"/>
        <v>-9.581952132974858E-3</v>
      </c>
    </row>
    <row r="1227" spans="5:6" x14ac:dyDescent="0.35">
      <c r="E1227">
        <v>1224</v>
      </c>
      <c r="F1227">
        <f t="shared" ca="1" si="21"/>
        <v>7.144051215726639E-3</v>
      </c>
    </row>
    <row r="1228" spans="5:6" x14ac:dyDescent="0.35">
      <c r="E1228">
        <v>1225</v>
      </c>
      <c r="F1228">
        <f t="shared" ca="1" si="21"/>
        <v>1.3365738328850966E-2</v>
      </c>
    </row>
    <row r="1229" spans="5:6" x14ac:dyDescent="0.35">
      <c r="E1229">
        <v>1226</v>
      </c>
      <c r="F1229">
        <f t="shared" ca="1" si="21"/>
        <v>-2.7210446819578198E-3</v>
      </c>
    </row>
    <row r="1230" spans="5:6" x14ac:dyDescent="0.35">
      <c r="E1230">
        <v>1227</v>
      </c>
      <c r="F1230">
        <f t="shared" ca="1" si="21"/>
        <v>-5.5254979563597404E-4</v>
      </c>
    </row>
    <row r="1231" spans="5:6" x14ac:dyDescent="0.35">
      <c r="E1231">
        <v>1228</v>
      </c>
      <c r="F1231">
        <f t="shared" ca="1" si="21"/>
        <v>2.8778046991444154E-2</v>
      </c>
    </row>
    <row r="1232" spans="5:6" x14ac:dyDescent="0.35">
      <c r="E1232">
        <v>1229</v>
      </c>
      <c r="F1232">
        <f t="shared" ca="1" si="21"/>
        <v>1.4627249998366079E-3</v>
      </c>
    </row>
    <row r="1233" spans="5:6" x14ac:dyDescent="0.35">
      <c r="E1233">
        <v>1230</v>
      </c>
      <c r="F1233">
        <f t="shared" ca="1" si="21"/>
        <v>6.9294997300312043E-3</v>
      </c>
    </row>
    <row r="1234" spans="5:6" x14ac:dyDescent="0.35">
      <c r="E1234">
        <v>1231</v>
      </c>
      <c r="F1234">
        <f t="shared" ca="1" si="21"/>
        <v>-7.4079454061387077E-3</v>
      </c>
    </row>
    <row r="1235" spans="5:6" x14ac:dyDescent="0.35">
      <c r="E1235">
        <v>1232</v>
      </c>
      <c r="F1235">
        <f t="shared" ca="1" si="21"/>
        <v>2.0000129370782275E-2</v>
      </c>
    </row>
    <row r="1236" spans="5:6" x14ac:dyDescent="0.35">
      <c r="E1236">
        <v>1233</v>
      </c>
      <c r="F1236">
        <f t="shared" ca="1" si="21"/>
        <v>3.8419603422539901E-3</v>
      </c>
    </row>
    <row r="1237" spans="5:6" x14ac:dyDescent="0.35">
      <c r="E1237">
        <v>1234</v>
      </c>
      <c r="F1237">
        <f t="shared" ca="1" si="21"/>
        <v>-2.2471042174779462E-2</v>
      </c>
    </row>
    <row r="1238" spans="5:6" x14ac:dyDescent="0.35">
      <c r="E1238">
        <v>1235</v>
      </c>
      <c r="F1238">
        <f t="shared" ca="1" si="21"/>
        <v>1.842794871997947E-3</v>
      </c>
    </row>
    <row r="1239" spans="5:6" x14ac:dyDescent="0.35">
      <c r="E1239">
        <v>1236</v>
      </c>
      <c r="F1239">
        <f t="shared" ca="1" si="21"/>
        <v>3.1862947893351293E-4</v>
      </c>
    </row>
    <row r="1240" spans="5:6" x14ac:dyDescent="0.35">
      <c r="E1240">
        <v>1237</v>
      </c>
      <c r="F1240">
        <f t="shared" ca="1" si="21"/>
        <v>1.4009421836542789E-2</v>
      </c>
    </row>
    <row r="1241" spans="5:6" x14ac:dyDescent="0.35">
      <c r="E1241">
        <v>1238</v>
      </c>
      <c r="F1241">
        <f t="shared" ca="1" si="21"/>
        <v>7.3500897010819674E-3</v>
      </c>
    </row>
    <row r="1242" spans="5:6" x14ac:dyDescent="0.35">
      <c r="E1242">
        <v>1239</v>
      </c>
      <c r="F1242">
        <f t="shared" ca="1" si="21"/>
        <v>2.8308841633819513E-3</v>
      </c>
    </row>
    <row r="1243" spans="5:6" x14ac:dyDescent="0.35">
      <c r="E1243">
        <v>1240</v>
      </c>
      <c r="F1243">
        <f t="shared" ca="1" si="21"/>
        <v>-9.138220037248351E-3</v>
      </c>
    </row>
    <row r="1244" spans="5:6" x14ac:dyDescent="0.35">
      <c r="E1244">
        <v>1241</v>
      </c>
      <c r="F1244">
        <f t="shared" ca="1" si="21"/>
        <v>2.5902135851162716E-2</v>
      </c>
    </row>
    <row r="1245" spans="5:6" x14ac:dyDescent="0.35">
      <c r="E1245">
        <v>1242</v>
      </c>
      <c r="F1245">
        <f t="shared" ca="1" si="21"/>
        <v>1.1847507406507106E-2</v>
      </c>
    </row>
    <row r="1246" spans="5:6" x14ac:dyDescent="0.35">
      <c r="E1246">
        <v>1243</v>
      </c>
      <c r="F1246">
        <f t="shared" ca="1" si="21"/>
        <v>-7.253558487013321E-4</v>
      </c>
    </row>
    <row r="1247" spans="5:6" x14ac:dyDescent="0.35">
      <c r="E1247">
        <v>1244</v>
      </c>
      <c r="F1247">
        <f t="shared" ca="1" si="21"/>
        <v>-1.3005909147620015E-3</v>
      </c>
    </row>
    <row r="1248" spans="5:6" x14ac:dyDescent="0.35">
      <c r="E1248">
        <v>1245</v>
      </c>
      <c r="F1248">
        <f t="shared" ca="1" si="21"/>
        <v>4.2419309393556814E-3</v>
      </c>
    </row>
    <row r="1249" spans="5:6" x14ac:dyDescent="0.35">
      <c r="E1249">
        <v>1246</v>
      </c>
      <c r="F1249">
        <f t="shared" ca="1" si="21"/>
        <v>1.7300449046733508E-2</v>
      </c>
    </row>
    <row r="1250" spans="5:6" x14ac:dyDescent="0.35">
      <c r="E1250">
        <v>1247</v>
      </c>
      <c r="F1250">
        <f t="shared" ca="1" si="21"/>
        <v>1.1249710048386562E-2</v>
      </c>
    </row>
    <row r="1251" spans="5:6" x14ac:dyDescent="0.35">
      <c r="E1251">
        <v>1248</v>
      </c>
      <c r="F1251">
        <f t="shared" ca="1" si="21"/>
        <v>-8.9126930576557996E-3</v>
      </c>
    </row>
    <row r="1252" spans="5:6" x14ac:dyDescent="0.35">
      <c r="E1252">
        <v>1249</v>
      </c>
      <c r="F1252">
        <f t="shared" ca="1" si="21"/>
        <v>5.5620462900063767E-3</v>
      </c>
    </row>
    <row r="1253" spans="5:6" x14ac:dyDescent="0.35">
      <c r="E1253">
        <v>1250</v>
      </c>
      <c r="F1253">
        <f t="shared" ca="1" si="21"/>
        <v>8.61755930990552E-3</v>
      </c>
    </row>
    <row r="1254" spans="5:6" x14ac:dyDescent="0.35">
      <c r="E1254">
        <v>1251</v>
      </c>
      <c r="F1254">
        <f t="shared" ca="1" si="21"/>
        <v>1.4735531558242426E-2</v>
      </c>
    </row>
    <row r="1255" spans="5:6" x14ac:dyDescent="0.35">
      <c r="E1255">
        <v>1252</v>
      </c>
      <c r="F1255">
        <f t="shared" ca="1" si="21"/>
        <v>-1.7756225485921175E-2</v>
      </c>
    </row>
    <row r="1256" spans="5:6" x14ac:dyDescent="0.35">
      <c r="E1256">
        <v>1253</v>
      </c>
      <c r="F1256">
        <f t="shared" ca="1" si="21"/>
        <v>1.2955345555927214E-2</v>
      </c>
    </row>
    <row r="1257" spans="5:6" x14ac:dyDescent="0.35">
      <c r="E1257">
        <v>1254</v>
      </c>
      <c r="F1257">
        <f t="shared" ca="1" si="21"/>
        <v>2.0371334249175189E-2</v>
      </c>
    </row>
    <row r="1258" spans="5:6" x14ac:dyDescent="0.35">
      <c r="E1258">
        <v>1255</v>
      </c>
      <c r="F1258">
        <f t="shared" ca="1" si="21"/>
        <v>6.3893626394235263E-3</v>
      </c>
    </row>
    <row r="1259" spans="5:6" x14ac:dyDescent="0.35">
      <c r="E1259">
        <v>1256</v>
      </c>
      <c r="F1259">
        <f t="shared" ca="1" si="21"/>
        <v>1.5123220759360867E-2</v>
      </c>
    </row>
    <row r="1260" spans="5:6" x14ac:dyDescent="0.35">
      <c r="E1260">
        <v>1257</v>
      </c>
      <c r="F1260">
        <f t="shared" ca="1" si="21"/>
        <v>6.6722702033110686E-3</v>
      </c>
    </row>
    <row r="1261" spans="5:6" x14ac:dyDescent="0.35">
      <c r="E1261">
        <v>1258</v>
      </c>
      <c r="F1261">
        <f t="shared" ca="1" si="21"/>
        <v>1.7730474539825628E-2</v>
      </c>
    </row>
    <row r="1262" spans="5:6" x14ac:dyDescent="0.35">
      <c r="E1262">
        <v>1259</v>
      </c>
      <c r="F1262">
        <f t="shared" ca="1" si="21"/>
        <v>6.5168160901304117E-3</v>
      </c>
    </row>
    <row r="1263" spans="5:6" x14ac:dyDescent="0.35">
      <c r="E1263">
        <v>1260</v>
      </c>
      <c r="F1263">
        <f t="shared" ca="1" si="21"/>
        <v>-3.8521862849749997E-2</v>
      </c>
    </row>
    <row r="1264" spans="5:6" x14ac:dyDescent="0.35">
      <c r="E1264">
        <v>1261</v>
      </c>
      <c r="F1264">
        <f t="shared" ca="1" si="21"/>
        <v>2.7870610682227327E-2</v>
      </c>
    </row>
    <row r="1265" spans="5:6" x14ac:dyDescent="0.35">
      <c r="E1265">
        <v>1262</v>
      </c>
      <c r="F1265">
        <f t="shared" ca="1" si="21"/>
        <v>1.676998959462412E-2</v>
      </c>
    </row>
    <row r="1266" spans="5:6" x14ac:dyDescent="0.35">
      <c r="E1266">
        <v>1263</v>
      </c>
      <c r="F1266">
        <f t="shared" ca="1" si="21"/>
        <v>2.9518757758639436E-2</v>
      </c>
    </row>
    <row r="1267" spans="5:6" x14ac:dyDescent="0.35">
      <c r="E1267">
        <v>1264</v>
      </c>
      <c r="F1267">
        <f t="shared" ca="1" si="21"/>
        <v>-4.728026612531167E-3</v>
      </c>
    </row>
    <row r="1268" spans="5:6" x14ac:dyDescent="0.35">
      <c r="E1268">
        <v>1265</v>
      </c>
      <c r="F1268">
        <f t="shared" ca="1" si="21"/>
        <v>1.8028302641413098E-3</v>
      </c>
    </row>
    <row r="1269" spans="5:6" x14ac:dyDescent="0.35">
      <c r="E1269">
        <v>1266</v>
      </c>
      <c r="F1269">
        <f t="shared" ca="1" si="21"/>
        <v>-2.6926703395635524E-2</v>
      </c>
    </row>
    <row r="1270" spans="5:6" x14ac:dyDescent="0.35">
      <c r="E1270">
        <v>1267</v>
      </c>
      <c r="F1270">
        <f t="shared" ca="1" si="21"/>
        <v>-1.0760974890878731E-2</v>
      </c>
    </row>
    <row r="1271" spans="5:6" x14ac:dyDescent="0.35">
      <c r="E1271">
        <v>1268</v>
      </c>
      <c r="F1271">
        <f t="shared" ca="1" si="21"/>
        <v>4.1016697027704734E-3</v>
      </c>
    </row>
    <row r="1272" spans="5:6" x14ac:dyDescent="0.35">
      <c r="E1272">
        <v>1269</v>
      </c>
      <c r="F1272">
        <f t="shared" ca="1" si="21"/>
        <v>2.9427631946176915E-3</v>
      </c>
    </row>
    <row r="1273" spans="5:6" x14ac:dyDescent="0.35">
      <c r="E1273">
        <v>1270</v>
      </c>
      <c r="F1273">
        <f t="shared" ca="1" si="21"/>
        <v>-2.096112612557658E-2</v>
      </c>
    </row>
    <row r="1274" spans="5:6" x14ac:dyDescent="0.35">
      <c r="E1274">
        <v>1271</v>
      </c>
      <c r="F1274">
        <f t="shared" ca="1" si="21"/>
        <v>5.6441349393940429E-3</v>
      </c>
    </row>
    <row r="1275" spans="5:6" x14ac:dyDescent="0.35">
      <c r="E1275">
        <v>1272</v>
      </c>
      <c r="F1275">
        <f t="shared" ca="1" si="21"/>
        <v>-1.8011191933061336E-2</v>
      </c>
    </row>
    <row r="1276" spans="5:6" x14ac:dyDescent="0.35">
      <c r="E1276">
        <v>1273</v>
      </c>
      <c r="F1276">
        <f t="shared" ca="1" si="21"/>
        <v>1.1479050850887752E-2</v>
      </c>
    </row>
    <row r="1277" spans="5:6" x14ac:dyDescent="0.35">
      <c r="E1277">
        <v>1274</v>
      </c>
      <c r="F1277">
        <f t="shared" ca="1" si="21"/>
        <v>-7.1075401928554095E-3</v>
      </c>
    </row>
    <row r="1278" spans="5:6" x14ac:dyDescent="0.35">
      <c r="E1278">
        <v>1275</v>
      </c>
      <c r="F1278">
        <f t="shared" ca="1" si="21"/>
        <v>5.5993757360484776E-3</v>
      </c>
    </row>
    <row r="1279" spans="5:6" x14ac:dyDescent="0.35">
      <c r="E1279">
        <v>1276</v>
      </c>
      <c r="F1279">
        <f t="shared" ca="1" si="21"/>
        <v>1.6675251821680833E-2</v>
      </c>
    </row>
    <row r="1280" spans="5:6" x14ac:dyDescent="0.35">
      <c r="E1280">
        <v>1277</v>
      </c>
      <c r="F1280">
        <f t="shared" ca="1" si="21"/>
        <v>-4.7990146143172784E-3</v>
      </c>
    </row>
    <row r="1281" spans="5:6" x14ac:dyDescent="0.35">
      <c r="E1281">
        <v>1278</v>
      </c>
      <c r="F1281">
        <f t="shared" ca="1" si="21"/>
        <v>2.0219255219672581E-2</v>
      </c>
    </row>
    <row r="1282" spans="5:6" x14ac:dyDescent="0.35">
      <c r="E1282">
        <v>1279</v>
      </c>
      <c r="F1282">
        <f t="shared" ca="1" si="21"/>
        <v>-2.7695487887801832E-3</v>
      </c>
    </row>
    <row r="1283" spans="5:6" x14ac:dyDescent="0.35">
      <c r="E1283">
        <v>1280</v>
      </c>
      <c r="F1283">
        <f t="shared" ca="1" si="21"/>
        <v>-7.6329962689716934E-3</v>
      </c>
    </row>
    <row r="1284" spans="5:6" x14ac:dyDescent="0.35">
      <c r="E1284">
        <v>1281</v>
      </c>
      <c r="F1284">
        <f t="shared" ca="1" si="21"/>
        <v>-1.0953030734181621E-2</v>
      </c>
    </row>
    <row r="1285" spans="5:6" x14ac:dyDescent="0.35">
      <c r="E1285">
        <v>1282</v>
      </c>
      <c r="F1285">
        <f t="shared" ref="F1285:F1348" ca="1" si="22">_xlfn.NORM.INV(RAND(),M$6,M$7)</f>
        <v>1.473759780690922E-2</v>
      </c>
    </row>
    <row r="1286" spans="5:6" x14ac:dyDescent="0.35">
      <c r="E1286">
        <v>1283</v>
      </c>
      <c r="F1286">
        <f t="shared" ca="1" si="22"/>
        <v>-5.478965389445499E-3</v>
      </c>
    </row>
    <row r="1287" spans="5:6" x14ac:dyDescent="0.35">
      <c r="E1287">
        <v>1284</v>
      </c>
      <c r="F1287">
        <f t="shared" ca="1" si="22"/>
        <v>-1.46671779616945E-3</v>
      </c>
    </row>
    <row r="1288" spans="5:6" x14ac:dyDescent="0.35">
      <c r="E1288">
        <v>1285</v>
      </c>
      <c r="F1288">
        <f t="shared" ca="1" si="22"/>
        <v>-4.8659515627522401E-3</v>
      </c>
    </row>
    <row r="1289" spans="5:6" x14ac:dyDescent="0.35">
      <c r="E1289">
        <v>1286</v>
      </c>
      <c r="F1289">
        <f t="shared" ca="1" si="22"/>
        <v>9.4652238956136978E-3</v>
      </c>
    </row>
    <row r="1290" spans="5:6" x14ac:dyDescent="0.35">
      <c r="E1290">
        <v>1287</v>
      </c>
      <c r="F1290">
        <f t="shared" ca="1" si="22"/>
        <v>3.582530241960708E-3</v>
      </c>
    </row>
    <row r="1291" spans="5:6" x14ac:dyDescent="0.35">
      <c r="E1291">
        <v>1288</v>
      </c>
      <c r="F1291">
        <f t="shared" ca="1" si="22"/>
        <v>2.6703920964410211E-3</v>
      </c>
    </row>
    <row r="1292" spans="5:6" x14ac:dyDescent="0.35">
      <c r="E1292">
        <v>1289</v>
      </c>
      <c r="F1292">
        <f t="shared" ca="1" si="22"/>
        <v>-7.6893366332097153E-3</v>
      </c>
    </row>
    <row r="1293" spans="5:6" x14ac:dyDescent="0.35">
      <c r="E1293">
        <v>1290</v>
      </c>
      <c r="F1293">
        <f t="shared" ca="1" si="22"/>
        <v>-1.7631023508973146E-3</v>
      </c>
    </row>
    <row r="1294" spans="5:6" x14ac:dyDescent="0.35">
      <c r="E1294">
        <v>1291</v>
      </c>
      <c r="F1294">
        <f t="shared" ca="1" si="22"/>
        <v>1.6284037226460005E-2</v>
      </c>
    </row>
    <row r="1295" spans="5:6" x14ac:dyDescent="0.35">
      <c r="E1295">
        <v>1292</v>
      </c>
      <c r="F1295">
        <f t="shared" ca="1" si="22"/>
        <v>7.4925110161617476E-3</v>
      </c>
    </row>
    <row r="1296" spans="5:6" x14ac:dyDescent="0.35">
      <c r="E1296">
        <v>1293</v>
      </c>
      <c r="F1296">
        <f t="shared" ca="1" si="22"/>
        <v>2.1994252026125084E-2</v>
      </c>
    </row>
    <row r="1297" spans="5:6" x14ac:dyDescent="0.35">
      <c r="E1297">
        <v>1294</v>
      </c>
      <c r="F1297">
        <f t="shared" ca="1" si="22"/>
        <v>-1.1430504462641505E-3</v>
      </c>
    </row>
    <row r="1298" spans="5:6" x14ac:dyDescent="0.35">
      <c r="E1298">
        <v>1295</v>
      </c>
      <c r="F1298">
        <f t="shared" ca="1" si="22"/>
        <v>-5.4733205004355431E-3</v>
      </c>
    </row>
    <row r="1299" spans="5:6" x14ac:dyDescent="0.35">
      <c r="E1299">
        <v>1296</v>
      </c>
      <c r="F1299">
        <f t="shared" ca="1" si="22"/>
        <v>3.6977769103435413E-3</v>
      </c>
    </row>
    <row r="1300" spans="5:6" x14ac:dyDescent="0.35">
      <c r="E1300">
        <v>1297</v>
      </c>
      <c r="F1300">
        <f t="shared" ca="1" si="22"/>
        <v>-5.7121815444970934E-3</v>
      </c>
    </row>
    <row r="1301" spans="5:6" x14ac:dyDescent="0.35">
      <c r="E1301">
        <v>1298</v>
      </c>
      <c r="F1301">
        <f t="shared" ca="1" si="22"/>
        <v>-5.1677254171978715E-3</v>
      </c>
    </row>
    <row r="1302" spans="5:6" x14ac:dyDescent="0.35">
      <c r="E1302">
        <v>1299</v>
      </c>
      <c r="F1302">
        <f t="shared" ca="1" si="22"/>
        <v>1.1483201838727076E-2</v>
      </c>
    </row>
    <row r="1303" spans="5:6" x14ac:dyDescent="0.35">
      <c r="E1303">
        <v>1300</v>
      </c>
      <c r="F1303">
        <f t="shared" ca="1" si="22"/>
        <v>-8.4258813929641713E-3</v>
      </c>
    </row>
    <row r="1304" spans="5:6" x14ac:dyDescent="0.35">
      <c r="E1304">
        <v>1301</v>
      </c>
      <c r="F1304">
        <f t="shared" ca="1" si="22"/>
        <v>1.9095895692692773E-2</v>
      </c>
    </row>
    <row r="1305" spans="5:6" x14ac:dyDescent="0.35">
      <c r="E1305">
        <v>1302</v>
      </c>
      <c r="F1305">
        <f t="shared" ca="1" si="22"/>
        <v>1.3626884034181578E-2</v>
      </c>
    </row>
    <row r="1306" spans="5:6" x14ac:dyDescent="0.35">
      <c r="E1306">
        <v>1303</v>
      </c>
      <c r="F1306">
        <f t="shared" ca="1" si="22"/>
        <v>3.406300121209152E-2</v>
      </c>
    </row>
    <row r="1307" spans="5:6" x14ac:dyDescent="0.35">
      <c r="E1307">
        <v>1304</v>
      </c>
      <c r="F1307">
        <f t="shared" ca="1" si="22"/>
        <v>1.6809575073377058E-2</v>
      </c>
    </row>
    <row r="1308" spans="5:6" x14ac:dyDescent="0.35">
      <c r="E1308">
        <v>1305</v>
      </c>
      <c r="F1308">
        <f t="shared" ca="1" si="22"/>
        <v>-1.2393006412622766E-2</v>
      </c>
    </row>
    <row r="1309" spans="5:6" x14ac:dyDescent="0.35">
      <c r="E1309">
        <v>1306</v>
      </c>
      <c r="F1309">
        <f t="shared" ca="1" si="22"/>
        <v>2.1887486644561579E-2</v>
      </c>
    </row>
    <row r="1310" spans="5:6" x14ac:dyDescent="0.35">
      <c r="E1310">
        <v>1307</v>
      </c>
      <c r="F1310">
        <f t="shared" ca="1" si="22"/>
        <v>2.4618570697774532E-2</v>
      </c>
    </row>
    <row r="1311" spans="5:6" x14ac:dyDescent="0.35">
      <c r="E1311">
        <v>1308</v>
      </c>
      <c r="F1311">
        <f t="shared" ca="1" si="22"/>
        <v>-1.3951816305398195E-2</v>
      </c>
    </row>
    <row r="1312" spans="5:6" x14ac:dyDescent="0.35">
      <c r="E1312">
        <v>1309</v>
      </c>
      <c r="F1312">
        <f t="shared" ca="1" si="22"/>
        <v>-6.8351562772252811E-3</v>
      </c>
    </row>
    <row r="1313" spans="5:6" x14ac:dyDescent="0.35">
      <c r="E1313">
        <v>1310</v>
      </c>
      <c r="F1313">
        <f t="shared" ca="1" si="22"/>
        <v>9.0480673892422703E-3</v>
      </c>
    </row>
    <row r="1314" spans="5:6" x14ac:dyDescent="0.35">
      <c r="E1314">
        <v>1311</v>
      </c>
      <c r="F1314">
        <f t="shared" ca="1" si="22"/>
        <v>4.4161637540572679E-3</v>
      </c>
    </row>
    <row r="1315" spans="5:6" x14ac:dyDescent="0.35">
      <c r="E1315">
        <v>1312</v>
      </c>
      <c r="F1315">
        <f t="shared" ca="1" si="22"/>
        <v>-3.9592298228456266E-3</v>
      </c>
    </row>
    <row r="1316" spans="5:6" x14ac:dyDescent="0.35">
      <c r="E1316">
        <v>1313</v>
      </c>
      <c r="F1316">
        <f t="shared" ca="1" si="22"/>
        <v>-7.5506202854272036E-3</v>
      </c>
    </row>
    <row r="1317" spans="5:6" x14ac:dyDescent="0.35">
      <c r="E1317">
        <v>1314</v>
      </c>
      <c r="F1317">
        <f t="shared" ca="1" si="22"/>
        <v>-1.2487470623017112E-2</v>
      </c>
    </row>
    <row r="1318" spans="5:6" x14ac:dyDescent="0.35">
      <c r="E1318">
        <v>1315</v>
      </c>
      <c r="F1318">
        <f t="shared" ca="1" si="22"/>
        <v>-7.7055410771004838E-3</v>
      </c>
    </row>
    <row r="1319" spans="5:6" x14ac:dyDescent="0.35">
      <c r="E1319">
        <v>1316</v>
      </c>
      <c r="F1319">
        <f t="shared" ca="1" si="22"/>
        <v>1.6484481673137701E-2</v>
      </c>
    </row>
    <row r="1320" spans="5:6" x14ac:dyDescent="0.35">
      <c r="E1320">
        <v>1317</v>
      </c>
      <c r="F1320">
        <f t="shared" ca="1" si="22"/>
        <v>-4.3982674848992161E-2</v>
      </c>
    </row>
    <row r="1321" spans="5:6" x14ac:dyDescent="0.35">
      <c r="E1321">
        <v>1318</v>
      </c>
      <c r="F1321">
        <f t="shared" ca="1" si="22"/>
        <v>3.5680399923932824E-3</v>
      </c>
    </row>
    <row r="1322" spans="5:6" x14ac:dyDescent="0.35">
      <c r="E1322">
        <v>1319</v>
      </c>
      <c r="F1322">
        <f t="shared" ca="1" si="22"/>
        <v>2.116263215991163E-2</v>
      </c>
    </row>
    <row r="1323" spans="5:6" x14ac:dyDescent="0.35">
      <c r="E1323">
        <v>1320</v>
      </c>
      <c r="F1323">
        <f t="shared" ca="1" si="22"/>
        <v>2.5503058526202289E-3</v>
      </c>
    </row>
    <row r="1324" spans="5:6" x14ac:dyDescent="0.35">
      <c r="E1324">
        <v>1321</v>
      </c>
      <c r="F1324">
        <f t="shared" ca="1" si="22"/>
        <v>6.9368997018767935E-3</v>
      </c>
    </row>
    <row r="1325" spans="5:6" x14ac:dyDescent="0.35">
      <c r="E1325">
        <v>1322</v>
      </c>
      <c r="F1325">
        <f t="shared" ca="1" si="22"/>
        <v>3.8139791034194725E-3</v>
      </c>
    </row>
    <row r="1326" spans="5:6" x14ac:dyDescent="0.35">
      <c r="E1326">
        <v>1323</v>
      </c>
      <c r="F1326">
        <f t="shared" ca="1" si="22"/>
        <v>-6.9227697032346412E-3</v>
      </c>
    </row>
    <row r="1327" spans="5:6" x14ac:dyDescent="0.35">
      <c r="E1327">
        <v>1324</v>
      </c>
      <c r="F1327">
        <f t="shared" ca="1" si="22"/>
        <v>3.0937795134399881E-3</v>
      </c>
    </row>
    <row r="1328" spans="5:6" x14ac:dyDescent="0.35">
      <c r="E1328">
        <v>1325</v>
      </c>
      <c r="F1328">
        <f t="shared" ca="1" si="22"/>
        <v>-1.3918529666552059E-2</v>
      </c>
    </row>
    <row r="1329" spans="5:6" x14ac:dyDescent="0.35">
      <c r="E1329">
        <v>1326</v>
      </c>
      <c r="F1329">
        <f t="shared" ca="1" si="22"/>
        <v>-5.0615503891266785E-3</v>
      </c>
    </row>
    <row r="1330" spans="5:6" x14ac:dyDescent="0.35">
      <c r="E1330">
        <v>1327</v>
      </c>
      <c r="F1330">
        <f t="shared" ca="1" si="22"/>
        <v>5.4392018538889485E-3</v>
      </c>
    </row>
    <row r="1331" spans="5:6" x14ac:dyDescent="0.35">
      <c r="E1331">
        <v>1328</v>
      </c>
      <c r="F1331">
        <f t="shared" ca="1" si="22"/>
        <v>-9.6075611259235656E-3</v>
      </c>
    </row>
    <row r="1332" spans="5:6" x14ac:dyDescent="0.35">
      <c r="E1332">
        <v>1329</v>
      </c>
      <c r="F1332">
        <f t="shared" ca="1" si="22"/>
        <v>1.1184099492989746E-3</v>
      </c>
    </row>
    <row r="1333" spans="5:6" x14ac:dyDescent="0.35">
      <c r="E1333">
        <v>1330</v>
      </c>
      <c r="F1333">
        <f t="shared" ca="1" si="22"/>
        <v>-3.3077989880679216E-3</v>
      </c>
    </row>
    <row r="1334" spans="5:6" x14ac:dyDescent="0.35">
      <c r="E1334">
        <v>1331</v>
      </c>
      <c r="F1334">
        <f t="shared" ca="1" si="22"/>
        <v>2.765190003244734E-2</v>
      </c>
    </row>
    <row r="1335" spans="5:6" x14ac:dyDescent="0.35">
      <c r="E1335">
        <v>1332</v>
      </c>
      <c r="F1335">
        <f t="shared" ca="1" si="22"/>
        <v>3.9949070004925757E-2</v>
      </c>
    </row>
    <row r="1336" spans="5:6" x14ac:dyDescent="0.35">
      <c r="E1336">
        <v>1333</v>
      </c>
      <c r="F1336">
        <f t="shared" ca="1" si="22"/>
        <v>7.3438077152796475E-4</v>
      </c>
    </row>
    <row r="1337" spans="5:6" x14ac:dyDescent="0.35">
      <c r="E1337">
        <v>1334</v>
      </c>
      <c r="F1337">
        <f t="shared" ca="1" si="22"/>
        <v>2.186443586467459E-3</v>
      </c>
    </row>
    <row r="1338" spans="5:6" x14ac:dyDescent="0.35">
      <c r="E1338">
        <v>1335</v>
      </c>
      <c r="F1338">
        <f t="shared" ca="1" si="22"/>
        <v>-1.3596023639284848E-2</v>
      </c>
    </row>
    <row r="1339" spans="5:6" x14ac:dyDescent="0.35">
      <c r="E1339">
        <v>1336</v>
      </c>
      <c r="F1339">
        <f t="shared" ca="1" si="22"/>
        <v>-2.5629639964247697E-3</v>
      </c>
    </row>
    <row r="1340" spans="5:6" x14ac:dyDescent="0.35">
      <c r="E1340">
        <v>1337</v>
      </c>
      <c r="F1340">
        <f t="shared" ca="1" si="22"/>
        <v>-1.7039845345254923E-2</v>
      </c>
    </row>
    <row r="1341" spans="5:6" x14ac:dyDescent="0.35">
      <c r="E1341">
        <v>1338</v>
      </c>
      <c r="F1341">
        <f t="shared" ca="1" si="22"/>
        <v>-2.9307753563835663E-4</v>
      </c>
    </row>
    <row r="1342" spans="5:6" x14ac:dyDescent="0.35">
      <c r="E1342">
        <v>1339</v>
      </c>
      <c r="F1342">
        <f t="shared" ca="1" si="22"/>
        <v>2.6470767765001874E-2</v>
      </c>
    </row>
    <row r="1343" spans="5:6" x14ac:dyDescent="0.35">
      <c r="E1343">
        <v>1340</v>
      </c>
      <c r="F1343">
        <f t="shared" ca="1" si="22"/>
        <v>2.6247429613912385E-2</v>
      </c>
    </row>
    <row r="1344" spans="5:6" x14ac:dyDescent="0.35">
      <c r="E1344">
        <v>1341</v>
      </c>
      <c r="F1344">
        <f t="shared" ca="1" si="22"/>
        <v>1.7825331393670509E-2</v>
      </c>
    </row>
    <row r="1345" spans="5:6" x14ac:dyDescent="0.35">
      <c r="E1345">
        <v>1342</v>
      </c>
      <c r="F1345">
        <f t="shared" ca="1" si="22"/>
        <v>3.9919754369533624E-3</v>
      </c>
    </row>
    <row r="1346" spans="5:6" x14ac:dyDescent="0.35">
      <c r="E1346">
        <v>1343</v>
      </c>
      <c r="F1346">
        <f t="shared" ca="1" si="22"/>
        <v>2.2525472641988431E-3</v>
      </c>
    </row>
    <row r="1347" spans="5:6" x14ac:dyDescent="0.35">
      <c r="E1347">
        <v>1344</v>
      </c>
      <c r="F1347">
        <f t="shared" ca="1" si="22"/>
        <v>-7.1857605772666173E-5</v>
      </c>
    </row>
    <row r="1348" spans="5:6" x14ac:dyDescent="0.35">
      <c r="E1348">
        <v>1345</v>
      </c>
      <c r="F1348">
        <f t="shared" ca="1" si="22"/>
        <v>-3.2818072094004586E-2</v>
      </c>
    </row>
    <row r="1349" spans="5:6" x14ac:dyDescent="0.35">
      <c r="E1349">
        <v>1346</v>
      </c>
      <c r="F1349">
        <f t="shared" ref="F1349:F1412" ca="1" si="23">_xlfn.NORM.INV(RAND(),M$6,M$7)</f>
        <v>8.6210934602862265E-4</v>
      </c>
    </row>
    <row r="1350" spans="5:6" x14ac:dyDescent="0.35">
      <c r="E1350">
        <v>1347</v>
      </c>
      <c r="F1350">
        <f t="shared" ca="1" si="23"/>
        <v>-1.2303524946564616E-2</v>
      </c>
    </row>
    <row r="1351" spans="5:6" x14ac:dyDescent="0.35">
      <c r="E1351">
        <v>1348</v>
      </c>
      <c r="F1351">
        <f t="shared" ca="1" si="23"/>
        <v>1.4676343495713173E-2</v>
      </c>
    </row>
    <row r="1352" spans="5:6" x14ac:dyDescent="0.35">
      <c r="E1352">
        <v>1349</v>
      </c>
      <c r="F1352">
        <f t="shared" ca="1" si="23"/>
        <v>3.8371822006100648E-2</v>
      </c>
    </row>
    <row r="1353" spans="5:6" x14ac:dyDescent="0.35">
      <c r="E1353">
        <v>1350</v>
      </c>
      <c r="F1353">
        <f t="shared" ca="1" si="23"/>
        <v>7.838176932252236E-3</v>
      </c>
    </row>
    <row r="1354" spans="5:6" x14ac:dyDescent="0.35">
      <c r="E1354">
        <v>1351</v>
      </c>
      <c r="F1354">
        <f t="shared" ca="1" si="23"/>
        <v>2.6277601591776379E-3</v>
      </c>
    </row>
    <row r="1355" spans="5:6" x14ac:dyDescent="0.35">
      <c r="E1355">
        <v>1352</v>
      </c>
      <c r="F1355">
        <f t="shared" ca="1" si="23"/>
        <v>1.4098827465410078E-2</v>
      </c>
    </row>
    <row r="1356" spans="5:6" x14ac:dyDescent="0.35">
      <c r="E1356">
        <v>1353</v>
      </c>
      <c r="F1356">
        <f t="shared" ca="1" si="23"/>
        <v>7.3950593807418918E-3</v>
      </c>
    </row>
    <row r="1357" spans="5:6" x14ac:dyDescent="0.35">
      <c r="E1357">
        <v>1354</v>
      </c>
      <c r="F1357">
        <f t="shared" ca="1" si="23"/>
        <v>-1.6616876782448598E-2</v>
      </c>
    </row>
    <row r="1358" spans="5:6" x14ac:dyDescent="0.35">
      <c r="E1358">
        <v>1355</v>
      </c>
      <c r="F1358">
        <f t="shared" ca="1" si="23"/>
        <v>1.415669581358653E-2</v>
      </c>
    </row>
    <row r="1359" spans="5:6" x14ac:dyDescent="0.35">
      <c r="E1359">
        <v>1356</v>
      </c>
      <c r="F1359">
        <f t="shared" ca="1" si="23"/>
        <v>-2.309224931177825E-4</v>
      </c>
    </row>
    <row r="1360" spans="5:6" x14ac:dyDescent="0.35">
      <c r="E1360">
        <v>1357</v>
      </c>
      <c r="F1360">
        <f t="shared" ca="1" si="23"/>
        <v>-1.400552970290017E-2</v>
      </c>
    </row>
    <row r="1361" spans="5:6" x14ac:dyDescent="0.35">
      <c r="E1361">
        <v>1358</v>
      </c>
      <c r="F1361">
        <f t="shared" ca="1" si="23"/>
        <v>1.3676832954749097E-2</v>
      </c>
    </row>
    <row r="1362" spans="5:6" x14ac:dyDescent="0.35">
      <c r="E1362">
        <v>1359</v>
      </c>
      <c r="F1362">
        <f t="shared" ca="1" si="23"/>
        <v>-3.5379824136377736E-3</v>
      </c>
    </row>
    <row r="1363" spans="5:6" x14ac:dyDescent="0.35">
      <c r="E1363">
        <v>1360</v>
      </c>
      <c r="F1363">
        <f t="shared" ca="1" si="23"/>
        <v>4.1646132931501406E-2</v>
      </c>
    </row>
    <row r="1364" spans="5:6" x14ac:dyDescent="0.35">
      <c r="E1364">
        <v>1361</v>
      </c>
      <c r="F1364">
        <f t="shared" ca="1" si="23"/>
        <v>-1.3773916354743367E-2</v>
      </c>
    </row>
    <row r="1365" spans="5:6" x14ac:dyDescent="0.35">
      <c r="E1365">
        <v>1362</v>
      </c>
      <c r="F1365">
        <f t="shared" ca="1" si="23"/>
        <v>-2.0838229225835544E-2</v>
      </c>
    </row>
    <row r="1366" spans="5:6" x14ac:dyDescent="0.35">
      <c r="E1366">
        <v>1363</v>
      </c>
      <c r="F1366">
        <f t="shared" ca="1" si="23"/>
        <v>1.0287138879393105E-2</v>
      </c>
    </row>
    <row r="1367" spans="5:6" x14ac:dyDescent="0.35">
      <c r="E1367">
        <v>1364</v>
      </c>
      <c r="F1367">
        <f t="shared" ca="1" si="23"/>
        <v>-1.7287131168296768E-3</v>
      </c>
    </row>
    <row r="1368" spans="5:6" x14ac:dyDescent="0.35">
      <c r="E1368">
        <v>1365</v>
      </c>
      <c r="F1368">
        <f t="shared" ca="1" si="23"/>
        <v>1.6752122299894711E-2</v>
      </c>
    </row>
    <row r="1369" spans="5:6" x14ac:dyDescent="0.35">
      <c r="E1369">
        <v>1366</v>
      </c>
      <c r="F1369">
        <f t="shared" ca="1" si="23"/>
        <v>-8.805618141257944E-3</v>
      </c>
    </row>
    <row r="1370" spans="5:6" x14ac:dyDescent="0.35">
      <c r="E1370">
        <v>1367</v>
      </c>
      <c r="F1370">
        <f t="shared" ca="1" si="23"/>
        <v>9.8788722888586561E-3</v>
      </c>
    </row>
    <row r="1371" spans="5:6" x14ac:dyDescent="0.35">
      <c r="E1371">
        <v>1368</v>
      </c>
      <c r="F1371">
        <f t="shared" ca="1" si="23"/>
        <v>-7.7791893435673644E-3</v>
      </c>
    </row>
    <row r="1372" spans="5:6" x14ac:dyDescent="0.35">
      <c r="E1372">
        <v>1369</v>
      </c>
      <c r="F1372">
        <f t="shared" ca="1" si="23"/>
        <v>-4.0768254081840899E-2</v>
      </c>
    </row>
    <row r="1373" spans="5:6" x14ac:dyDescent="0.35">
      <c r="E1373">
        <v>1370</v>
      </c>
      <c r="F1373">
        <f t="shared" ca="1" si="23"/>
        <v>6.7996700415246551E-3</v>
      </c>
    </row>
    <row r="1374" spans="5:6" x14ac:dyDescent="0.35">
      <c r="E1374">
        <v>1371</v>
      </c>
      <c r="F1374">
        <f t="shared" ca="1" si="23"/>
        <v>6.4736827591756604E-3</v>
      </c>
    </row>
    <row r="1375" spans="5:6" x14ac:dyDescent="0.35">
      <c r="E1375">
        <v>1372</v>
      </c>
      <c r="F1375">
        <f t="shared" ca="1" si="23"/>
        <v>9.3439315410214201E-3</v>
      </c>
    </row>
    <row r="1376" spans="5:6" x14ac:dyDescent="0.35">
      <c r="E1376">
        <v>1373</v>
      </c>
      <c r="F1376">
        <f t="shared" ca="1" si="23"/>
        <v>-3.0223862019788123E-3</v>
      </c>
    </row>
    <row r="1377" spans="5:6" x14ac:dyDescent="0.35">
      <c r="E1377">
        <v>1374</v>
      </c>
      <c r="F1377">
        <f t="shared" ca="1" si="23"/>
        <v>-1.1330460249280373E-2</v>
      </c>
    </row>
    <row r="1378" spans="5:6" x14ac:dyDescent="0.35">
      <c r="E1378">
        <v>1375</v>
      </c>
      <c r="F1378">
        <f t="shared" ca="1" si="23"/>
        <v>-3.1457268719087914E-3</v>
      </c>
    </row>
    <row r="1379" spans="5:6" x14ac:dyDescent="0.35">
      <c r="E1379">
        <v>1376</v>
      </c>
      <c r="F1379">
        <f t="shared" ca="1" si="23"/>
        <v>1.6946868964298877E-2</v>
      </c>
    </row>
    <row r="1380" spans="5:6" x14ac:dyDescent="0.35">
      <c r="E1380">
        <v>1377</v>
      </c>
      <c r="F1380">
        <f t="shared" ca="1" si="23"/>
        <v>1.2887668549934038E-3</v>
      </c>
    </row>
    <row r="1381" spans="5:6" x14ac:dyDescent="0.35">
      <c r="E1381">
        <v>1378</v>
      </c>
      <c r="F1381">
        <f t="shared" ca="1" si="23"/>
        <v>1.1091241780908373E-2</v>
      </c>
    </row>
    <row r="1382" spans="5:6" x14ac:dyDescent="0.35">
      <c r="E1382">
        <v>1379</v>
      </c>
      <c r="F1382">
        <f t="shared" ca="1" si="23"/>
        <v>-1.6917291112517269E-3</v>
      </c>
    </row>
    <row r="1383" spans="5:6" x14ac:dyDescent="0.35">
      <c r="E1383">
        <v>1380</v>
      </c>
      <c r="F1383">
        <f t="shared" ca="1" si="23"/>
        <v>-6.086360051951757E-3</v>
      </c>
    </row>
    <row r="1384" spans="5:6" x14ac:dyDescent="0.35">
      <c r="E1384">
        <v>1381</v>
      </c>
      <c r="F1384">
        <f t="shared" ca="1" si="23"/>
        <v>1.1797407466463272E-2</v>
      </c>
    </row>
    <row r="1385" spans="5:6" x14ac:dyDescent="0.35">
      <c r="E1385">
        <v>1382</v>
      </c>
      <c r="F1385">
        <f t="shared" ca="1" si="23"/>
        <v>3.3634090659262331E-2</v>
      </c>
    </row>
    <row r="1386" spans="5:6" x14ac:dyDescent="0.35">
      <c r="E1386">
        <v>1383</v>
      </c>
      <c r="F1386">
        <f t="shared" ca="1" si="23"/>
        <v>-1.4041907788480325E-3</v>
      </c>
    </row>
    <row r="1387" spans="5:6" x14ac:dyDescent="0.35">
      <c r="E1387">
        <v>1384</v>
      </c>
      <c r="F1387">
        <f t="shared" ca="1" si="23"/>
        <v>-8.2537970840184591E-3</v>
      </c>
    </row>
    <row r="1388" spans="5:6" x14ac:dyDescent="0.35">
      <c r="E1388">
        <v>1385</v>
      </c>
      <c r="F1388">
        <f t="shared" ca="1" si="23"/>
        <v>-1.0100196259071912E-2</v>
      </c>
    </row>
    <row r="1389" spans="5:6" x14ac:dyDescent="0.35">
      <c r="E1389">
        <v>1386</v>
      </c>
      <c r="F1389">
        <f t="shared" ca="1" si="23"/>
        <v>6.450593507960586E-3</v>
      </c>
    </row>
    <row r="1390" spans="5:6" x14ac:dyDescent="0.35">
      <c r="E1390">
        <v>1387</v>
      </c>
      <c r="F1390">
        <f t="shared" ca="1" si="23"/>
        <v>-8.7958787466970792E-3</v>
      </c>
    </row>
    <row r="1391" spans="5:6" x14ac:dyDescent="0.35">
      <c r="E1391">
        <v>1388</v>
      </c>
      <c r="F1391">
        <f t="shared" ca="1" si="23"/>
        <v>9.997265631439942E-3</v>
      </c>
    </row>
    <row r="1392" spans="5:6" x14ac:dyDescent="0.35">
      <c r="E1392">
        <v>1389</v>
      </c>
      <c r="F1392">
        <f t="shared" ca="1" si="23"/>
        <v>1.2225455061386781E-3</v>
      </c>
    </row>
    <row r="1393" spans="5:6" x14ac:dyDescent="0.35">
      <c r="E1393">
        <v>1390</v>
      </c>
      <c r="F1393">
        <f t="shared" ca="1" si="23"/>
        <v>-1.177534285902208E-3</v>
      </c>
    </row>
    <row r="1394" spans="5:6" x14ac:dyDescent="0.35">
      <c r="E1394">
        <v>1391</v>
      </c>
      <c r="F1394">
        <f t="shared" ca="1" si="23"/>
        <v>-8.2342920357885898E-3</v>
      </c>
    </row>
    <row r="1395" spans="5:6" x14ac:dyDescent="0.35">
      <c r="E1395">
        <v>1392</v>
      </c>
      <c r="F1395">
        <f t="shared" ca="1" si="23"/>
        <v>-1.3419093268959651E-2</v>
      </c>
    </row>
    <row r="1396" spans="5:6" x14ac:dyDescent="0.35">
      <c r="E1396">
        <v>1393</v>
      </c>
      <c r="F1396">
        <f t="shared" ca="1" si="23"/>
        <v>-2.6920741235626211E-2</v>
      </c>
    </row>
    <row r="1397" spans="5:6" x14ac:dyDescent="0.35">
      <c r="E1397">
        <v>1394</v>
      </c>
      <c r="F1397">
        <f t="shared" ca="1" si="23"/>
        <v>-2.9233394131922123E-3</v>
      </c>
    </row>
    <row r="1398" spans="5:6" x14ac:dyDescent="0.35">
      <c r="E1398">
        <v>1395</v>
      </c>
      <c r="F1398">
        <f t="shared" ca="1" si="23"/>
        <v>1.4981494058167056E-2</v>
      </c>
    </row>
    <row r="1399" spans="5:6" x14ac:dyDescent="0.35">
      <c r="E1399">
        <v>1396</v>
      </c>
      <c r="F1399">
        <f t="shared" ca="1" si="23"/>
        <v>9.5072017806418496E-3</v>
      </c>
    </row>
    <row r="1400" spans="5:6" x14ac:dyDescent="0.35">
      <c r="E1400">
        <v>1397</v>
      </c>
      <c r="F1400">
        <f t="shared" ca="1" si="23"/>
        <v>-9.1298878738524554E-3</v>
      </c>
    </row>
    <row r="1401" spans="5:6" x14ac:dyDescent="0.35">
      <c r="E1401">
        <v>1398</v>
      </c>
      <c r="F1401">
        <f t="shared" ca="1" si="23"/>
        <v>2.8838090269650635E-2</v>
      </c>
    </row>
    <row r="1402" spans="5:6" x14ac:dyDescent="0.35">
      <c r="E1402">
        <v>1399</v>
      </c>
      <c r="F1402">
        <f t="shared" ca="1" si="23"/>
        <v>1.441198097294369E-3</v>
      </c>
    </row>
    <row r="1403" spans="5:6" x14ac:dyDescent="0.35">
      <c r="E1403">
        <v>1400</v>
      </c>
      <c r="F1403">
        <f t="shared" ca="1" si="23"/>
        <v>-1.9007448774175817E-2</v>
      </c>
    </row>
    <row r="1404" spans="5:6" x14ac:dyDescent="0.35">
      <c r="E1404">
        <v>1401</v>
      </c>
      <c r="F1404">
        <f t="shared" ca="1" si="23"/>
        <v>1.6447640307719034E-2</v>
      </c>
    </row>
    <row r="1405" spans="5:6" x14ac:dyDescent="0.35">
      <c r="E1405">
        <v>1402</v>
      </c>
      <c r="F1405">
        <f t="shared" ca="1" si="23"/>
        <v>-2.0066302760965485E-3</v>
      </c>
    </row>
    <row r="1406" spans="5:6" x14ac:dyDescent="0.35">
      <c r="E1406">
        <v>1403</v>
      </c>
      <c r="F1406">
        <f t="shared" ca="1" si="23"/>
        <v>-1.9917065472757095E-2</v>
      </c>
    </row>
    <row r="1407" spans="5:6" x14ac:dyDescent="0.35">
      <c r="E1407">
        <v>1404</v>
      </c>
      <c r="F1407">
        <f t="shared" ca="1" si="23"/>
        <v>-1.9029063515259743E-2</v>
      </c>
    </row>
    <row r="1408" spans="5:6" x14ac:dyDescent="0.35">
      <c r="E1408">
        <v>1405</v>
      </c>
      <c r="F1408">
        <f t="shared" ca="1" si="23"/>
        <v>2.0084026753397124E-2</v>
      </c>
    </row>
    <row r="1409" spans="5:6" x14ac:dyDescent="0.35">
      <c r="E1409">
        <v>1406</v>
      </c>
      <c r="F1409">
        <f t="shared" ca="1" si="23"/>
        <v>1.6891123758637803E-2</v>
      </c>
    </row>
    <row r="1410" spans="5:6" x14ac:dyDescent="0.35">
      <c r="E1410">
        <v>1407</v>
      </c>
      <c r="F1410">
        <f t="shared" ca="1" si="23"/>
        <v>-7.6173215378307867E-3</v>
      </c>
    </row>
    <row r="1411" spans="5:6" x14ac:dyDescent="0.35">
      <c r="E1411">
        <v>1408</v>
      </c>
      <c r="F1411">
        <f t="shared" ca="1" si="23"/>
        <v>-5.9972341648799818E-3</v>
      </c>
    </row>
    <row r="1412" spans="5:6" x14ac:dyDescent="0.35">
      <c r="E1412">
        <v>1409</v>
      </c>
      <c r="F1412">
        <f t="shared" ca="1" si="23"/>
        <v>-4.7991299345361898E-3</v>
      </c>
    </row>
    <row r="1413" spans="5:6" x14ac:dyDescent="0.35">
      <c r="E1413">
        <v>1410</v>
      </c>
      <c r="F1413">
        <f t="shared" ref="F1413:F1476" ca="1" si="24">_xlfn.NORM.INV(RAND(),M$6,M$7)</f>
        <v>1.4616581085153213E-2</v>
      </c>
    </row>
    <row r="1414" spans="5:6" x14ac:dyDescent="0.35">
      <c r="E1414">
        <v>1411</v>
      </c>
      <c r="F1414">
        <f t="shared" ca="1" si="24"/>
        <v>-1.8026680849653944E-2</v>
      </c>
    </row>
    <row r="1415" spans="5:6" x14ac:dyDescent="0.35">
      <c r="E1415">
        <v>1412</v>
      </c>
      <c r="F1415">
        <f t="shared" ca="1" si="24"/>
        <v>-1.6445915319549444E-2</v>
      </c>
    </row>
    <row r="1416" spans="5:6" x14ac:dyDescent="0.35">
      <c r="E1416">
        <v>1413</v>
      </c>
      <c r="F1416">
        <f t="shared" ca="1" si="24"/>
        <v>-1.0670840770651856E-2</v>
      </c>
    </row>
    <row r="1417" spans="5:6" x14ac:dyDescent="0.35">
      <c r="E1417">
        <v>1414</v>
      </c>
      <c r="F1417">
        <f t="shared" ca="1" si="24"/>
        <v>1.7650416109134197E-2</v>
      </c>
    </row>
    <row r="1418" spans="5:6" x14ac:dyDescent="0.35">
      <c r="E1418">
        <v>1415</v>
      </c>
      <c r="F1418">
        <f t="shared" ca="1" si="24"/>
        <v>-9.6451081772871636E-3</v>
      </c>
    </row>
    <row r="1419" spans="5:6" x14ac:dyDescent="0.35">
      <c r="E1419">
        <v>1416</v>
      </c>
      <c r="F1419">
        <f t="shared" ca="1" si="24"/>
        <v>2.4749952662205657E-2</v>
      </c>
    </row>
    <row r="1420" spans="5:6" x14ac:dyDescent="0.35">
      <c r="E1420">
        <v>1417</v>
      </c>
      <c r="F1420">
        <f t="shared" ca="1" si="24"/>
        <v>-5.4780057142692334E-3</v>
      </c>
    </row>
    <row r="1421" spans="5:6" x14ac:dyDescent="0.35">
      <c r="E1421">
        <v>1418</v>
      </c>
      <c r="F1421">
        <f t="shared" ca="1" si="24"/>
        <v>-1.5466684340191245E-2</v>
      </c>
    </row>
    <row r="1422" spans="5:6" x14ac:dyDescent="0.35">
      <c r="E1422">
        <v>1419</v>
      </c>
      <c r="F1422">
        <f t="shared" ca="1" si="24"/>
        <v>1.8433834426050677E-2</v>
      </c>
    </row>
    <row r="1423" spans="5:6" x14ac:dyDescent="0.35">
      <c r="E1423">
        <v>1420</v>
      </c>
      <c r="F1423">
        <f t="shared" ca="1" si="24"/>
        <v>8.7596551005562767E-3</v>
      </c>
    </row>
    <row r="1424" spans="5:6" x14ac:dyDescent="0.35">
      <c r="E1424">
        <v>1421</v>
      </c>
      <c r="F1424">
        <f t="shared" ca="1" si="24"/>
        <v>-6.8911469475322167E-3</v>
      </c>
    </row>
    <row r="1425" spans="5:6" x14ac:dyDescent="0.35">
      <c r="E1425">
        <v>1422</v>
      </c>
      <c r="F1425">
        <f t="shared" ca="1" si="24"/>
        <v>1.3863553245696388E-2</v>
      </c>
    </row>
    <row r="1426" spans="5:6" x14ac:dyDescent="0.35">
      <c r="E1426">
        <v>1423</v>
      </c>
      <c r="F1426">
        <f t="shared" ca="1" si="24"/>
        <v>1.6798933521934609E-2</v>
      </c>
    </row>
    <row r="1427" spans="5:6" x14ac:dyDescent="0.35">
      <c r="E1427">
        <v>1424</v>
      </c>
      <c r="F1427">
        <f t="shared" ca="1" si="24"/>
        <v>1.9398440803187384E-2</v>
      </c>
    </row>
    <row r="1428" spans="5:6" x14ac:dyDescent="0.35">
      <c r="E1428">
        <v>1425</v>
      </c>
      <c r="F1428">
        <f t="shared" ca="1" si="24"/>
        <v>9.3171556355680814E-3</v>
      </c>
    </row>
    <row r="1429" spans="5:6" x14ac:dyDescent="0.35">
      <c r="E1429">
        <v>1426</v>
      </c>
      <c r="F1429">
        <f t="shared" ca="1" si="24"/>
        <v>2.1706333441286075E-2</v>
      </c>
    </row>
    <row r="1430" spans="5:6" x14ac:dyDescent="0.35">
      <c r="E1430">
        <v>1427</v>
      </c>
      <c r="F1430">
        <f t="shared" ca="1" si="24"/>
        <v>-9.499221812621212E-3</v>
      </c>
    </row>
    <row r="1431" spans="5:6" x14ac:dyDescent="0.35">
      <c r="E1431">
        <v>1428</v>
      </c>
      <c r="F1431">
        <f t="shared" ca="1" si="24"/>
        <v>-1.6451560078954704E-2</v>
      </c>
    </row>
    <row r="1432" spans="5:6" x14ac:dyDescent="0.35">
      <c r="E1432">
        <v>1429</v>
      </c>
      <c r="F1432">
        <f t="shared" ca="1" si="24"/>
        <v>-7.0809417275543244E-3</v>
      </c>
    </row>
    <row r="1433" spans="5:6" x14ac:dyDescent="0.35">
      <c r="E1433">
        <v>1430</v>
      </c>
      <c r="F1433">
        <f t="shared" ca="1" si="24"/>
        <v>1.7124398996651153E-2</v>
      </c>
    </row>
    <row r="1434" spans="5:6" x14ac:dyDescent="0.35">
      <c r="E1434">
        <v>1431</v>
      </c>
      <c r="F1434">
        <f t="shared" ca="1" si="24"/>
        <v>2.8402510932728917E-2</v>
      </c>
    </row>
    <row r="1435" spans="5:6" x14ac:dyDescent="0.35">
      <c r="E1435">
        <v>1432</v>
      </c>
      <c r="F1435">
        <f t="shared" ca="1" si="24"/>
        <v>3.8144920638840175E-3</v>
      </c>
    </row>
    <row r="1436" spans="5:6" x14ac:dyDescent="0.35">
      <c r="E1436">
        <v>1433</v>
      </c>
      <c r="F1436">
        <f t="shared" ca="1" si="24"/>
        <v>-2.4127807875418329E-2</v>
      </c>
    </row>
    <row r="1437" spans="5:6" x14ac:dyDescent="0.35">
      <c r="E1437">
        <v>1434</v>
      </c>
      <c r="F1437">
        <f t="shared" ca="1" si="24"/>
        <v>1.6380480904784615E-2</v>
      </c>
    </row>
    <row r="1438" spans="5:6" x14ac:dyDescent="0.35">
      <c r="E1438">
        <v>1435</v>
      </c>
      <c r="F1438">
        <f t="shared" ca="1" si="24"/>
        <v>1.1073767688939959E-2</v>
      </c>
    </row>
    <row r="1439" spans="5:6" x14ac:dyDescent="0.35">
      <c r="E1439">
        <v>1436</v>
      </c>
      <c r="F1439">
        <f t="shared" ca="1" si="24"/>
        <v>1.9158059554878242E-2</v>
      </c>
    </row>
    <row r="1440" spans="5:6" x14ac:dyDescent="0.35">
      <c r="E1440">
        <v>1437</v>
      </c>
      <c r="F1440">
        <f t="shared" ca="1" si="24"/>
        <v>1.7368298768743844E-2</v>
      </c>
    </row>
    <row r="1441" spans="5:6" x14ac:dyDescent="0.35">
      <c r="E1441">
        <v>1438</v>
      </c>
      <c r="F1441">
        <f t="shared" ca="1" si="24"/>
        <v>-3.150367424161539E-2</v>
      </c>
    </row>
    <row r="1442" spans="5:6" x14ac:dyDescent="0.35">
      <c r="E1442">
        <v>1439</v>
      </c>
      <c r="F1442">
        <f t="shared" ca="1" si="24"/>
        <v>-2.4895675998406583E-3</v>
      </c>
    </row>
    <row r="1443" spans="5:6" x14ac:dyDescent="0.35">
      <c r="E1443">
        <v>1440</v>
      </c>
      <c r="F1443">
        <f t="shared" ca="1" si="24"/>
        <v>1.7740266844869623E-2</v>
      </c>
    </row>
    <row r="1444" spans="5:6" x14ac:dyDescent="0.35">
      <c r="E1444">
        <v>1441</v>
      </c>
      <c r="F1444">
        <f t="shared" ca="1" si="24"/>
        <v>8.9972872546703504E-3</v>
      </c>
    </row>
    <row r="1445" spans="5:6" x14ac:dyDescent="0.35">
      <c r="E1445">
        <v>1442</v>
      </c>
      <c r="F1445">
        <f t="shared" ca="1" si="24"/>
        <v>6.7913801718972149E-3</v>
      </c>
    </row>
    <row r="1446" spans="5:6" x14ac:dyDescent="0.35">
      <c r="E1446">
        <v>1443</v>
      </c>
      <c r="F1446">
        <f t="shared" ca="1" si="24"/>
        <v>-1.2639858994850182E-2</v>
      </c>
    </row>
    <row r="1447" spans="5:6" x14ac:dyDescent="0.35">
      <c r="E1447">
        <v>1444</v>
      </c>
      <c r="F1447">
        <f t="shared" ca="1" si="24"/>
        <v>1.3391392898776867E-2</v>
      </c>
    </row>
    <row r="1448" spans="5:6" x14ac:dyDescent="0.35">
      <c r="E1448">
        <v>1445</v>
      </c>
      <c r="F1448">
        <f t="shared" ca="1" si="24"/>
        <v>1.7308029115051086E-2</v>
      </c>
    </row>
    <row r="1449" spans="5:6" x14ac:dyDescent="0.35">
      <c r="E1449">
        <v>1446</v>
      </c>
      <c r="F1449">
        <f t="shared" ca="1" si="24"/>
        <v>-1.7322784565786099E-2</v>
      </c>
    </row>
    <row r="1450" spans="5:6" x14ac:dyDescent="0.35">
      <c r="E1450">
        <v>1447</v>
      </c>
      <c r="F1450">
        <f t="shared" ca="1" si="24"/>
        <v>-1.657710887168725E-2</v>
      </c>
    </row>
    <row r="1451" spans="5:6" x14ac:dyDescent="0.35">
      <c r="E1451">
        <v>1448</v>
      </c>
      <c r="F1451">
        <f t="shared" ca="1" si="24"/>
        <v>-2.0700846292869907E-2</v>
      </c>
    </row>
    <row r="1452" spans="5:6" x14ac:dyDescent="0.35">
      <c r="E1452">
        <v>1449</v>
      </c>
      <c r="F1452">
        <f t="shared" ca="1" si="24"/>
        <v>4.2020314392645381E-3</v>
      </c>
    </row>
    <row r="1453" spans="5:6" x14ac:dyDescent="0.35">
      <c r="E1453">
        <v>1450</v>
      </c>
      <c r="F1453">
        <f t="shared" ca="1" si="24"/>
        <v>-2.0673924398641175E-2</v>
      </c>
    </row>
    <row r="1454" spans="5:6" x14ac:dyDescent="0.35">
      <c r="E1454">
        <v>1451</v>
      </c>
      <c r="F1454">
        <f t="shared" ca="1" si="24"/>
        <v>2.5037859782729242E-2</v>
      </c>
    </row>
    <row r="1455" spans="5:6" x14ac:dyDescent="0.35">
      <c r="E1455">
        <v>1452</v>
      </c>
      <c r="F1455">
        <f t="shared" ca="1" si="24"/>
        <v>-2.7140688979410037E-3</v>
      </c>
    </row>
    <row r="1456" spans="5:6" x14ac:dyDescent="0.35">
      <c r="E1456">
        <v>1453</v>
      </c>
      <c r="F1456">
        <f t="shared" ca="1" si="24"/>
        <v>-3.3882852065664324E-3</v>
      </c>
    </row>
    <row r="1457" spans="5:6" x14ac:dyDescent="0.35">
      <c r="E1457">
        <v>1454</v>
      </c>
      <c r="F1457">
        <f t="shared" ca="1" si="24"/>
        <v>-2.1672925497473208E-2</v>
      </c>
    </row>
    <row r="1458" spans="5:6" x14ac:dyDescent="0.35">
      <c r="E1458">
        <v>1455</v>
      </c>
      <c r="F1458">
        <f t="shared" ca="1" si="24"/>
        <v>3.0257449955784547E-2</v>
      </c>
    </row>
    <row r="1459" spans="5:6" x14ac:dyDescent="0.35">
      <c r="E1459">
        <v>1456</v>
      </c>
      <c r="F1459">
        <f t="shared" ca="1" si="24"/>
        <v>-2.5873723485504176E-2</v>
      </c>
    </row>
    <row r="1460" spans="5:6" x14ac:dyDescent="0.35">
      <c r="E1460">
        <v>1457</v>
      </c>
      <c r="F1460">
        <f t="shared" ca="1" si="24"/>
        <v>-1.2656414636894306E-2</v>
      </c>
    </row>
    <row r="1461" spans="5:6" x14ac:dyDescent="0.35">
      <c r="E1461">
        <v>1458</v>
      </c>
      <c r="F1461">
        <f t="shared" ca="1" si="24"/>
        <v>6.0632588863148238E-3</v>
      </c>
    </row>
    <row r="1462" spans="5:6" x14ac:dyDescent="0.35">
      <c r="E1462">
        <v>1459</v>
      </c>
      <c r="F1462">
        <f t="shared" ca="1" si="24"/>
        <v>1.8304482105096401E-2</v>
      </c>
    </row>
    <row r="1463" spans="5:6" x14ac:dyDescent="0.35">
      <c r="E1463">
        <v>1460</v>
      </c>
      <c r="F1463">
        <f t="shared" ca="1" si="24"/>
        <v>1.3389633913173549E-2</v>
      </c>
    </row>
    <row r="1464" spans="5:6" x14ac:dyDescent="0.35">
      <c r="E1464">
        <v>1461</v>
      </c>
      <c r="F1464">
        <f t="shared" ca="1" si="24"/>
        <v>-1.70712585496402E-2</v>
      </c>
    </row>
    <row r="1465" spans="5:6" x14ac:dyDescent="0.35">
      <c r="E1465">
        <v>1462</v>
      </c>
      <c r="F1465">
        <f t="shared" ca="1" si="24"/>
        <v>-1.0098655560086189E-2</v>
      </c>
    </row>
    <row r="1466" spans="5:6" x14ac:dyDescent="0.35">
      <c r="E1466">
        <v>1463</v>
      </c>
      <c r="F1466">
        <f t="shared" ca="1" si="24"/>
        <v>-6.4184441354811538E-3</v>
      </c>
    </row>
    <row r="1467" spans="5:6" x14ac:dyDescent="0.35">
      <c r="E1467">
        <v>1464</v>
      </c>
      <c r="F1467">
        <f t="shared" ca="1" si="24"/>
        <v>-2.4585039478989931E-2</v>
      </c>
    </row>
    <row r="1468" spans="5:6" x14ac:dyDescent="0.35">
      <c r="E1468">
        <v>1465</v>
      </c>
      <c r="F1468">
        <f t="shared" ca="1" si="24"/>
        <v>-1.1172099728057407E-2</v>
      </c>
    </row>
    <row r="1469" spans="5:6" x14ac:dyDescent="0.35">
      <c r="E1469">
        <v>1466</v>
      </c>
      <c r="F1469">
        <f t="shared" ca="1" si="24"/>
        <v>5.349261572094254E-3</v>
      </c>
    </row>
    <row r="1470" spans="5:6" x14ac:dyDescent="0.35">
      <c r="E1470">
        <v>1467</v>
      </c>
      <c r="F1470">
        <f t="shared" ca="1" si="24"/>
        <v>-6.8817007659362148E-3</v>
      </c>
    </row>
    <row r="1471" spans="5:6" x14ac:dyDescent="0.35">
      <c r="E1471">
        <v>1468</v>
      </c>
      <c r="F1471">
        <f t="shared" ca="1" si="24"/>
        <v>-8.0060101968480006E-3</v>
      </c>
    </row>
    <row r="1472" spans="5:6" x14ac:dyDescent="0.35">
      <c r="E1472">
        <v>1469</v>
      </c>
      <c r="F1472">
        <f t="shared" ca="1" si="24"/>
        <v>1.5029024067860542E-2</v>
      </c>
    </row>
    <row r="1473" spans="5:6" x14ac:dyDescent="0.35">
      <c r="E1473">
        <v>1470</v>
      </c>
      <c r="F1473">
        <f t="shared" ca="1" si="24"/>
        <v>1.9644616180458665E-3</v>
      </c>
    </row>
    <row r="1474" spans="5:6" x14ac:dyDescent="0.35">
      <c r="E1474">
        <v>1471</v>
      </c>
      <c r="F1474">
        <f t="shared" ca="1" si="24"/>
        <v>9.2362824222687822E-4</v>
      </c>
    </row>
    <row r="1475" spans="5:6" x14ac:dyDescent="0.35">
      <c r="E1475">
        <v>1472</v>
      </c>
      <c r="F1475">
        <f t="shared" ca="1" si="24"/>
        <v>1.9910092802226297E-2</v>
      </c>
    </row>
    <row r="1476" spans="5:6" x14ac:dyDescent="0.35">
      <c r="E1476">
        <v>1473</v>
      </c>
      <c r="F1476">
        <f t="shared" ca="1" si="24"/>
        <v>-2.7027000487586911E-2</v>
      </c>
    </row>
    <row r="1477" spans="5:6" x14ac:dyDescent="0.35">
      <c r="E1477">
        <v>1474</v>
      </c>
      <c r="F1477">
        <f t="shared" ref="F1477:F1540" ca="1" si="25">_xlfn.NORM.INV(RAND(),M$6,M$7)</f>
        <v>-3.0324148625828404E-3</v>
      </c>
    </row>
    <row r="1478" spans="5:6" x14ac:dyDescent="0.35">
      <c r="E1478">
        <v>1475</v>
      </c>
      <c r="F1478">
        <f t="shared" ca="1" si="25"/>
        <v>-2.722286970717433E-2</v>
      </c>
    </row>
    <row r="1479" spans="5:6" x14ac:dyDescent="0.35">
      <c r="E1479">
        <v>1476</v>
      </c>
      <c r="F1479">
        <f t="shared" ca="1" si="25"/>
        <v>-6.9944637688355484E-3</v>
      </c>
    </row>
    <row r="1480" spans="5:6" x14ac:dyDescent="0.35">
      <c r="E1480">
        <v>1477</v>
      </c>
      <c r="F1480">
        <f t="shared" ca="1" si="25"/>
        <v>3.5229505971446176E-3</v>
      </c>
    </row>
    <row r="1481" spans="5:6" x14ac:dyDescent="0.35">
      <c r="E1481">
        <v>1478</v>
      </c>
      <c r="F1481">
        <f t="shared" ca="1" si="25"/>
        <v>5.3577878459625611E-2</v>
      </c>
    </row>
    <row r="1482" spans="5:6" x14ac:dyDescent="0.35">
      <c r="E1482">
        <v>1479</v>
      </c>
      <c r="F1482">
        <f t="shared" ca="1" si="25"/>
        <v>-3.2369084948531725E-3</v>
      </c>
    </row>
    <row r="1483" spans="5:6" x14ac:dyDescent="0.35">
      <c r="E1483">
        <v>1480</v>
      </c>
      <c r="F1483">
        <f t="shared" ca="1" si="25"/>
        <v>-8.4150764169735152E-3</v>
      </c>
    </row>
    <row r="1484" spans="5:6" x14ac:dyDescent="0.35">
      <c r="E1484">
        <v>1481</v>
      </c>
      <c r="F1484">
        <f t="shared" ca="1" si="25"/>
        <v>2.7158539398605578E-2</v>
      </c>
    </row>
    <row r="1485" spans="5:6" x14ac:dyDescent="0.35">
      <c r="E1485">
        <v>1482</v>
      </c>
      <c r="F1485">
        <f t="shared" ca="1" si="25"/>
        <v>1.5146087574184147E-2</v>
      </c>
    </row>
    <row r="1486" spans="5:6" x14ac:dyDescent="0.35">
      <c r="E1486">
        <v>1483</v>
      </c>
      <c r="F1486">
        <f t="shared" ca="1" si="25"/>
        <v>-1.0542586710359767E-2</v>
      </c>
    </row>
    <row r="1487" spans="5:6" x14ac:dyDescent="0.35">
      <c r="E1487">
        <v>1484</v>
      </c>
      <c r="F1487">
        <f t="shared" ca="1" si="25"/>
        <v>-1.6896369395919215E-2</v>
      </c>
    </row>
    <row r="1488" spans="5:6" x14ac:dyDescent="0.35">
      <c r="E1488">
        <v>1485</v>
      </c>
      <c r="F1488">
        <f t="shared" ca="1" si="25"/>
        <v>1.3360551926743522E-3</v>
      </c>
    </row>
    <row r="1489" spans="5:6" x14ac:dyDescent="0.35">
      <c r="E1489">
        <v>1486</v>
      </c>
      <c r="F1489">
        <f t="shared" ca="1" si="25"/>
        <v>-1.0266997060705538E-2</v>
      </c>
    </row>
    <row r="1490" spans="5:6" x14ac:dyDescent="0.35">
      <c r="E1490">
        <v>1487</v>
      </c>
      <c r="F1490">
        <f t="shared" ca="1" si="25"/>
        <v>-9.6023410127858734E-3</v>
      </c>
    </row>
    <row r="1491" spans="5:6" x14ac:dyDescent="0.35">
      <c r="E1491">
        <v>1488</v>
      </c>
      <c r="F1491">
        <f t="shared" ca="1" si="25"/>
        <v>2.7152219060735665E-2</v>
      </c>
    </row>
    <row r="1492" spans="5:6" x14ac:dyDescent="0.35">
      <c r="E1492">
        <v>1489</v>
      </c>
      <c r="F1492">
        <f t="shared" ca="1" si="25"/>
        <v>5.3731504780437219E-3</v>
      </c>
    </row>
    <row r="1493" spans="5:6" x14ac:dyDescent="0.35">
      <c r="E1493">
        <v>1490</v>
      </c>
      <c r="F1493">
        <f t="shared" ca="1" si="25"/>
        <v>-1.6930966967535904E-2</v>
      </c>
    </row>
    <row r="1494" spans="5:6" x14ac:dyDescent="0.35">
      <c r="E1494">
        <v>1491</v>
      </c>
      <c r="F1494">
        <f t="shared" ca="1" si="25"/>
        <v>1.8870889411506388E-3</v>
      </c>
    </row>
    <row r="1495" spans="5:6" x14ac:dyDescent="0.35">
      <c r="E1495">
        <v>1492</v>
      </c>
      <c r="F1495">
        <f t="shared" ca="1" si="25"/>
        <v>1.9088653525132829E-4</v>
      </c>
    </row>
    <row r="1496" spans="5:6" x14ac:dyDescent="0.35">
      <c r="E1496">
        <v>1493</v>
      </c>
      <c r="F1496">
        <f t="shared" ca="1" si="25"/>
        <v>2.7049142007817438E-3</v>
      </c>
    </row>
    <row r="1497" spans="5:6" x14ac:dyDescent="0.35">
      <c r="E1497">
        <v>1494</v>
      </c>
      <c r="F1497">
        <f t="shared" ca="1" si="25"/>
        <v>-1.2517964787651052E-2</v>
      </c>
    </row>
    <row r="1498" spans="5:6" x14ac:dyDescent="0.35">
      <c r="E1498">
        <v>1495</v>
      </c>
      <c r="F1498">
        <f t="shared" ca="1" si="25"/>
        <v>1.1369453534988196E-2</v>
      </c>
    </row>
    <row r="1499" spans="5:6" x14ac:dyDescent="0.35">
      <c r="E1499">
        <v>1496</v>
      </c>
      <c r="F1499">
        <f t="shared" ca="1" si="25"/>
        <v>4.8655196515047083E-3</v>
      </c>
    </row>
    <row r="1500" spans="5:6" x14ac:dyDescent="0.35">
      <c r="E1500">
        <v>1497</v>
      </c>
      <c r="F1500">
        <f t="shared" ca="1" si="25"/>
        <v>2.8727129715513205E-2</v>
      </c>
    </row>
    <row r="1501" spans="5:6" x14ac:dyDescent="0.35">
      <c r="E1501">
        <v>1498</v>
      </c>
      <c r="F1501">
        <f t="shared" ca="1" si="25"/>
        <v>8.5514466445393168E-3</v>
      </c>
    </row>
    <row r="1502" spans="5:6" x14ac:dyDescent="0.35">
      <c r="E1502">
        <v>1499</v>
      </c>
      <c r="F1502">
        <f t="shared" ca="1" si="25"/>
        <v>-6.5301135885924453E-3</v>
      </c>
    </row>
    <row r="1503" spans="5:6" x14ac:dyDescent="0.35">
      <c r="E1503">
        <v>1500</v>
      </c>
      <c r="F1503">
        <f t="shared" ca="1" si="25"/>
        <v>-1.5093558690382711E-2</v>
      </c>
    </row>
    <row r="1504" spans="5:6" x14ac:dyDescent="0.35">
      <c r="E1504">
        <v>1501</v>
      </c>
      <c r="F1504">
        <f t="shared" ca="1" si="25"/>
        <v>-3.6944669301476135E-4</v>
      </c>
    </row>
    <row r="1505" spans="5:6" x14ac:dyDescent="0.35">
      <c r="E1505">
        <v>1502</v>
      </c>
      <c r="F1505">
        <f t="shared" ca="1" si="25"/>
        <v>-5.652872903556894E-3</v>
      </c>
    </row>
    <row r="1506" spans="5:6" x14ac:dyDescent="0.35">
      <c r="E1506">
        <v>1503</v>
      </c>
      <c r="F1506">
        <f t="shared" ca="1" si="25"/>
        <v>1.2348726738646492E-2</v>
      </c>
    </row>
    <row r="1507" spans="5:6" x14ac:dyDescent="0.35">
      <c r="E1507">
        <v>1504</v>
      </c>
      <c r="F1507">
        <f t="shared" ca="1" si="25"/>
        <v>-1.4646927271454458E-2</v>
      </c>
    </row>
    <row r="1508" spans="5:6" x14ac:dyDescent="0.35">
      <c r="E1508">
        <v>1505</v>
      </c>
      <c r="F1508">
        <f t="shared" ca="1" si="25"/>
        <v>1.6748422833267312E-2</v>
      </c>
    </row>
    <row r="1509" spans="5:6" x14ac:dyDescent="0.35">
      <c r="E1509">
        <v>1506</v>
      </c>
      <c r="F1509">
        <f t="shared" ca="1" si="25"/>
        <v>-1.7841999878747079E-2</v>
      </c>
    </row>
    <row r="1510" spans="5:6" x14ac:dyDescent="0.35">
      <c r="E1510">
        <v>1507</v>
      </c>
      <c r="F1510">
        <f t="shared" ca="1" si="25"/>
        <v>-1.8531974709581567E-2</v>
      </c>
    </row>
    <row r="1511" spans="5:6" x14ac:dyDescent="0.35">
      <c r="E1511">
        <v>1508</v>
      </c>
      <c r="F1511">
        <f t="shared" ca="1" si="25"/>
        <v>-2.3758020801773059E-2</v>
      </c>
    </row>
    <row r="1512" spans="5:6" x14ac:dyDescent="0.35">
      <c r="E1512">
        <v>1509</v>
      </c>
      <c r="F1512">
        <f t="shared" ca="1" si="25"/>
        <v>-1.0131192172514757E-4</v>
      </c>
    </row>
    <row r="1513" spans="5:6" x14ac:dyDescent="0.35">
      <c r="E1513">
        <v>1510</v>
      </c>
      <c r="F1513">
        <f t="shared" ca="1" si="25"/>
        <v>1.4242120005463198E-2</v>
      </c>
    </row>
    <row r="1514" spans="5:6" x14ac:dyDescent="0.35">
      <c r="E1514">
        <v>1511</v>
      </c>
      <c r="F1514">
        <f t="shared" ca="1" si="25"/>
        <v>1.4683056358495391E-2</v>
      </c>
    </row>
    <row r="1515" spans="5:6" x14ac:dyDescent="0.35">
      <c r="E1515">
        <v>1512</v>
      </c>
      <c r="F1515">
        <f t="shared" ca="1" si="25"/>
        <v>1.0256202196855229E-2</v>
      </c>
    </row>
    <row r="1516" spans="5:6" x14ac:dyDescent="0.35">
      <c r="E1516">
        <v>1513</v>
      </c>
      <c r="F1516">
        <f t="shared" ca="1" si="25"/>
        <v>2.0646974372594024E-2</v>
      </c>
    </row>
    <row r="1517" spans="5:6" x14ac:dyDescent="0.35">
      <c r="E1517">
        <v>1514</v>
      </c>
      <c r="F1517">
        <f t="shared" ca="1" si="25"/>
        <v>1.8529879088005671E-2</v>
      </c>
    </row>
    <row r="1518" spans="5:6" x14ac:dyDescent="0.35">
      <c r="E1518">
        <v>1515</v>
      </c>
      <c r="F1518">
        <f t="shared" ca="1" si="25"/>
        <v>9.1599927569819307E-3</v>
      </c>
    </row>
    <row r="1519" spans="5:6" x14ac:dyDescent="0.35">
      <c r="E1519">
        <v>1516</v>
      </c>
      <c r="F1519">
        <f t="shared" ca="1" si="25"/>
        <v>1.2456036160701634E-2</v>
      </c>
    </row>
    <row r="1520" spans="5:6" x14ac:dyDescent="0.35">
      <c r="E1520">
        <v>1517</v>
      </c>
      <c r="F1520">
        <f t="shared" ca="1" si="25"/>
        <v>6.3684355477437041E-3</v>
      </c>
    </row>
    <row r="1521" spans="5:6" x14ac:dyDescent="0.35">
      <c r="E1521">
        <v>1518</v>
      </c>
      <c r="F1521">
        <f t="shared" ca="1" si="25"/>
        <v>-1.1218074585709226E-2</v>
      </c>
    </row>
    <row r="1522" spans="5:6" x14ac:dyDescent="0.35">
      <c r="E1522">
        <v>1519</v>
      </c>
      <c r="F1522">
        <f t="shared" ca="1" si="25"/>
        <v>-1.2257226494769959E-2</v>
      </c>
    </row>
    <row r="1523" spans="5:6" x14ac:dyDescent="0.35">
      <c r="E1523">
        <v>1520</v>
      </c>
      <c r="F1523">
        <f t="shared" ca="1" si="25"/>
        <v>-2.8103155409300632E-3</v>
      </c>
    </row>
    <row r="1524" spans="5:6" x14ac:dyDescent="0.35">
      <c r="E1524">
        <v>1521</v>
      </c>
      <c r="F1524">
        <f t="shared" ca="1" si="25"/>
        <v>-1.9529918003885358E-2</v>
      </c>
    </row>
    <row r="1525" spans="5:6" x14ac:dyDescent="0.35">
      <c r="E1525">
        <v>1522</v>
      </c>
      <c r="F1525">
        <f t="shared" ca="1" si="25"/>
        <v>-2.1011918655753598E-2</v>
      </c>
    </row>
    <row r="1526" spans="5:6" x14ac:dyDescent="0.35">
      <c r="E1526">
        <v>1523</v>
      </c>
      <c r="F1526">
        <f t="shared" ca="1" si="25"/>
        <v>-1.2752916863564731E-2</v>
      </c>
    </row>
    <row r="1527" spans="5:6" x14ac:dyDescent="0.35">
      <c r="E1527">
        <v>1524</v>
      </c>
      <c r="F1527">
        <f t="shared" ca="1" si="25"/>
        <v>-2.7352381108537104E-3</v>
      </c>
    </row>
    <row r="1528" spans="5:6" x14ac:dyDescent="0.35">
      <c r="E1528">
        <v>1525</v>
      </c>
      <c r="F1528">
        <f t="shared" ca="1" si="25"/>
        <v>-5.5652903638447361E-3</v>
      </c>
    </row>
    <row r="1529" spans="5:6" x14ac:dyDescent="0.35">
      <c r="E1529">
        <v>1526</v>
      </c>
      <c r="F1529">
        <f t="shared" ca="1" si="25"/>
        <v>-8.788592472373187E-3</v>
      </c>
    </row>
    <row r="1530" spans="5:6" x14ac:dyDescent="0.35">
      <c r="E1530">
        <v>1527</v>
      </c>
      <c r="F1530">
        <f t="shared" ca="1" si="25"/>
        <v>6.4317570618684233E-3</v>
      </c>
    </row>
    <row r="1531" spans="5:6" x14ac:dyDescent="0.35">
      <c r="E1531">
        <v>1528</v>
      </c>
      <c r="F1531">
        <f t="shared" ca="1" si="25"/>
        <v>9.9074477140786155E-3</v>
      </c>
    </row>
    <row r="1532" spans="5:6" x14ac:dyDescent="0.35">
      <c r="E1532">
        <v>1529</v>
      </c>
      <c r="F1532">
        <f t="shared" ca="1" si="25"/>
        <v>-1.3910424831834653E-3</v>
      </c>
    </row>
    <row r="1533" spans="5:6" x14ac:dyDescent="0.35">
      <c r="E1533">
        <v>1530</v>
      </c>
      <c r="F1533">
        <f t="shared" ca="1" si="25"/>
        <v>4.5806238929413226E-2</v>
      </c>
    </row>
    <row r="1534" spans="5:6" x14ac:dyDescent="0.35">
      <c r="E1534">
        <v>1531</v>
      </c>
      <c r="F1534">
        <f t="shared" ca="1" si="25"/>
        <v>1.5352628304297587E-2</v>
      </c>
    </row>
    <row r="1535" spans="5:6" x14ac:dyDescent="0.35">
      <c r="E1535">
        <v>1532</v>
      </c>
      <c r="F1535">
        <f t="shared" ca="1" si="25"/>
        <v>2.242242709006486E-2</v>
      </c>
    </row>
    <row r="1536" spans="5:6" x14ac:dyDescent="0.35">
      <c r="E1536">
        <v>1533</v>
      </c>
      <c r="F1536">
        <f t="shared" ca="1" si="25"/>
        <v>3.6109920813406759E-3</v>
      </c>
    </row>
    <row r="1537" spans="5:6" x14ac:dyDescent="0.35">
      <c r="E1537">
        <v>1534</v>
      </c>
      <c r="F1537">
        <f t="shared" ca="1" si="25"/>
        <v>-1.2874864798850397E-2</v>
      </c>
    </row>
    <row r="1538" spans="5:6" x14ac:dyDescent="0.35">
      <c r="E1538">
        <v>1535</v>
      </c>
      <c r="F1538">
        <f t="shared" ca="1" si="25"/>
        <v>-3.1390822484651616E-2</v>
      </c>
    </row>
    <row r="1539" spans="5:6" x14ac:dyDescent="0.35">
      <c r="E1539">
        <v>1536</v>
      </c>
      <c r="F1539">
        <f t="shared" ca="1" si="25"/>
        <v>1.122880261789919E-2</v>
      </c>
    </row>
    <row r="1540" spans="5:6" x14ac:dyDescent="0.35">
      <c r="E1540">
        <v>1537</v>
      </c>
      <c r="F1540">
        <f t="shared" ca="1" si="25"/>
        <v>1.3884046583186826E-2</v>
      </c>
    </row>
    <row r="1541" spans="5:6" x14ac:dyDescent="0.35">
      <c r="E1541">
        <v>1538</v>
      </c>
      <c r="F1541">
        <f t="shared" ref="F1541:F1604" ca="1" si="26">_xlfn.NORM.INV(RAND(),M$6,M$7)</f>
        <v>1.038431975412208E-2</v>
      </c>
    </row>
    <row r="1542" spans="5:6" x14ac:dyDescent="0.35">
      <c r="E1542">
        <v>1539</v>
      </c>
      <c r="F1542">
        <f t="shared" ca="1" si="26"/>
        <v>-1.3233095652577458E-2</v>
      </c>
    </row>
    <row r="1543" spans="5:6" x14ac:dyDescent="0.35">
      <c r="E1543">
        <v>1540</v>
      </c>
      <c r="F1543">
        <f t="shared" ca="1" si="26"/>
        <v>-3.3803985511861231E-4</v>
      </c>
    </row>
    <row r="1544" spans="5:6" x14ac:dyDescent="0.35">
      <c r="E1544">
        <v>1541</v>
      </c>
      <c r="F1544">
        <f t="shared" ca="1" si="26"/>
        <v>1.1990272186439263E-2</v>
      </c>
    </row>
    <row r="1545" spans="5:6" x14ac:dyDescent="0.35">
      <c r="E1545">
        <v>1542</v>
      </c>
      <c r="F1545">
        <f t="shared" ca="1" si="26"/>
        <v>1.3683276491494683E-2</v>
      </c>
    </row>
    <row r="1546" spans="5:6" x14ac:dyDescent="0.35">
      <c r="E1546">
        <v>1543</v>
      </c>
      <c r="F1546">
        <f t="shared" ca="1" si="26"/>
        <v>3.0566524800422292E-2</v>
      </c>
    </row>
    <row r="1547" spans="5:6" x14ac:dyDescent="0.35">
      <c r="E1547">
        <v>1544</v>
      </c>
      <c r="F1547">
        <f t="shared" ca="1" si="26"/>
        <v>-2.8232999836842767E-2</v>
      </c>
    </row>
    <row r="1548" spans="5:6" x14ac:dyDescent="0.35">
      <c r="E1548">
        <v>1545</v>
      </c>
      <c r="F1548">
        <f t="shared" ca="1" si="26"/>
        <v>1.4807732224828705E-2</v>
      </c>
    </row>
    <row r="1549" spans="5:6" x14ac:dyDescent="0.35">
      <c r="E1549">
        <v>1546</v>
      </c>
      <c r="F1549">
        <f t="shared" ca="1" si="26"/>
        <v>-1.3397299671376836E-2</v>
      </c>
    </row>
    <row r="1550" spans="5:6" x14ac:dyDescent="0.35">
      <c r="E1550">
        <v>1547</v>
      </c>
      <c r="F1550">
        <f t="shared" ca="1" si="26"/>
        <v>6.9401555124488576E-3</v>
      </c>
    </row>
    <row r="1551" spans="5:6" x14ac:dyDescent="0.35">
      <c r="E1551">
        <v>1548</v>
      </c>
      <c r="F1551">
        <f t="shared" ca="1" si="26"/>
        <v>-6.8708888074211789E-3</v>
      </c>
    </row>
    <row r="1552" spans="5:6" x14ac:dyDescent="0.35">
      <c r="E1552">
        <v>1549</v>
      </c>
      <c r="F1552">
        <f t="shared" ca="1" si="26"/>
        <v>1.0736490723662015E-2</v>
      </c>
    </row>
    <row r="1553" spans="5:6" x14ac:dyDescent="0.35">
      <c r="E1553">
        <v>1550</v>
      </c>
      <c r="F1553">
        <f t="shared" ca="1" si="26"/>
        <v>8.6441623811372992E-3</v>
      </c>
    </row>
    <row r="1554" spans="5:6" x14ac:dyDescent="0.35">
      <c r="E1554">
        <v>1551</v>
      </c>
      <c r="F1554">
        <f t="shared" ca="1" si="26"/>
        <v>-9.3602764024975291E-3</v>
      </c>
    </row>
    <row r="1555" spans="5:6" x14ac:dyDescent="0.35">
      <c r="E1555">
        <v>1552</v>
      </c>
      <c r="F1555">
        <f t="shared" ca="1" si="26"/>
        <v>5.4579017737687195E-3</v>
      </c>
    </row>
    <row r="1556" spans="5:6" x14ac:dyDescent="0.35">
      <c r="E1556">
        <v>1553</v>
      </c>
      <c r="F1556">
        <f t="shared" ca="1" si="26"/>
        <v>-1.4480830527976302E-2</v>
      </c>
    </row>
    <row r="1557" spans="5:6" x14ac:dyDescent="0.35">
      <c r="E1557">
        <v>1554</v>
      </c>
      <c r="F1557">
        <f t="shared" ca="1" si="26"/>
        <v>-1.0708685170503246E-2</v>
      </c>
    </row>
    <row r="1558" spans="5:6" x14ac:dyDescent="0.35">
      <c r="E1558">
        <v>1555</v>
      </c>
      <c r="F1558">
        <f t="shared" ca="1" si="26"/>
        <v>-3.6654948267241744E-3</v>
      </c>
    </row>
    <row r="1559" spans="5:6" x14ac:dyDescent="0.35">
      <c r="E1559">
        <v>1556</v>
      </c>
      <c r="F1559">
        <f t="shared" ca="1" si="26"/>
        <v>-7.1378243840176884E-3</v>
      </c>
    </row>
    <row r="1560" spans="5:6" x14ac:dyDescent="0.35">
      <c r="E1560">
        <v>1557</v>
      </c>
      <c r="F1560">
        <f t="shared" ca="1" si="26"/>
        <v>-2.7839111472527122E-3</v>
      </c>
    </row>
    <row r="1561" spans="5:6" x14ac:dyDescent="0.35">
      <c r="E1561">
        <v>1558</v>
      </c>
      <c r="F1561">
        <f t="shared" ca="1" si="26"/>
        <v>-2.3139930712234289E-3</v>
      </c>
    </row>
    <row r="1562" spans="5:6" x14ac:dyDescent="0.35">
      <c r="E1562">
        <v>1559</v>
      </c>
      <c r="F1562">
        <f t="shared" ca="1" si="26"/>
        <v>-1.2519689013968377E-2</v>
      </c>
    </row>
    <row r="1563" spans="5:6" x14ac:dyDescent="0.35">
      <c r="E1563">
        <v>1560</v>
      </c>
      <c r="F1563">
        <f t="shared" ca="1" si="26"/>
        <v>-9.9853979435471081E-4</v>
      </c>
    </row>
    <row r="1564" spans="5:6" x14ac:dyDescent="0.35">
      <c r="E1564">
        <v>1561</v>
      </c>
      <c r="F1564">
        <f t="shared" ca="1" si="26"/>
        <v>1.6291820499138528E-2</v>
      </c>
    </row>
    <row r="1565" spans="5:6" x14ac:dyDescent="0.35">
      <c r="E1565">
        <v>1562</v>
      </c>
      <c r="F1565">
        <f t="shared" ca="1" si="26"/>
        <v>3.0275817599410001E-2</v>
      </c>
    </row>
    <row r="1566" spans="5:6" x14ac:dyDescent="0.35">
      <c r="E1566">
        <v>1563</v>
      </c>
      <c r="F1566">
        <f t="shared" ca="1" si="26"/>
        <v>-7.095349836668095E-3</v>
      </c>
    </row>
    <row r="1567" spans="5:6" x14ac:dyDescent="0.35">
      <c r="E1567">
        <v>1564</v>
      </c>
      <c r="F1567">
        <f t="shared" ca="1" si="26"/>
        <v>-2.3172883955055214E-2</v>
      </c>
    </row>
    <row r="1568" spans="5:6" x14ac:dyDescent="0.35">
      <c r="E1568">
        <v>1565</v>
      </c>
      <c r="F1568">
        <f t="shared" ca="1" si="26"/>
        <v>1.2535981206785423E-3</v>
      </c>
    </row>
    <row r="1569" spans="5:6" x14ac:dyDescent="0.35">
      <c r="E1569">
        <v>1566</v>
      </c>
      <c r="F1569">
        <f t="shared" ca="1" si="26"/>
        <v>1.7996264870797928E-2</v>
      </c>
    </row>
    <row r="1570" spans="5:6" x14ac:dyDescent="0.35">
      <c r="E1570">
        <v>1567</v>
      </c>
      <c r="F1570">
        <f t="shared" ca="1" si="26"/>
        <v>-5.8565874368146807E-3</v>
      </c>
    </row>
    <row r="1571" spans="5:6" x14ac:dyDescent="0.35">
      <c r="E1571">
        <v>1568</v>
      </c>
      <c r="F1571">
        <f t="shared" ca="1" si="26"/>
        <v>5.1439567253495407E-3</v>
      </c>
    </row>
    <row r="1572" spans="5:6" x14ac:dyDescent="0.35">
      <c r="E1572">
        <v>1569</v>
      </c>
      <c r="F1572">
        <f t="shared" ca="1" si="26"/>
        <v>-9.5785891269901009E-3</v>
      </c>
    </row>
    <row r="1573" spans="5:6" x14ac:dyDescent="0.35">
      <c r="E1573">
        <v>1570</v>
      </c>
      <c r="F1573">
        <f t="shared" ca="1" si="26"/>
        <v>-2.3406025741915519E-2</v>
      </c>
    </row>
    <row r="1574" spans="5:6" x14ac:dyDescent="0.35">
      <c r="E1574">
        <v>1571</v>
      </c>
      <c r="F1574">
        <f t="shared" ca="1" si="26"/>
        <v>1.12411777263114E-2</v>
      </c>
    </row>
    <row r="1575" spans="5:6" x14ac:dyDescent="0.35">
      <c r="E1575">
        <v>1572</v>
      </c>
      <c r="F1575">
        <f t="shared" ca="1" si="26"/>
        <v>1.447878906665998E-3</v>
      </c>
    </row>
    <row r="1576" spans="5:6" x14ac:dyDescent="0.35">
      <c r="E1576">
        <v>1573</v>
      </c>
      <c r="F1576">
        <f t="shared" ca="1" si="26"/>
        <v>2.154186194840064E-3</v>
      </c>
    </row>
    <row r="1577" spans="5:6" x14ac:dyDescent="0.35">
      <c r="E1577">
        <v>1574</v>
      </c>
      <c r="F1577">
        <f t="shared" ca="1" si="26"/>
        <v>-7.2203944541923059E-3</v>
      </c>
    </row>
    <row r="1578" spans="5:6" x14ac:dyDescent="0.35">
      <c r="E1578">
        <v>1575</v>
      </c>
      <c r="F1578">
        <f t="shared" ca="1" si="26"/>
        <v>-4.6589498305761097E-2</v>
      </c>
    </row>
    <row r="1579" spans="5:6" x14ac:dyDescent="0.35">
      <c r="E1579">
        <v>1576</v>
      </c>
      <c r="F1579">
        <f t="shared" ca="1" si="26"/>
        <v>1.436479562769109E-2</v>
      </c>
    </row>
    <row r="1580" spans="5:6" x14ac:dyDescent="0.35">
      <c r="E1580">
        <v>1577</v>
      </c>
      <c r="F1580">
        <f t="shared" ca="1" si="26"/>
        <v>1.4662010642571036E-2</v>
      </c>
    </row>
    <row r="1581" spans="5:6" x14ac:dyDescent="0.35">
      <c r="E1581">
        <v>1578</v>
      </c>
      <c r="F1581">
        <f t="shared" ca="1" si="26"/>
        <v>6.9975797002007757E-4</v>
      </c>
    </row>
    <row r="1582" spans="5:6" x14ac:dyDescent="0.35">
      <c r="E1582">
        <v>1579</v>
      </c>
      <c r="F1582">
        <f t="shared" ca="1" si="26"/>
        <v>-2.0201017909602201E-2</v>
      </c>
    </row>
    <row r="1583" spans="5:6" x14ac:dyDescent="0.35">
      <c r="E1583">
        <v>1580</v>
      </c>
      <c r="F1583">
        <f t="shared" ca="1" si="26"/>
        <v>1.1987060219395161E-2</v>
      </c>
    </row>
    <row r="1584" spans="5:6" x14ac:dyDescent="0.35">
      <c r="E1584">
        <v>1581</v>
      </c>
      <c r="F1584">
        <f t="shared" ca="1" si="26"/>
        <v>-1.5324498359852338E-2</v>
      </c>
    </row>
    <row r="1585" spans="5:6" x14ac:dyDescent="0.35">
      <c r="E1585">
        <v>1582</v>
      </c>
      <c r="F1585">
        <f t="shared" ca="1" si="26"/>
        <v>1.100151079798878E-2</v>
      </c>
    </row>
    <row r="1586" spans="5:6" x14ac:dyDescent="0.35">
      <c r="E1586">
        <v>1583</v>
      </c>
      <c r="F1586">
        <f t="shared" ca="1" si="26"/>
        <v>-5.1865634389885876E-3</v>
      </c>
    </row>
    <row r="1587" spans="5:6" x14ac:dyDescent="0.35">
      <c r="E1587">
        <v>1584</v>
      </c>
      <c r="F1587">
        <f t="shared" ca="1" si="26"/>
        <v>-2.1948677939890818E-2</v>
      </c>
    </row>
    <row r="1588" spans="5:6" x14ac:dyDescent="0.35">
      <c r="E1588">
        <v>1585</v>
      </c>
      <c r="F1588">
        <f t="shared" ca="1" si="26"/>
        <v>-4.7338399216026381E-3</v>
      </c>
    </row>
    <row r="1589" spans="5:6" x14ac:dyDescent="0.35">
      <c r="E1589">
        <v>1586</v>
      </c>
      <c r="F1589">
        <f t="shared" ca="1" si="26"/>
        <v>2.1063574319942813E-2</v>
      </c>
    </row>
    <row r="1590" spans="5:6" x14ac:dyDescent="0.35">
      <c r="E1590">
        <v>1587</v>
      </c>
      <c r="F1590">
        <f t="shared" ca="1" si="26"/>
        <v>1.1297750070701975E-3</v>
      </c>
    </row>
    <row r="1591" spans="5:6" x14ac:dyDescent="0.35">
      <c r="E1591">
        <v>1588</v>
      </c>
      <c r="F1591">
        <f t="shared" ca="1" si="26"/>
        <v>-6.8608766485774306E-3</v>
      </c>
    </row>
    <row r="1592" spans="5:6" x14ac:dyDescent="0.35">
      <c r="E1592">
        <v>1589</v>
      </c>
      <c r="F1592">
        <f t="shared" ca="1" si="26"/>
        <v>-1.3893584726755697E-3</v>
      </c>
    </row>
    <row r="1593" spans="5:6" x14ac:dyDescent="0.35">
      <c r="E1593">
        <v>1590</v>
      </c>
      <c r="F1593">
        <f t="shared" ca="1" si="26"/>
        <v>-1.8602761731942339E-2</v>
      </c>
    </row>
    <row r="1594" spans="5:6" x14ac:dyDescent="0.35">
      <c r="E1594">
        <v>1591</v>
      </c>
      <c r="F1594">
        <f t="shared" ca="1" si="26"/>
        <v>-1.117568103139837E-2</v>
      </c>
    </row>
    <row r="1595" spans="5:6" x14ac:dyDescent="0.35">
      <c r="E1595">
        <v>1592</v>
      </c>
      <c r="F1595">
        <f t="shared" ca="1" si="26"/>
        <v>8.1982090924696827E-3</v>
      </c>
    </row>
    <row r="1596" spans="5:6" x14ac:dyDescent="0.35">
      <c r="E1596">
        <v>1593</v>
      </c>
      <c r="F1596">
        <f t="shared" ca="1" si="26"/>
        <v>-2.7309828946494915E-3</v>
      </c>
    </row>
    <row r="1597" spans="5:6" x14ac:dyDescent="0.35">
      <c r="E1597">
        <v>1594</v>
      </c>
      <c r="F1597">
        <f t="shared" ca="1" si="26"/>
        <v>-2.8327258575324751E-3</v>
      </c>
    </row>
    <row r="1598" spans="5:6" x14ac:dyDescent="0.35">
      <c r="E1598">
        <v>1595</v>
      </c>
      <c r="F1598">
        <f t="shared" ca="1" si="26"/>
        <v>-1.4138771635357072E-2</v>
      </c>
    </row>
    <row r="1599" spans="5:6" x14ac:dyDescent="0.35">
      <c r="E1599">
        <v>1596</v>
      </c>
      <c r="F1599">
        <f t="shared" ca="1" si="26"/>
        <v>-2.6243374405453017E-3</v>
      </c>
    </row>
    <row r="1600" spans="5:6" x14ac:dyDescent="0.35">
      <c r="E1600">
        <v>1597</v>
      </c>
      <c r="F1600">
        <f t="shared" ca="1" si="26"/>
        <v>-1.1607254160740339E-2</v>
      </c>
    </row>
    <row r="1601" spans="5:6" x14ac:dyDescent="0.35">
      <c r="E1601">
        <v>1598</v>
      </c>
      <c r="F1601">
        <f t="shared" ca="1" si="26"/>
        <v>2.0607195840850589E-3</v>
      </c>
    </row>
    <row r="1602" spans="5:6" x14ac:dyDescent="0.35">
      <c r="E1602">
        <v>1599</v>
      </c>
      <c r="F1602">
        <f t="shared" ca="1" si="26"/>
        <v>2.8554224595099239E-3</v>
      </c>
    </row>
    <row r="1603" spans="5:6" x14ac:dyDescent="0.35">
      <c r="E1603">
        <v>1600</v>
      </c>
      <c r="F1603">
        <f t="shared" ca="1" si="26"/>
        <v>1.2981130320378481E-2</v>
      </c>
    </row>
    <row r="1604" spans="5:6" x14ac:dyDescent="0.35">
      <c r="E1604">
        <v>1601</v>
      </c>
      <c r="F1604">
        <f t="shared" ca="1" si="26"/>
        <v>-1.4768908010860263E-2</v>
      </c>
    </row>
    <row r="1605" spans="5:6" x14ac:dyDescent="0.35">
      <c r="E1605">
        <v>1602</v>
      </c>
      <c r="F1605">
        <f t="shared" ref="F1605:F1668" ca="1" si="27">_xlfn.NORM.INV(RAND(),M$6,M$7)</f>
        <v>-1.9151791230192682E-2</v>
      </c>
    </row>
    <row r="1606" spans="5:6" x14ac:dyDescent="0.35">
      <c r="E1606">
        <v>1603</v>
      </c>
      <c r="F1606">
        <f t="shared" ca="1" si="27"/>
        <v>4.4014330448264118E-2</v>
      </c>
    </row>
    <row r="1607" spans="5:6" x14ac:dyDescent="0.35">
      <c r="E1607">
        <v>1604</v>
      </c>
      <c r="F1607">
        <f t="shared" ca="1" si="27"/>
        <v>7.9559102097401611E-3</v>
      </c>
    </row>
    <row r="1608" spans="5:6" x14ac:dyDescent="0.35">
      <c r="E1608">
        <v>1605</v>
      </c>
      <c r="F1608">
        <f t="shared" ca="1" si="27"/>
        <v>5.5031813127153538E-3</v>
      </c>
    </row>
    <row r="1609" spans="5:6" x14ac:dyDescent="0.35">
      <c r="E1609">
        <v>1606</v>
      </c>
      <c r="F1609">
        <f t="shared" ca="1" si="27"/>
        <v>1.504351334260896E-2</v>
      </c>
    </row>
    <row r="1610" spans="5:6" x14ac:dyDescent="0.35">
      <c r="E1610">
        <v>1607</v>
      </c>
      <c r="F1610">
        <f t="shared" ca="1" si="27"/>
        <v>1.9378456009226171E-2</v>
      </c>
    </row>
    <row r="1611" spans="5:6" x14ac:dyDescent="0.35">
      <c r="E1611">
        <v>1608</v>
      </c>
      <c r="F1611">
        <f t="shared" ca="1" si="27"/>
        <v>1.0547142194539094E-2</v>
      </c>
    </row>
    <row r="1612" spans="5:6" x14ac:dyDescent="0.35">
      <c r="E1612">
        <v>1609</v>
      </c>
      <c r="F1612">
        <f t="shared" ca="1" si="27"/>
        <v>-7.8789859901135448E-3</v>
      </c>
    </row>
    <row r="1613" spans="5:6" x14ac:dyDescent="0.35">
      <c r="E1613">
        <v>1610</v>
      </c>
      <c r="F1613">
        <f t="shared" ca="1" si="27"/>
        <v>-3.2673744814434851E-2</v>
      </c>
    </row>
    <row r="1614" spans="5:6" x14ac:dyDescent="0.35">
      <c r="E1614">
        <v>1611</v>
      </c>
      <c r="F1614">
        <f t="shared" ca="1" si="27"/>
        <v>-8.2147615484474638E-3</v>
      </c>
    </row>
    <row r="1615" spans="5:6" x14ac:dyDescent="0.35">
      <c r="E1615">
        <v>1612</v>
      </c>
      <c r="F1615">
        <f t="shared" ca="1" si="27"/>
        <v>-1.0067492022331568E-2</v>
      </c>
    </row>
    <row r="1616" spans="5:6" x14ac:dyDescent="0.35">
      <c r="E1616">
        <v>1613</v>
      </c>
      <c r="F1616">
        <f t="shared" ca="1" si="27"/>
        <v>-2.5544382506655829E-3</v>
      </c>
    </row>
    <row r="1617" spans="5:6" x14ac:dyDescent="0.35">
      <c r="E1617">
        <v>1614</v>
      </c>
      <c r="F1617">
        <f t="shared" ca="1" si="27"/>
        <v>8.3008745282210346E-4</v>
      </c>
    </row>
    <row r="1618" spans="5:6" x14ac:dyDescent="0.35">
      <c r="E1618">
        <v>1615</v>
      </c>
      <c r="F1618">
        <f t="shared" ca="1" si="27"/>
        <v>-1.0687333567552765E-3</v>
      </c>
    </row>
    <row r="1619" spans="5:6" x14ac:dyDescent="0.35">
      <c r="E1619">
        <v>1616</v>
      </c>
      <c r="F1619">
        <f t="shared" ca="1" si="27"/>
        <v>-3.4832940236719564E-3</v>
      </c>
    </row>
    <row r="1620" spans="5:6" x14ac:dyDescent="0.35">
      <c r="E1620">
        <v>1617</v>
      </c>
      <c r="F1620">
        <f t="shared" ca="1" si="27"/>
        <v>7.991859561424319E-3</v>
      </c>
    </row>
    <row r="1621" spans="5:6" x14ac:dyDescent="0.35">
      <c r="E1621">
        <v>1618</v>
      </c>
      <c r="F1621">
        <f t="shared" ca="1" si="27"/>
        <v>1.1147041546501138E-2</v>
      </c>
    </row>
    <row r="1622" spans="5:6" x14ac:dyDescent="0.35">
      <c r="E1622">
        <v>1619</v>
      </c>
      <c r="F1622">
        <f t="shared" ca="1" si="27"/>
        <v>-4.3550399295972618E-3</v>
      </c>
    </row>
    <row r="1623" spans="5:6" x14ac:dyDescent="0.35">
      <c r="E1623">
        <v>1620</v>
      </c>
      <c r="F1623">
        <f t="shared" ca="1" si="27"/>
        <v>-1.8378672614403194E-2</v>
      </c>
    </row>
    <row r="1624" spans="5:6" x14ac:dyDescent="0.35">
      <c r="E1624">
        <v>1621</v>
      </c>
      <c r="F1624">
        <f t="shared" ca="1" si="27"/>
        <v>3.4220212619482516E-3</v>
      </c>
    </row>
    <row r="1625" spans="5:6" x14ac:dyDescent="0.35">
      <c r="E1625">
        <v>1622</v>
      </c>
      <c r="F1625">
        <f t="shared" ca="1" si="27"/>
        <v>-2.2291202588028334E-2</v>
      </c>
    </row>
    <row r="1626" spans="5:6" x14ac:dyDescent="0.35">
      <c r="E1626">
        <v>1623</v>
      </c>
      <c r="F1626">
        <f t="shared" ca="1" si="27"/>
        <v>-6.30451078800722E-4</v>
      </c>
    </row>
    <row r="1627" spans="5:6" x14ac:dyDescent="0.35">
      <c r="E1627">
        <v>1624</v>
      </c>
      <c r="F1627">
        <f t="shared" ca="1" si="27"/>
        <v>6.8454998909913889E-3</v>
      </c>
    </row>
    <row r="1628" spans="5:6" x14ac:dyDescent="0.35">
      <c r="E1628">
        <v>1625</v>
      </c>
      <c r="F1628">
        <f t="shared" ca="1" si="27"/>
        <v>2.537351923159085E-3</v>
      </c>
    </row>
    <row r="1629" spans="5:6" x14ac:dyDescent="0.35">
      <c r="E1629">
        <v>1626</v>
      </c>
      <c r="F1629">
        <f t="shared" ca="1" si="27"/>
        <v>1.8187676097225807E-2</v>
      </c>
    </row>
    <row r="1630" spans="5:6" x14ac:dyDescent="0.35">
      <c r="E1630">
        <v>1627</v>
      </c>
      <c r="F1630">
        <f t="shared" ca="1" si="27"/>
        <v>-5.6046714086081025E-3</v>
      </c>
    </row>
    <row r="1631" spans="5:6" x14ac:dyDescent="0.35">
      <c r="E1631">
        <v>1628</v>
      </c>
      <c r="F1631">
        <f t="shared" ca="1" si="27"/>
        <v>2.9963463553635182E-2</v>
      </c>
    </row>
    <row r="1632" spans="5:6" x14ac:dyDescent="0.35">
      <c r="E1632">
        <v>1629</v>
      </c>
      <c r="F1632">
        <f t="shared" ca="1" si="27"/>
        <v>2.5980034280024256E-2</v>
      </c>
    </row>
    <row r="1633" spans="5:6" x14ac:dyDescent="0.35">
      <c r="E1633">
        <v>1630</v>
      </c>
      <c r="F1633">
        <f t="shared" ca="1" si="27"/>
        <v>2.2266821342547493E-2</v>
      </c>
    </row>
    <row r="1634" spans="5:6" x14ac:dyDescent="0.35">
      <c r="E1634">
        <v>1631</v>
      </c>
      <c r="F1634">
        <f t="shared" ca="1" si="27"/>
        <v>1.4772226994004404E-2</v>
      </c>
    </row>
    <row r="1635" spans="5:6" x14ac:dyDescent="0.35">
      <c r="E1635">
        <v>1632</v>
      </c>
      <c r="F1635">
        <f t="shared" ca="1" si="27"/>
        <v>-2.1878680740644923E-3</v>
      </c>
    </row>
    <row r="1636" spans="5:6" x14ac:dyDescent="0.35">
      <c r="E1636">
        <v>1633</v>
      </c>
      <c r="F1636">
        <f t="shared" ca="1" si="27"/>
        <v>-1.7093730533813467E-2</v>
      </c>
    </row>
    <row r="1637" spans="5:6" x14ac:dyDescent="0.35">
      <c r="E1637">
        <v>1634</v>
      </c>
      <c r="F1637">
        <f t="shared" ca="1" si="27"/>
        <v>-1.5365415296747845E-2</v>
      </c>
    </row>
    <row r="1638" spans="5:6" x14ac:dyDescent="0.35">
      <c r="E1638">
        <v>1635</v>
      </c>
      <c r="F1638">
        <f t="shared" ca="1" si="27"/>
        <v>3.2328003849446521E-2</v>
      </c>
    </row>
    <row r="1639" spans="5:6" x14ac:dyDescent="0.35">
      <c r="E1639">
        <v>1636</v>
      </c>
      <c r="F1639">
        <f t="shared" ca="1" si="27"/>
        <v>2.6845839119564912E-3</v>
      </c>
    </row>
    <row r="1640" spans="5:6" x14ac:dyDescent="0.35">
      <c r="E1640">
        <v>1637</v>
      </c>
      <c r="F1640">
        <f t="shared" ca="1" si="27"/>
        <v>-8.4174148887558552E-3</v>
      </c>
    </row>
    <row r="1641" spans="5:6" x14ac:dyDescent="0.35">
      <c r="E1641">
        <v>1638</v>
      </c>
      <c r="F1641">
        <f t="shared" ca="1" si="27"/>
        <v>7.4752593023901057E-4</v>
      </c>
    </row>
    <row r="1642" spans="5:6" x14ac:dyDescent="0.35">
      <c r="E1642">
        <v>1639</v>
      </c>
      <c r="F1642">
        <f t="shared" ca="1" si="27"/>
        <v>-8.6946989979668409E-4</v>
      </c>
    </row>
    <row r="1643" spans="5:6" x14ac:dyDescent="0.35">
      <c r="E1643">
        <v>1640</v>
      </c>
      <c r="F1643">
        <f t="shared" ca="1" si="27"/>
        <v>7.0183968331289977E-3</v>
      </c>
    </row>
    <row r="1644" spans="5:6" x14ac:dyDescent="0.35">
      <c r="E1644">
        <v>1641</v>
      </c>
      <c r="F1644">
        <f t="shared" ca="1" si="27"/>
        <v>1.05941548543999E-2</v>
      </c>
    </row>
    <row r="1645" spans="5:6" x14ac:dyDescent="0.35">
      <c r="E1645">
        <v>1642</v>
      </c>
      <c r="F1645">
        <f t="shared" ca="1" si="27"/>
        <v>2.2072566042316812E-2</v>
      </c>
    </row>
    <row r="1646" spans="5:6" x14ac:dyDescent="0.35">
      <c r="E1646">
        <v>1643</v>
      </c>
      <c r="F1646">
        <f t="shared" ca="1" si="27"/>
        <v>-7.0598659620079414E-3</v>
      </c>
    </row>
    <row r="1647" spans="5:6" x14ac:dyDescent="0.35">
      <c r="E1647">
        <v>1644</v>
      </c>
      <c r="F1647">
        <f t="shared" ca="1" si="27"/>
        <v>1.4190018778722877E-3</v>
      </c>
    </row>
    <row r="1648" spans="5:6" x14ac:dyDescent="0.35">
      <c r="E1648">
        <v>1645</v>
      </c>
      <c r="F1648">
        <f t="shared" ca="1" si="27"/>
        <v>6.9978288320442315E-3</v>
      </c>
    </row>
    <row r="1649" spans="5:6" x14ac:dyDescent="0.35">
      <c r="E1649">
        <v>1646</v>
      </c>
      <c r="F1649">
        <f t="shared" ca="1" si="27"/>
        <v>-1.1333850669836092E-2</v>
      </c>
    </row>
    <row r="1650" spans="5:6" x14ac:dyDescent="0.35">
      <c r="E1650">
        <v>1647</v>
      </c>
      <c r="F1650">
        <f t="shared" ca="1" si="27"/>
        <v>5.4117361512746268E-3</v>
      </c>
    </row>
    <row r="1651" spans="5:6" x14ac:dyDescent="0.35">
      <c r="E1651">
        <v>1648</v>
      </c>
      <c r="F1651">
        <f t="shared" ca="1" si="27"/>
        <v>9.3209133399253172E-3</v>
      </c>
    </row>
    <row r="1652" spans="5:6" x14ac:dyDescent="0.35">
      <c r="E1652">
        <v>1649</v>
      </c>
      <c r="F1652">
        <f t="shared" ca="1" si="27"/>
        <v>2.9580270200236878E-2</v>
      </c>
    </row>
    <row r="1653" spans="5:6" x14ac:dyDescent="0.35">
      <c r="E1653">
        <v>1650</v>
      </c>
      <c r="F1653">
        <f t="shared" ca="1" si="27"/>
        <v>1.335527277443471E-3</v>
      </c>
    </row>
    <row r="1654" spans="5:6" x14ac:dyDescent="0.35">
      <c r="E1654">
        <v>1651</v>
      </c>
      <c r="F1654">
        <f t="shared" ca="1" si="27"/>
        <v>5.8807651986458832E-3</v>
      </c>
    </row>
    <row r="1655" spans="5:6" x14ac:dyDescent="0.35">
      <c r="E1655">
        <v>1652</v>
      </c>
      <c r="F1655">
        <f t="shared" ca="1" si="27"/>
        <v>5.1992886102331885E-3</v>
      </c>
    </row>
    <row r="1656" spans="5:6" x14ac:dyDescent="0.35">
      <c r="E1656">
        <v>1653</v>
      </c>
      <c r="F1656">
        <f t="shared" ca="1" si="27"/>
        <v>-1.2128130475670764E-3</v>
      </c>
    </row>
    <row r="1657" spans="5:6" x14ac:dyDescent="0.35">
      <c r="E1657">
        <v>1654</v>
      </c>
      <c r="F1657">
        <f t="shared" ca="1" si="27"/>
        <v>1.7141403290446094E-2</v>
      </c>
    </row>
    <row r="1658" spans="5:6" x14ac:dyDescent="0.35">
      <c r="E1658">
        <v>1655</v>
      </c>
      <c r="F1658">
        <f t="shared" ca="1" si="27"/>
        <v>2.1644557463603695E-2</v>
      </c>
    </row>
    <row r="1659" spans="5:6" x14ac:dyDescent="0.35">
      <c r="E1659">
        <v>1656</v>
      </c>
      <c r="F1659">
        <f t="shared" ca="1" si="27"/>
        <v>-1.6262787529351765E-2</v>
      </c>
    </row>
    <row r="1660" spans="5:6" x14ac:dyDescent="0.35">
      <c r="E1660">
        <v>1657</v>
      </c>
      <c r="F1660">
        <f t="shared" ca="1" si="27"/>
        <v>6.8982694646901798E-3</v>
      </c>
    </row>
    <row r="1661" spans="5:6" x14ac:dyDescent="0.35">
      <c r="E1661">
        <v>1658</v>
      </c>
      <c r="F1661">
        <f t="shared" ca="1" si="27"/>
        <v>4.4029258160970062E-3</v>
      </c>
    </row>
    <row r="1662" spans="5:6" x14ac:dyDescent="0.35">
      <c r="E1662">
        <v>1659</v>
      </c>
      <c r="F1662">
        <f t="shared" ca="1" si="27"/>
        <v>1.1919792430038312E-2</v>
      </c>
    </row>
    <row r="1663" spans="5:6" x14ac:dyDescent="0.35">
      <c r="E1663">
        <v>1660</v>
      </c>
      <c r="F1663">
        <f t="shared" ca="1" si="27"/>
        <v>-1.9663869938239591E-2</v>
      </c>
    </row>
    <row r="1664" spans="5:6" x14ac:dyDescent="0.35">
      <c r="E1664">
        <v>1661</v>
      </c>
      <c r="F1664">
        <f t="shared" ca="1" si="27"/>
        <v>7.3054529440423821E-3</v>
      </c>
    </row>
    <row r="1665" spans="5:6" x14ac:dyDescent="0.35">
      <c r="E1665">
        <v>1662</v>
      </c>
      <c r="F1665">
        <f t="shared" ca="1" si="27"/>
        <v>3.1323215041964052E-2</v>
      </c>
    </row>
    <row r="1666" spans="5:6" x14ac:dyDescent="0.35">
      <c r="E1666">
        <v>1663</v>
      </c>
      <c r="F1666">
        <f t="shared" ca="1" si="27"/>
        <v>-1.4645090003175504E-3</v>
      </c>
    </row>
    <row r="1667" spans="5:6" x14ac:dyDescent="0.35">
      <c r="E1667">
        <v>1664</v>
      </c>
      <c r="F1667">
        <f t="shared" ca="1" si="27"/>
        <v>-1.7614482183656049E-2</v>
      </c>
    </row>
    <row r="1668" spans="5:6" x14ac:dyDescent="0.35">
      <c r="E1668">
        <v>1665</v>
      </c>
      <c r="F1668">
        <f t="shared" ca="1" si="27"/>
        <v>1.1803546065913422E-2</v>
      </c>
    </row>
    <row r="1669" spans="5:6" x14ac:dyDescent="0.35">
      <c r="E1669">
        <v>1666</v>
      </c>
      <c r="F1669">
        <f t="shared" ref="F1669:F1732" ca="1" si="28">_xlfn.NORM.INV(RAND(),M$6,M$7)</f>
        <v>-1.2558965291517546E-2</v>
      </c>
    </row>
    <row r="1670" spans="5:6" x14ac:dyDescent="0.35">
      <c r="E1670">
        <v>1667</v>
      </c>
      <c r="F1670">
        <f t="shared" ca="1" si="28"/>
        <v>1.8371526905304532E-2</v>
      </c>
    </row>
    <row r="1671" spans="5:6" x14ac:dyDescent="0.35">
      <c r="E1671">
        <v>1668</v>
      </c>
      <c r="F1671">
        <f t="shared" ca="1" si="28"/>
        <v>-1.0960810863235802E-2</v>
      </c>
    </row>
    <row r="1672" spans="5:6" x14ac:dyDescent="0.35">
      <c r="E1672">
        <v>1669</v>
      </c>
      <c r="F1672">
        <f t="shared" ca="1" si="28"/>
        <v>-9.8245774595762964E-3</v>
      </c>
    </row>
    <row r="1673" spans="5:6" x14ac:dyDescent="0.35">
      <c r="E1673">
        <v>1670</v>
      </c>
      <c r="F1673">
        <f t="shared" ca="1" si="28"/>
        <v>-1.8335098002714077E-2</v>
      </c>
    </row>
    <row r="1674" spans="5:6" x14ac:dyDescent="0.35">
      <c r="E1674">
        <v>1671</v>
      </c>
      <c r="F1674">
        <f t="shared" ca="1" si="28"/>
        <v>1.4947110873818474E-2</v>
      </c>
    </row>
    <row r="1675" spans="5:6" x14ac:dyDescent="0.35">
      <c r="E1675">
        <v>1672</v>
      </c>
      <c r="F1675">
        <f t="shared" ca="1" si="28"/>
        <v>2.2641460998030338E-3</v>
      </c>
    </row>
    <row r="1676" spans="5:6" x14ac:dyDescent="0.35">
      <c r="E1676">
        <v>1673</v>
      </c>
      <c r="F1676">
        <f t="shared" ca="1" si="28"/>
        <v>-1.6846967596602147E-2</v>
      </c>
    </row>
    <row r="1677" spans="5:6" x14ac:dyDescent="0.35">
      <c r="E1677">
        <v>1674</v>
      </c>
      <c r="F1677">
        <f t="shared" ca="1" si="28"/>
        <v>2.833035170190068E-2</v>
      </c>
    </row>
    <row r="1678" spans="5:6" x14ac:dyDescent="0.35">
      <c r="E1678">
        <v>1675</v>
      </c>
      <c r="F1678">
        <f t="shared" ca="1" si="28"/>
        <v>1.9251963232073167E-2</v>
      </c>
    </row>
    <row r="1679" spans="5:6" x14ac:dyDescent="0.35">
      <c r="E1679">
        <v>1676</v>
      </c>
      <c r="F1679">
        <f t="shared" ca="1" si="28"/>
        <v>-2.134916785596597E-2</v>
      </c>
    </row>
    <row r="1680" spans="5:6" x14ac:dyDescent="0.35">
      <c r="E1680">
        <v>1677</v>
      </c>
      <c r="F1680">
        <f t="shared" ca="1" si="28"/>
        <v>4.2130157425631382E-3</v>
      </c>
    </row>
    <row r="1681" spans="5:6" x14ac:dyDescent="0.35">
      <c r="E1681">
        <v>1678</v>
      </c>
      <c r="F1681">
        <f t="shared" ca="1" si="28"/>
        <v>6.1588779018445063E-3</v>
      </c>
    </row>
    <row r="1682" spans="5:6" x14ac:dyDescent="0.35">
      <c r="E1682">
        <v>1679</v>
      </c>
      <c r="F1682">
        <f t="shared" ca="1" si="28"/>
        <v>3.5989890315805398E-5</v>
      </c>
    </row>
    <row r="1683" spans="5:6" x14ac:dyDescent="0.35">
      <c r="E1683">
        <v>1680</v>
      </c>
      <c r="F1683">
        <f t="shared" ca="1" si="28"/>
        <v>2.9969942302934607E-3</v>
      </c>
    </row>
    <row r="1684" spans="5:6" x14ac:dyDescent="0.35">
      <c r="E1684">
        <v>1681</v>
      </c>
      <c r="F1684">
        <f t="shared" ca="1" si="28"/>
        <v>1.7602443944106903E-3</v>
      </c>
    </row>
    <row r="1685" spans="5:6" x14ac:dyDescent="0.35">
      <c r="E1685">
        <v>1682</v>
      </c>
      <c r="F1685">
        <f t="shared" ca="1" si="28"/>
        <v>2.770838136728199E-2</v>
      </c>
    </row>
    <row r="1686" spans="5:6" x14ac:dyDescent="0.35">
      <c r="E1686">
        <v>1683</v>
      </c>
      <c r="F1686">
        <f t="shared" ca="1" si="28"/>
        <v>-2.1163835489557459E-2</v>
      </c>
    </row>
    <row r="1687" spans="5:6" x14ac:dyDescent="0.35">
      <c r="E1687">
        <v>1684</v>
      </c>
      <c r="F1687">
        <f t="shared" ca="1" si="28"/>
        <v>-1.4629780664262725E-2</v>
      </c>
    </row>
    <row r="1688" spans="5:6" x14ac:dyDescent="0.35">
      <c r="E1688">
        <v>1685</v>
      </c>
      <c r="F1688">
        <f t="shared" ca="1" si="28"/>
        <v>-2.5971318434741729E-2</v>
      </c>
    </row>
    <row r="1689" spans="5:6" x14ac:dyDescent="0.35">
      <c r="E1689">
        <v>1686</v>
      </c>
      <c r="F1689">
        <f t="shared" ca="1" si="28"/>
        <v>-6.6993326909720978E-3</v>
      </c>
    </row>
    <row r="1690" spans="5:6" x14ac:dyDescent="0.35">
      <c r="E1690">
        <v>1687</v>
      </c>
      <c r="F1690">
        <f t="shared" ca="1" si="28"/>
        <v>3.6634649028294318E-3</v>
      </c>
    </row>
    <row r="1691" spans="5:6" x14ac:dyDescent="0.35">
      <c r="E1691">
        <v>1688</v>
      </c>
      <c r="F1691">
        <f t="shared" ca="1" si="28"/>
        <v>1.7921384464758189E-2</v>
      </c>
    </row>
    <row r="1692" spans="5:6" x14ac:dyDescent="0.35">
      <c r="E1692">
        <v>1689</v>
      </c>
      <c r="F1692">
        <f t="shared" ca="1" si="28"/>
        <v>4.1921774978722808E-3</v>
      </c>
    </row>
    <row r="1693" spans="5:6" x14ac:dyDescent="0.35">
      <c r="E1693">
        <v>1690</v>
      </c>
      <c r="F1693">
        <f t="shared" ca="1" si="28"/>
        <v>4.4828278360610893E-3</v>
      </c>
    </row>
    <row r="1694" spans="5:6" x14ac:dyDescent="0.35">
      <c r="E1694">
        <v>1691</v>
      </c>
      <c r="F1694">
        <f t="shared" ca="1" si="28"/>
        <v>5.6511717416378639E-3</v>
      </c>
    </row>
    <row r="1695" spans="5:6" x14ac:dyDescent="0.35">
      <c r="E1695">
        <v>1692</v>
      </c>
      <c r="F1695">
        <f t="shared" ca="1" si="28"/>
        <v>5.60927983987117E-3</v>
      </c>
    </row>
    <row r="1696" spans="5:6" x14ac:dyDescent="0.35">
      <c r="E1696">
        <v>1693</v>
      </c>
      <c r="F1696">
        <f t="shared" ca="1" si="28"/>
        <v>3.98282365383818E-4</v>
      </c>
    </row>
    <row r="1697" spans="5:6" x14ac:dyDescent="0.35">
      <c r="E1697">
        <v>1694</v>
      </c>
      <c r="F1697">
        <f t="shared" ca="1" si="28"/>
        <v>3.4432676459908662E-2</v>
      </c>
    </row>
    <row r="1698" spans="5:6" x14ac:dyDescent="0.35">
      <c r="E1698">
        <v>1695</v>
      </c>
      <c r="F1698">
        <f t="shared" ca="1" si="28"/>
        <v>-2.4121079798102834E-2</v>
      </c>
    </row>
    <row r="1699" spans="5:6" x14ac:dyDescent="0.35">
      <c r="E1699">
        <v>1696</v>
      </c>
      <c r="F1699">
        <f t="shared" ca="1" si="28"/>
        <v>-2.0479734423957952E-2</v>
      </c>
    </row>
    <row r="1700" spans="5:6" x14ac:dyDescent="0.35">
      <c r="E1700">
        <v>1697</v>
      </c>
      <c r="F1700">
        <f t="shared" ca="1" si="28"/>
        <v>1.1599730913772964E-2</v>
      </c>
    </row>
    <row r="1701" spans="5:6" x14ac:dyDescent="0.35">
      <c r="E1701">
        <v>1698</v>
      </c>
      <c r="F1701">
        <f t="shared" ca="1" si="28"/>
        <v>3.7359591286166296E-3</v>
      </c>
    </row>
    <row r="1702" spans="5:6" x14ac:dyDescent="0.35">
      <c r="E1702">
        <v>1699</v>
      </c>
      <c r="F1702">
        <f t="shared" ca="1" si="28"/>
        <v>9.9454458835503239E-3</v>
      </c>
    </row>
    <row r="1703" spans="5:6" x14ac:dyDescent="0.35">
      <c r="E1703">
        <v>1700</v>
      </c>
      <c r="F1703">
        <f t="shared" ca="1" si="28"/>
        <v>2.8902184829810496E-3</v>
      </c>
    </row>
    <row r="1704" spans="5:6" x14ac:dyDescent="0.35">
      <c r="E1704">
        <v>1701</v>
      </c>
      <c r="F1704">
        <f t="shared" ca="1" si="28"/>
        <v>-8.5458109728234963E-3</v>
      </c>
    </row>
    <row r="1705" spans="5:6" x14ac:dyDescent="0.35">
      <c r="E1705">
        <v>1702</v>
      </c>
      <c r="F1705">
        <f t="shared" ca="1" si="28"/>
        <v>1.5243270318334383E-2</v>
      </c>
    </row>
    <row r="1706" spans="5:6" x14ac:dyDescent="0.35">
      <c r="E1706">
        <v>1703</v>
      </c>
      <c r="F1706">
        <f t="shared" ca="1" si="28"/>
        <v>1.3043929218281488E-2</v>
      </c>
    </row>
    <row r="1707" spans="5:6" x14ac:dyDescent="0.35">
      <c r="E1707">
        <v>1704</v>
      </c>
      <c r="F1707">
        <f t="shared" ca="1" si="28"/>
        <v>1.7746603541880349E-2</v>
      </c>
    </row>
    <row r="1708" spans="5:6" x14ac:dyDescent="0.35">
      <c r="E1708">
        <v>1705</v>
      </c>
      <c r="F1708">
        <f t="shared" ca="1" si="28"/>
        <v>-2.4381174860595919E-2</v>
      </c>
    </row>
    <row r="1709" spans="5:6" x14ac:dyDescent="0.35">
      <c r="E1709">
        <v>1706</v>
      </c>
      <c r="F1709">
        <f t="shared" ca="1" si="28"/>
        <v>-1.4041036851242434E-2</v>
      </c>
    </row>
    <row r="1710" spans="5:6" x14ac:dyDescent="0.35">
      <c r="E1710">
        <v>1707</v>
      </c>
      <c r="F1710">
        <f t="shared" ca="1" si="28"/>
        <v>2.4197736282418846E-2</v>
      </c>
    </row>
    <row r="1711" spans="5:6" x14ac:dyDescent="0.35">
      <c r="E1711">
        <v>1708</v>
      </c>
      <c r="F1711">
        <f t="shared" ca="1" si="28"/>
        <v>4.9383264189642702E-3</v>
      </c>
    </row>
    <row r="1712" spans="5:6" x14ac:dyDescent="0.35">
      <c r="E1712">
        <v>1709</v>
      </c>
      <c r="F1712">
        <f t="shared" ca="1" si="28"/>
        <v>-1.5937517666394616E-3</v>
      </c>
    </row>
    <row r="1713" spans="5:6" x14ac:dyDescent="0.35">
      <c r="E1713">
        <v>1710</v>
      </c>
      <c r="F1713">
        <f t="shared" ca="1" si="28"/>
        <v>-1.2997984855307874E-2</v>
      </c>
    </row>
    <row r="1714" spans="5:6" x14ac:dyDescent="0.35">
      <c r="E1714">
        <v>1711</v>
      </c>
      <c r="F1714">
        <f t="shared" ca="1" si="28"/>
        <v>7.0924713775500081E-3</v>
      </c>
    </row>
    <row r="1715" spans="5:6" x14ac:dyDescent="0.35">
      <c r="E1715">
        <v>1712</v>
      </c>
      <c r="F1715">
        <f t="shared" ca="1" si="28"/>
        <v>-2.7372067910279864E-3</v>
      </c>
    </row>
    <row r="1716" spans="5:6" x14ac:dyDescent="0.35">
      <c r="E1716">
        <v>1713</v>
      </c>
      <c r="F1716">
        <f t="shared" ca="1" si="28"/>
        <v>3.7476060124763268E-2</v>
      </c>
    </row>
    <row r="1717" spans="5:6" x14ac:dyDescent="0.35">
      <c r="E1717">
        <v>1714</v>
      </c>
      <c r="F1717">
        <f t="shared" ca="1" si="28"/>
        <v>-9.2739457545758745E-3</v>
      </c>
    </row>
    <row r="1718" spans="5:6" x14ac:dyDescent="0.35">
      <c r="E1718">
        <v>1715</v>
      </c>
      <c r="F1718">
        <f t="shared" ca="1" si="28"/>
        <v>-4.1106526733810898E-2</v>
      </c>
    </row>
    <row r="1719" spans="5:6" x14ac:dyDescent="0.35">
      <c r="E1719">
        <v>1716</v>
      </c>
      <c r="F1719">
        <f t="shared" ca="1" si="28"/>
        <v>-1.9870933615926834E-2</v>
      </c>
    </row>
    <row r="1720" spans="5:6" x14ac:dyDescent="0.35">
      <c r="E1720">
        <v>1717</v>
      </c>
      <c r="F1720">
        <f t="shared" ca="1" si="28"/>
        <v>-7.420942268997842E-3</v>
      </c>
    </row>
    <row r="1721" spans="5:6" x14ac:dyDescent="0.35">
      <c r="E1721">
        <v>1718</v>
      </c>
      <c r="F1721">
        <f t="shared" ca="1" si="28"/>
        <v>-2.1498206543701721E-2</v>
      </c>
    </row>
    <row r="1722" spans="5:6" x14ac:dyDescent="0.35">
      <c r="E1722">
        <v>1719</v>
      </c>
      <c r="F1722">
        <f t="shared" ca="1" si="28"/>
        <v>8.220107829332508E-3</v>
      </c>
    </row>
    <row r="1723" spans="5:6" x14ac:dyDescent="0.35">
      <c r="E1723">
        <v>1720</v>
      </c>
      <c r="F1723">
        <f t="shared" ca="1" si="28"/>
        <v>9.7916058326915512E-3</v>
      </c>
    </row>
    <row r="1724" spans="5:6" x14ac:dyDescent="0.35">
      <c r="E1724">
        <v>1721</v>
      </c>
      <c r="F1724">
        <f t="shared" ca="1" si="28"/>
        <v>-2.5754376844378757E-2</v>
      </c>
    </row>
    <row r="1725" spans="5:6" x14ac:dyDescent="0.35">
      <c r="E1725">
        <v>1722</v>
      </c>
      <c r="F1725">
        <f t="shared" ca="1" si="28"/>
        <v>3.0081609517577431E-2</v>
      </c>
    </row>
    <row r="1726" spans="5:6" x14ac:dyDescent="0.35">
      <c r="E1726">
        <v>1723</v>
      </c>
      <c r="F1726">
        <f t="shared" ca="1" si="28"/>
        <v>-1.7579244922264137E-4</v>
      </c>
    </row>
    <row r="1727" spans="5:6" x14ac:dyDescent="0.35">
      <c r="E1727">
        <v>1724</v>
      </c>
      <c r="F1727">
        <f t="shared" ca="1" si="28"/>
        <v>2.5498861956184924E-2</v>
      </c>
    </row>
    <row r="1728" spans="5:6" x14ac:dyDescent="0.35">
      <c r="E1728">
        <v>1725</v>
      </c>
      <c r="F1728">
        <f t="shared" ca="1" si="28"/>
        <v>-8.0784159558678955E-3</v>
      </c>
    </row>
    <row r="1729" spans="5:6" x14ac:dyDescent="0.35">
      <c r="E1729">
        <v>1726</v>
      </c>
      <c r="F1729">
        <f t="shared" ca="1" si="28"/>
        <v>9.0000536843252935E-3</v>
      </c>
    </row>
    <row r="1730" spans="5:6" x14ac:dyDescent="0.35">
      <c r="E1730">
        <v>1727</v>
      </c>
      <c r="F1730">
        <f t="shared" ca="1" si="28"/>
        <v>4.287854881581326E-2</v>
      </c>
    </row>
    <row r="1731" spans="5:6" x14ac:dyDescent="0.35">
      <c r="E1731">
        <v>1728</v>
      </c>
      <c r="F1731">
        <f t="shared" ca="1" si="28"/>
        <v>-1.6794595845972534E-2</v>
      </c>
    </row>
    <row r="1732" spans="5:6" x14ac:dyDescent="0.35">
      <c r="E1732">
        <v>1729</v>
      </c>
      <c r="F1732">
        <f t="shared" ca="1" si="28"/>
        <v>-2.4182522784636673E-2</v>
      </c>
    </row>
    <row r="1733" spans="5:6" x14ac:dyDescent="0.35">
      <c r="E1733">
        <v>1730</v>
      </c>
      <c r="F1733">
        <f t="shared" ref="F1733:F1796" ca="1" si="29">_xlfn.NORM.INV(RAND(),M$6,M$7)</f>
        <v>1.6712655355689755E-2</v>
      </c>
    </row>
    <row r="1734" spans="5:6" x14ac:dyDescent="0.35">
      <c r="E1734">
        <v>1731</v>
      </c>
      <c r="F1734">
        <f t="shared" ca="1" si="29"/>
        <v>2.0242424975417211E-2</v>
      </c>
    </row>
    <row r="1735" spans="5:6" x14ac:dyDescent="0.35">
      <c r="E1735">
        <v>1732</v>
      </c>
      <c r="F1735">
        <f t="shared" ca="1" si="29"/>
        <v>1.1430973162909029E-2</v>
      </c>
    </row>
    <row r="1736" spans="5:6" x14ac:dyDescent="0.35">
      <c r="E1736">
        <v>1733</v>
      </c>
      <c r="F1736">
        <f t="shared" ca="1" si="29"/>
        <v>9.2531758676219853E-3</v>
      </c>
    </row>
    <row r="1737" spans="5:6" x14ac:dyDescent="0.35">
      <c r="E1737">
        <v>1734</v>
      </c>
      <c r="F1737">
        <f t="shared" ca="1" si="29"/>
        <v>9.8533265253658471E-3</v>
      </c>
    </row>
    <row r="1738" spans="5:6" x14ac:dyDescent="0.35">
      <c r="E1738">
        <v>1735</v>
      </c>
      <c r="F1738">
        <f t="shared" ca="1" si="29"/>
        <v>-1.8221756963338956E-2</v>
      </c>
    </row>
    <row r="1739" spans="5:6" x14ac:dyDescent="0.35">
      <c r="E1739">
        <v>1736</v>
      </c>
      <c r="F1739">
        <f t="shared" ca="1" si="29"/>
        <v>-1.9341676912169255E-2</v>
      </c>
    </row>
    <row r="1740" spans="5:6" x14ac:dyDescent="0.35">
      <c r="E1740">
        <v>1737</v>
      </c>
      <c r="F1740">
        <f t="shared" ca="1" si="29"/>
        <v>-5.2801159713188311E-3</v>
      </c>
    </row>
    <row r="1741" spans="5:6" x14ac:dyDescent="0.35">
      <c r="E1741">
        <v>1738</v>
      </c>
      <c r="F1741">
        <f t="shared" ca="1" si="29"/>
        <v>1.6231606138890128E-2</v>
      </c>
    </row>
    <row r="1742" spans="5:6" x14ac:dyDescent="0.35">
      <c r="E1742">
        <v>1739</v>
      </c>
      <c r="F1742">
        <f t="shared" ca="1" si="29"/>
        <v>-1.2167085924250495E-2</v>
      </c>
    </row>
    <row r="1743" spans="5:6" x14ac:dyDescent="0.35">
      <c r="E1743">
        <v>1740</v>
      </c>
      <c r="F1743">
        <f t="shared" ca="1" si="29"/>
        <v>-7.0972041761270229E-4</v>
      </c>
    </row>
    <row r="1744" spans="5:6" x14ac:dyDescent="0.35">
      <c r="E1744">
        <v>1741</v>
      </c>
      <c r="F1744">
        <f t="shared" ca="1" si="29"/>
        <v>5.6333172734433475E-3</v>
      </c>
    </row>
    <row r="1745" spans="5:6" x14ac:dyDescent="0.35">
      <c r="E1745">
        <v>1742</v>
      </c>
      <c r="F1745">
        <f t="shared" ca="1" si="29"/>
        <v>-6.2429841875543688E-3</v>
      </c>
    </row>
    <row r="1746" spans="5:6" x14ac:dyDescent="0.35">
      <c r="E1746">
        <v>1743</v>
      </c>
      <c r="F1746">
        <f t="shared" ca="1" si="29"/>
        <v>-2.3838460031975386E-2</v>
      </c>
    </row>
    <row r="1747" spans="5:6" x14ac:dyDescent="0.35">
      <c r="E1747">
        <v>1744</v>
      </c>
      <c r="F1747">
        <f t="shared" ca="1" si="29"/>
        <v>2.6877285998169421E-3</v>
      </c>
    </row>
    <row r="1748" spans="5:6" x14ac:dyDescent="0.35">
      <c r="E1748">
        <v>1745</v>
      </c>
      <c r="F1748">
        <f t="shared" ca="1" si="29"/>
        <v>-1.3488368258533679E-2</v>
      </c>
    </row>
    <row r="1749" spans="5:6" x14ac:dyDescent="0.35">
      <c r="E1749">
        <v>1746</v>
      </c>
      <c r="F1749">
        <f t="shared" ca="1" si="29"/>
        <v>-8.5484605524504508E-3</v>
      </c>
    </row>
    <row r="1750" spans="5:6" x14ac:dyDescent="0.35">
      <c r="E1750">
        <v>1747</v>
      </c>
      <c r="F1750">
        <f t="shared" ca="1" si="29"/>
        <v>3.9967699213545455E-3</v>
      </c>
    </row>
    <row r="1751" spans="5:6" x14ac:dyDescent="0.35">
      <c r="E1751">
        <v>1748</v>
      </c>
      <c r="F1751">
        <f t="shared" ca="1" si="29"/>
        <v>6.1653818875118454E-3</v>
      </c>
    </row>
    <row r="1752" spans="5:6" x14ac:dyDescent="0.35">
      <c r="E1752">
        <v>1749</v>
      </c>
      <c r="F1752">
        <f t="shared" ca="1" si="29"/>
        <v>-1.2585637268182636E-3</v>
      </c>
    </row>
    <row r="1753" spans="5:6" x14ac:dyDescent="0.35">
      <c r="E1753">
        <v>1750</v>
      </c>
      <c r="F1753">
        <f t="shared" ca="1" si="29"/>
        <v>2.3971503491212937E-2</v>
      </c>
    </row>
    <row r="1754" spans="5:6" x14ac:dyDescent="0.35">
      <c r="E1754">
        <v>1751</v>
      </c>
      <c r="F1754">
        <f t="shared" ca="1" si="29"/>
        <v>2.1815101503816884E-2</v>
      </c>
    </row>
    <row r="1755" spans="5:6" x14ac:dyDescent="0.35">
      <c r="E1755">
        <v>1752</v>
      </c>
      <c r="F1755">
        <f t="shared" ca="1" si="29"/>
        <v>5.4147229875802106E-3</v>
      </c>
    </row>
    <row r="1756" spans="5:6" x14ac:dyDescent="0.35">
      <c r="E1756">
        <v>1753</v>
      </c>
      <c r="F1756">
        <f t="shared" ca="1" si="29"/>
        <v>-2.1128037891859779E-2</v>
      </c>
    </row>
    <row r="1757" spans="5:6" x14ac:dyDescent="0.35">
      <c r="E1757">
        <v>1754</v>
      </c>
      <c r="F1757">
        <f t="shared" ca="1" si="29"/>
        <v>8.3217780717949157E-3</v>
      </c>
    </row>
    <row r="1758" spans="5:6" x14ac:dyDescent="0.35">
      <c r="E1758">
        <v>1755</v>
      </c>
      <c r="F1758">
        <f t="shared" ca="1" si="29"/>
        <v>-1.2367246897497272E-3</v>
      </c>
    </row>
    <row r="1759" spans="5:6" x14ac:dyDescent="0.35">
      <c r="E1759">
        <v>1756</v>
      </c>
      <c r="F1759">
        <f t="shared" ca="1" si="29"/>
        <v>-1.869799216908264E-2</v>
      </c>
    </row>
    <row r="1760" spans="5:6" x14ac:dyDescent="0.35">
      <c r="E1760">
        <v>1757</v>
      </c>
      <c r="F1760">
        <f t="shared" ca="1" si="29"/>
        <v>-6.9958917666204656E-3</v>
      </c>
    </row>
    <row r="1761" spans="5:6" x14ac:dyDescent="0.35">
      <c r="E1761">
        <v>1758</v>
      </c>
      <c r="F1761">
        <f t="shared" ca="1" si="29"/>
        <v>5.8072650053427547E-3</v>
      </c>
    </row>
    <row r="1762" spans="5:6" x14ac:dyDescent="0.35">
      <c r="E1762">
        <v>1759</v>
      </c>
      <c r="F1762">
        <f t="shared" ca="1" si="29"/>
        <v>5.5804772163675961E-3</v>
      </c>
    </row>
    <row r="1763" spans="5:6" x14ac:dyDescent="0.35">
      <c r="E1763">
        <v>1760</v>
      </c>
      <c r="F1763">
        <f t="shared" ca="1" si="29"/>
        <v>2.4719392636132001E-3</v>
      </c>
    </row>
    <row r="1764" spans="5:6" x14ac:dyDescent="0.35">
      <c r="E1764">
        <v>1761</v>
      </c>
      <c r="F1764">
        <f t="shared" ca="1" si="29"/>
        <v>-1.7927165216678063E-2</v>
      </c>
    </row>
    <row r="1765" spans="5:6" x14ac:dyDescent="0.35">
      <c r="E1765">
        <v>1762</v>
      </c>
      <c r="F1765">
        <f t="shared" ca="1" si="29"/>
        <v>-1.369422911074273E-3</v>
      </c>
    </row>
    <row r="1766" spans="5:6" x14ac:dyDescent="0.35">
      <c r="E1766">
        <v>1763</v>
      </c>
      <c r="F1766">
        <f t="shared" ca="1" si="29"/>
        <v>-5.1475879351915201E-3</v>
      </c>
    </row>
    <row r="1767" spans="5:6" x14ac:dyDescent="0.35">
      <c r="E1767">
        <v>1764</v>
      </c>
      <c r="F1767">
        <f t="shared" ca="1" si="29"/>
        <v>8.2656820020994527E-4</v>
      </c>
    </row>
    <row r="1768" spans="5:6" x14ac:dyDescent="0.35">
      <c r="E1768">
        <v>1765</v>
      </c>
      <c r="F1768">
        <f t="shared" ca="1" si="29"/>
        <v>6.7069648802858895E-3</v>
      </c>
    </row>
    <row r="1769" spans="5:6" x14ac:dyDescent="0.35">
      <c r="E1769">
        <v>1766</v>
      </c>
      <c r="F1769">
        <f t="shared" ca="1" si="29"/>
        <v>-1.839863106692162E-2</v>
      </c>
    </row>
    <row r="1770" spans="5:6" x14ac:dyDescent="0.35">
      <c r="E1770">
        <v>1767</v>
      </c>
      <c r="F1770">
        <f t="shared" ca="1" si="29"/>
        <v>-5.3091868419429446E-3</v>
      </c>
    </row>
    <row r="1771" spans="5:6" x14ac:dyDescent="0.35">
      <c r="E1771">
        <v>1768</v>
      </c>
      <c r="F1771">
        <f t="shared" ca="1" si="29"/>
        <v>1.6433448329217263E-3</v>
      </c>
    </row>
    <row r="1772" spans="5:6" x14ac:dyDescent="0.35">
      <c r="E1772">
        <v>1769</v>
      </c>
      <c r="F1772">
        <f t="shared" ca="1" si="29"/>
        <v>1.296961223521508E-2</v>
      </c>
    </row>
    <row r="1773" spans="5:6" x14ac:dyDescent="0.35">
      <c r="E1773">
        <v>1770</v>
      </c>
      <c r="F1773">
        <f t="shared" ca="1" si="29"/>
        <v>-6.2589995042290573E-3</v>
      </c>
    </row>
    <row r="1774" spans="5:6" x14ac:dyDescent="0.35">
      <c r="E1774">
        <v>1771</v>
      </c>
      <c r="F1774">
        <f t="shared" ca="1" si="29"/>
        <v>-6.1527038428093568E-3</v>
      </c>
    </row>
    <row r="1775" spans="5:6" x14ac:dyDescent="0.35">
      <c r="E1775">
        <v>1772</v>
      </c>
      <c r="F1775">
        <f t="shared" ca="1" si="29"/>
        <v>-4.7480219314675869E-3</v>
      </c>
    </row>
    <row r="1776" spans="5:6" x14ac:dyDescent="0.35">
      <c r="E1776">
        <v>1773</v>
      </c>
      <c r="F1776">
        <f t="shared" ca="1" si="29"/>
        <v>8.4093584951345137E-3</v>
      </c>
    </row>
    <row r="1777" spans="5:6" x14ac:dyDescent="0.35">
      <c r="E1777">
        <v>1774</v>
      </c>
      <c r="F1777">
        <f t="shared" ca="1" si="29"/>
        <v>4.6248647007272759E-3</v>
      </c>
    </row>
    <row r="1778" spans="5:6" x14ac:dyDescent="0.35">
      <c r="E1778">
        <v>1775</v>
      </c>
      <c r="F1778">
        <f t="shared" ca="1" si="29"/>
        <v>-1.0106853506415134E-2</v>
      </c>
    </row>
    <row r="1779" spans="5:6" x14ac:dyDescent="0.35">
      <c r="E1779">
        <v>1776</v>
      </c>
      <c r="F1779">
        <f t="shared" ca="1" si="29"/>
        <v>1.3286194381655046E-2</v>
      </c>
    </row>
    <row r="1780" spans="5:6" x14ac:dyDescent="0.35">
      <c r="E1780">
        <v>1777</v>
      </c>
      <c r="F1780">
        <f t="shared" ca="1" si="29"/>
        <v>-1.3631688863047357E-2</v>
      </c>
    </row>
    <row r="1781" spans="5:6" x14ac:dyDescent="0.35">
      <c r="E1781">
        <v>1778</v>
      </c>
      <c r="F1781">
        <f t="shared" ca="1" si="29"/>
        <v>-7.1315078516991388E-3</v>
      </c>
    </row>
    <row r="1782" spans="5:6" x14ac:dyDescent="0.35">
      <c r="E1782">
        <v>1779</v>
      </c>
      <c r="F1782">
        <f t="shared" ca="1" si="29"/>
        <v>-1.4144418429560667E-2</v>
      </c>
    </row>
    <row r="1783" spans="5:6" x14ac:dyDescent="0.35">
      <c r="E1783">
        <v>1780</v>
      </c>
      <c r="F1783">
        <f t="shared" ca="1" si="29"/>
        <v>1.5752306818347096E-2</v>
      </c>
    </row>
    <row r="1784" spans="5:6" x14ac:dyDescent="0.35">
      <c r="E1784">
        <v>1781</v>
      </c>
      <c r="F1784">
        <f t="shared" ca="1" si="29"/>
        <v>-2.0783559367459924E-2</v>
      </c>
    </row>
    <row r="1785" spans="5:6" x14ac:dyDescent="0.35">
      <c r="E1785">
        <v>1782</v>
      </c>
      <c r="F1785">
        <f t="shared" ca="1" si="29"/>
        <v>3.071555552187135E-2</v>
      </c>
    </row>
    <row r="1786" spans="5:6" x14ac:dyDescent="0.35">
      <c r="E1786">
        <v>1783</v>
      </c>
      <c r="F1786">
        <f t="shared" ca="1" si="29"/>
        <v>-1.2278917786935392E-2</v>
      </c>
    </row>
    <row r="1787" spans="5:6" x14ac:dyDescent="0.35">
      <c r="E1787">
        <v>1784</v>
      </c>
      <c r="F1787">
        <f t="shared" ca="1" si="29"/>
        <v>7.7541777252164825E-3</v>
      </c>
    </row>
    <row r="1788" spans="5:6" x14ac:dyDescent="0.35">
      <c r="E1788">
        <v>1785</v>
      </c>
      <c r="F1788">
        <f t="shared" ca="1" si="29"/>
        <v>-8.997603962253329E-3</v>
      </c>
    </row>
    <row r="1789" spans="5:6" x14ac:dyDescent="0.35">
      <c r="E1789">
        <v>1786</v>
      </c>
      <c r="F1789">
        <f t="shared" ca="1" si="29"/>
        <v>-1.0671777646451271E-2</v>
      </c>
    </row>
    <row r="1790" spans="5:6" x14ac:dyDescent="0.35">
      <c r="E1790">
        <v>1787</v>
      </c>
      <c r="F1790">
        <f t="shared" ca="1" si="29"/>
        <v>-1.3061128037603151E-2</v>
      </c>
    </row>
    <row r="1791" spans="5:6" x14ac:dyDescent="0.35">
      <c r="E1791">
        <v>1788</v>
      </c>
      <c r="F1791">
        <f t="shared" ca="1" si="29"/>
        <v>-1.9552726771940924E-2</v>
      </c>
    </row>
    <row r="1792" spans="5:6" x14ac:dyDescent="0.35">
      <c r="E1792">
        <v>1789</v>
      </c>
      <c r="F1792">
        <f t="shared" ca="1" si="29"/>
        <v>8.4036553140735114E-3</v>
      </c>
    </row>
    <row r="1793" spans="5:6" x14ac:dyDescent="0.35">
      <c r="E1793">
        <v>1790</v>
      </c>
      <c r="F1793">
        <f t="shared" ca="1" si="29"/>
        <v>2.5968525650491782E-3</v>
      </c>
    </row>
    <row r="1794" spans="5:6" x14ac:dyDescent="0.35">
      <c r="E1794">
        <v>1791</v>
      </c>
      <c r="F1794">
        <f t="shared" ca="1" si="29"/>
        <v>6.2726266211633784E-3</v>
      </c>
    </row>
    <row r="1795" spans="5:6" x14ac:dyDescent="0.35">
      <c r="E1795">
        <v>1792</v>
      </c>
      <c r="F1795">
        <f t="shared" ca="1" si="29"/>
        <v>-2.3006214929852765E-2</v>
      </c>
    </row>
    <row r="1796" spans="5:6" x14ac:dyDescent="0.35">
      <c r="E1796">
        <v>1793</v>
      </c>
      <c r="F1796">
        <f t="shared" ca="1" si="29"/>
        <v>-9.1175294703935861E-3</v>
      </c>
    </row>
    <row r="1797" spans="5:6" x14ac:dyDescent="0.35">
      <c r="E1797">
        <v>1794</v>
      </c>
      <c r="F1797">
        <f t="shared" ref="F1797:F1860" ca="1" si="30">_xlfn.NORM.INV(RAND(),M$6,M$7)</f>
        <v>-1.1186489084178054E-2</v>
      </c>
    </row>
    <row r="1798" spans="5:6" x14ac:dyDescent="0.35">
      <c r="E1798">
        <v>1795</v>
      </c>
      <c r="F1798">
        <f t="shared" ca="1" si="30"/>
        <v>1.1106597158561779E-3</v>
      </c>
    </row>
    <row r="1799" spans="5:6" x14ac:dyDescent="0.35">
      <c r="E1799">
        <v>1796</v>
      </c>
      <c r="F1799">
        <f t="shared" ca="1" si="30"/>
        <v>1.102031974562301E-2</v>
      </c>
    </row>
    <row r="1800" spans="5:6" x14ac:dyDescent="0.35">
      <c r="E1800">
        <v>1797</v>
      </c>
      <c r="F1800">
        <f t="shared" ca="1" si="30"/>
        <v>9.9971030947053584E-3</v>
      </c>
    </row>
    <row r="1801" spans="5:6" x14ac:dyDescent="0.35">
      <c r="E1801">
        <v>1798</v>
      </c>
      <c r="F1801">
        <f t="shared" ca="1" si="30"/>
        <v>-8.0948258476818795E-3</v>
      </c>
    </row>
    <row r="1802" spans="5:6" x14ac:dyDescent="0.35">
      <c r="E1802">
        <v>1799</v>
      </c>
      <c r="F1802">
        <f t="shared" ca="1" si="30"/>
        <v>2.2340987255724254E-3</v>
      </c>
    </row>
    <row r="1803" spans="5:6" x14ac:dyDescent="0.35">
      <c r="E1803">
        <v>1800</v>
      </c>
      <c r="F1803">
        <f t="shared" ca="1" si="30"/>
        <v>9.3628810311129802E-3</v>
      </c>
    </row>
    <row r="1804" spans="5:6" x14ac:dyDescent="0.35">
      <c r="E1804">
        <v>1801</v>
      </c>
      <c r="F1804">
        <f t="shared" ca="1" si="30"/>
        <v>-6.0149536723664073E-3</v>
      </c>
    </row>
    <row r="1805" spans="5:6" x14ac:dyDescent="0.35">
      <c r="E1805">
        <v>1802</v>
      </c>
      <c r="F1805">
        <f t="shared" ca="1" si="30"/>
        <v>-7.6984943902680507E-3</v>
      </c>
    </row>
    <row r="1806" spans="5:6" x14ac:dyDescent="0.35">
      <c r="E1806">
        <v>1803</v>
      </c>
      <c r="F1806">
        <f t="shared" ca="1" si="30"/>
        <v>2.9529583932187517E-3</v>
      </c>
    </row>
    <row r="1807" spans="5:6" x14ac:dyDescent="0.35">
      <c r="E1807">
        <v>1804</v>
      </c>
      <c r="F1807">
        <f t="shared" ca="1" si="30"/>
        <v>4.3091813824633106E-3</v>
      </c>
    </row>
    <row r="1808" spans="5:6" x14ac:dyDescent="0.35">
      <c r="E1808">
        <v>1805</v>
      </c>
      <c r="F1808">
        <f t="shared" ca="1" si="30"/>
        <v>-1.2688479078428837E-2</v>
      </c>
    </row>
    <row r="1809" spans="5:6" x14ac:dyDescent="0.35">
      <c r="E1809">
        <v>1806</v>
      </c>
      <c r="F1809">
        <f t="shared" ca="1" si="30"/>
        <v>-4.7958523003693567E-3</v>
      </c>
    </row>
    <row r="1810" spans="5:6" x14ac:dyDescent="0.35">
      <c r="E1810">
        <v>1807</v>
      </c>
      <c r="F1810">
        <f t="shared" ca="1" si="30"/>
        <v>-5.0152907353639125E-3</v>
      </c>
    </row>
    <row r="1811" spans="5:6" x14ac:dyDescent="0.35">
      <c r="E1811">
        <v>1808</v>
      </c>
      <c r="F1811">
        <f t="shared" ca="1" si="30"/>
        <v>-7.9998988170857429E-3</v>
      </c>
    </row>
    <row r="1812" spans="5:6" x14ac:dyDescent="0.35">
      <c r="E1812">
        <v>1809</v>
      </c>
      <c r="F1812">
        <f t="shared" ca="1" si="30"/>
        <v>-8.2112078213351816E-4</v>
      </c>
    </row>
    <row r="1813" spans="5:6" x14ac:dyDescent="0.35">
      <c r="E1813">
        <v>1810</v>
      </c>
      <c r="F1813">
        <f t="shared" ca="1" si="30"/>
        <v>1.3383315365797504E-3</v>
      </c>
    </row>
    <row r="1814" spans="5:6" x14ac:dyDescent="0.35">
      <c r="E1814">
        <v>1811</v>
      </c>
      <c r="F1814">
        <f t="shared" ca="1" si="30"/>
        <v>-2.2952201455281478E-2</v>
      </c>
    </row>
    <row r="1815" spans="5:6" x14ac:dyDescent="0.35">
      <c r="E1815">
        <v>1812</v>
      </c>
      <c r="F1815">
        <f t="shared" ca="1" si="30"/>
        <v>-2.9631424777840306E-2</v>
      </c>
    </row>
    <row r="1816" spans="5:6" x14ac:dyDescent="0.35">
      <c r="E1816">
        <v>1813</v>
      </c>
      <c r="F1816">
        <f t="shared" ca="1" si="30"/>
        <v>8.5320313605125458E-3</v>
      </c>
    </row>
    <row r="1817" spans="5:6" x14ac:dyDescent="0.35">
      <c r="E1817">
        <v>1814</v>
      </c>
      <c r="F1817">
        <f t="shared" ca="1" si="30"/>
        <v>1.4051909833549231E-2</v>
      </c>
    </row>
    <row r="1818" spans="5:6" x14ac:dyDescent="0.35">
      <c r="E1818">
        <v>1815</v>
      </c>
      <c r="F1818">
        <f t="shared" ca="1" si="30"/>
        <v>-8.3782202396699892E-3</v>
      </c>
    </row>
    <row r="1819" spans="5:6" x14ac:dyDescent="0.35">
      <c r="E1819">
        <v>1816</v>
      </c>
      <c r="F1819">
        <f t="shared" ca="1" si="30"/>
        <v>-5.3209267383519821E-4</v>
      </c>
    </row>
    <row r="1820" spans="5:6" x14ac:dyDescent="0.35">
      <c r="E1820">
        <v>1817</v>
      </c>
      <c r="F1820">
        <f t="shared" ca="1" si="30"/>
        <v>-1.4975700757011037E-3</v>
      </c>
    </row>
    <row r="1821" spans="5:6" x14ac:dyDescent="0.35">
      <c r="E1821">
        <v>1818</v>
      </c>
      <c r="F1821">
        <f t="shared" ca="1" si="30"/>
        <v>-1.5638695770205191E-3</v>
      </c>
    </row>
    <row r="1822" spans="5:6" x14ac:dyDescent="0.35">
      <c r="E1822">
        <v>1819</v>
      </c>
      <c r="F1822">
        <f t="shared" ca="1" si="30"/>
        <v>-1.8128350661622532E-2</v>
      </c>
    </row>
    <row r="1823" spans="5:6" x14ac:dyDescent="0.35">
      <c r="E1823">
        <v>1820</v>
      </c>
      <c r="F1823">
        <f t="shared" ca="1" si="30"/>
        <v>9.086476290095704E-3</v>
      </c>
    </row>
    <row r="1824" spans="5:6" x14ac:dyDescent="0.35">
      <c r="E1824">
        <v>1821</v>
      </c>
      <c r="F1824">
        <f t="shared" ca="1" si="30"/>
        <v>-1.0978623580900126E-2</v>
      </c>
    </row>
    <row r="1825" spans="5:6" x14ac:dyDescent="0.35">
      <c r="E1825">
        <v>1822</v>
      </c>
      <c r="F1825">
        <f t="shared" ca="1" si="30"/>
        <v>2.2857668003026098E-2</v>
      </c>
    </row>
    <row r="1826" spans="5:6" x14ac:dyDescent="0.35">
      <c r="E1826">
        <v>1823</v>
      </c>
      <c r="F1826">
        <f t="shared" ca="1" si="30"/>
        <v>2.8625097389818579E-2</v>
      </c>
    </row>
    <row r="1827" spans="5:6" x14ac:dyDescent="0.35">
      <c r="E1827">
        <v>1824</v>
      </c>
      <c r="F1827">
        <f t="shared" ca="1" si="30"/>
        <v>-8.6131634139636377E-3</v>
      </c>
    </row>
    <row r="1828" spans="5:6" x14ac:dyDescent="0.35">
      <c r="E1828">
        <v>1825</v>
      </c>
      <c r="F1828">
        <f t="shared" ca="1" si="30"/>
        <v>1.2803783010643867E-2</v>
      </c>
    </row>
    <row r="1829" spans="5:6" x14ac:dyDescent="0.35">
      <c r="E1829">
        <v>1826</v>
      </c>
      <c r="F1829">
        <f t="shared" ca="1" si="30"/>
        <v>-1.1008747344386633E-2</v>
      </c>
    </row>
    <row r="1830" spans="5:6" x14ac:dyDescent="0.35">
      <c r="E1830">
        <v>1827</v>
      </c>
      <c r="F1830">
        <f t="shared" ca="1" si="30"/>
        <v>-6.6707899096101119E-3</v>
      </c>
    </row>
    <row r="1831" spans="5:6" x14ac:dyDescent="0.35">
      <c r="E1831">
        <v>1828</v>
      </c>
      <c r="F1831">
        <f t="shared" ca="1" si="30"/>
        <v>-1.6513831137036215E-2</v>
      </c>
    </row>
    <row r="1832" spans="5:6" x14ac:dyDescent="0.35">
      <c r="E1832">
        <v>1829</v>
      </c>
      <c r="F1832">
        <f t="shared" ca="1" si="30"/>
        <v>-1.1815014684709087E-3</v>
      </c>
    </row>
    <row r="1833" spans="5:6" x14ac:dyDescent="0.35">
      <c r="E1833">
        <v>1830</v>
      </c>
      <c r="F1833">
        <f t="shared" ca="1" si="30"/>
        <v>-4.4458879671530243E-3</v>
      </c>
    </row>
    <row r="1834" spans="5:6" x14ac:dyDescent="0.35">
      <c r="E1834">
        <v>1831</v>
      </c>
      <c r="F1834">
        <f t="shared" ca="1" si="30"/>
        <v>1.8048593981149969E-3</v>
      </c>
    </row>
    <row r="1835" spans="5:6" x14ac:dyDescent="0.35">
      <c r="E1835">
        <v>1832</v>
      </c>
      <c r="F1835">
        <f t="shared" ca="1" si="30"/>
        <v>-7.4673205404112899E-3</v>
      </c>
    </row>
    <row r="1836" spans="5:6" x14ac:dyDescent="0.35">
      <c r="E1836">
        <v>1833</v>
      </c>
      <c r="F1836">
        <f t="shared" ca="1" si="30"/>
        <v>-1.5839183498735306E-2</v>
      </c>
    </row>
    <row r="1837" spans="5:6" x14ac:dyDescent="0.35">
      <c r="E1837">
        <v>1834</v>
      </c>
      <c r="F1837">
        <f t="shared" ca="1" si="30"/>
        <v>2.6758691404625487E-2</v>
      </c>
    </row>
    <row r="1838" spans="5:6" x14ac:dyDescent="0.35">
      <c r="E1838">
        <v>1835</v>
      </c>
      <c r="F1838">
        <f t="shared" ca="1" si="30"/>
        <v>-1.8858677112152427E-2</v>
      </c>
    </row>
    <row r="1839" spans="5:6" x14ac:dyDescent="0.35">
      <c r="E1839">
        <v>1836</v>
      </c>
      <c r="F1839">
        <f t="shared" ca="1" si="30"/>
        <v>-2.3038661335468631E-2</v>
      </c>
    </row>
    <row r="1840" spans="5:6" x14ac:dyDescent="0.35">
      <c r="E1840">
        <v>1837</v>
      </c>
      <c r="F1840">
        <f t="shared" ca="1" si="30"/>
        <v>8.9473231718542375E-3</v>
      </c>
    </row>
    <row r="1841" spans="5:6" x14ac:dyDescent="0.35">
      <c r="E1841">
        <v>1838</v>
      </c>
      <c r="F1841">
        <f t="shared" ca="1" si="30"/>
        <v>-6.8814586912447034E-4</v>
      </c>
    </row>
    <row r="1842" spans="5:6" x14ac:dyDescent="0.35">
      <c r="E1842">
        <v>1839</v>
      </c>
      <c r="F1842">
        <f t="shared" ca="1" si="30"/>
        <v>2.0879704864808162E-2</v>
      </c>
    </row>
    <row r="1843" spans="5:6" x14ac:dyDescent="0.35">
      <c r="E1843">
        <v>1840</v>
      </c>
      <c r="F1843">
        <f t="shared" ca="1" si="30"/>
        <v>1.5410050080332319E-2</v>
      </c>
    </row>
    <row r="1844" spans="5:6" x14ac:dyDescent="0.35">
      <c r="E1844">
        <v>1841</v>
      </c>
      <c r="F1844">
        <f t="shared" ca="1" si="30"/>
        <v>-2.1878881431871295E-2</v>
      </c>
    </row>
    <row r="1845" spans="5:6" x14ac:dyDescent="0.35">
      <c r="E1845">
        <v>1842</v>
      </c>
      <c r="F1845">
        <f t="shared" ca="1" si="30"/>
        <v>5.2242097129099937E-3</v>
      </c>
    </row>
    <row r="1846" spans="5:6" x14ac:dyDescent="0.35">
      <c r="E1846">
        <v>1843</v>
      </c>
      <c r="F1846">
        <f t="shared" ca="1" si="30"/>
        <v>-6.7949629133615521E-3</v>
      </c>
    </row>
    <row r="1847" spans="5:6" x14ac:dyDescent="0.35">
      <c r="E1847">
        <v>1844</v>
      </c>
      <c r="F1847">
        <f t="shared" ca="1" si="30"/>
        <v>-4.5485593096431052E-3</v>
      </c>
    </row>
    <row r="1848" spans="5:6" x14ac:dyDescent="0.35">
      <c r="E1848">
        <v>1845</v>
      </c>
      <c r="F1848">
        <f t="shared" ca="1" si="30"/>
        <v>-2.1908551419419303E-2</v>
      </c>
    </row>
    <row r="1849" spans="5:6" x14ac:dyDescent="0.35">
      <c r="E1849">
        <v>1846</v>
      </c>
      <c r="F1849">
        <f t="shared" ca="1" si="30"/>
        <v>-2.6315100227683043E-3</v>
      </c>
    </row>
    <row r="1850" spans="5:6" x14ac:dyDescent="0.35">
      <c r="E1850">
        <v>1847</v>
      </c>
      <c r="F1850">
        <f t="shared" ca="1" si="30"/>
        <v>4.8554867123952322E-3</v>
      </c>
    </row>
    <row r="1851" spans="5:6" x14ac:dyDescent="0.35">
      <c r="E1851">
        <v>1848</v>
      </c>
      <c r="F1851">
        <f t="shared" ca="1" si="30"/>
        <v>-1.3588485876728408E-4</v>
      </c>
    </row>
    <row r="1852" spans="5:6" x14ac:dyDescent="0.35">
      <c r="E1852">
        <v>1849</v>
      </c>
      <c r="F1852">
        <f t="shared" ca="1" si="30"/>
        <v>-2.6697739564445416E-2</v>
      </c>
    </row>
    <row r="1853" spans="5:6" x14ac:dyDescent="0.35">
      <c r="E1853">
        <v>1850</v>
      </c>
      <c r="F1853">
        <f t="shared" ca="1" si="30"/>
        <v>-2.5534446102502311E-2</v>
      </c>
    </row>
    <row r="1854" spans="5:6" x14ac:dyDescent="0.35">
      <c r="E1854">
        <v>1851</v>
      </c>
      <c r="F1854">
        <f t="shared" ca="1" si="30"/>
        <v>-1.7507254557544701E-2</v>
      </c>
    </row>
    <row r="1855" spans="5:6" x14ac:dyDescent="0.35">
      <c r="E1855">
        <v>1852</v>
      </c>
      <c r="F1855">
        <f t="shared" ca="1" si="30"/>
        <v>-2.3362636742236507E-3</v>
      </c>
    </row>
    <row r="1856" spans="5:6" x14ac:dyDescent="0.35">
      <c r="E1856">
        <v>1853</v>
      </c>
      <c r="F1856">
        <f t="shared" ca="1" si="30"/>
        <v>1.7292173964025867E-2</v>
      </c>
    </row>
    <row r="1857" spans="5:6" x14ac:dyDescent="0.35">
      <c r="E1857">
        <v>1854</v>
      </c>
      <c r="F1857">
        <f t="shared" ca="1" si="30"/>
        <v>2.9849342256976243E-4</v>
      </c>
    </row>
    <row r="1858" spans="5:6" x14ac:dyDescent="0.35">
      <c r="E1858">
        <v>1855</v>
      </c>
      <c r="F1858">
        <f t="shared" ca="1" si="30"/>
        <v>-9.1435088694142661E-3</v>
      </c>
    </row>
    <row r="1859" spans="5:6" x14ac:dyDescent="0.35">
      <c r="E1859">
        <v>1856</v>
      </c>
      <c r="F1859">
        <f t="shared" ca="1" si="30"/>
        <v>-4.3598559768637532E-3</v>
      </c>
    </row>
    <row r="1860" spans="5:6" x14ac:dyDescent="0.35">
      <c r="E1860">
        <v>1857</v>
      </c>
      <c r="F1860">
        <f t="shared" ca="1" si="30"/>
        <v>-1.9628551720156581E-2</v>
      </c>
    </row>
    <row r="1861" spans="5:6" x14ac:dyDescent="0.35">
      <c r="E1861">
        <v>1858</v>
      </c>
      <c r="F1861">
        <f t="shared" ref="F1861:F1924" ca="1" si="31">_xlfn.NORM.INV(RAND(),M$6,M$7)</f>
        <v>1.9532059488534169E-2</v>
      </c>
    </row>
    <row r="1862" spans="5:6" x14ac:dyDescent="0.35">
      <c r="E1862">
        <v>1859</v>
      </c>
      <c r="F1862">
        <f t="shared" ca="1" si="31"/>
        <v>2.916958391854311E-3</v>
      </c>
    </row>
    <row r="1863" spans="5:6" x14ac:dyDescent="0.35">
      <c r="E1863">
        <v>1860</v>
      </c>
      <c r="F1863">
        <f t="shared" ca="1" si="31"/>
        <v>-9.0679472893000698E-3</v>
      </c>
    </row>
    <row r="1864" spans="5:6" x14ac:dyDescent="0.35">
      <c r="E1864">
        <v>1861</v>
      </c>
      <c r="F1864">
        <f t="shared" ca="1" si="31"/>
        <v>-2.0759646595243583E-3</v>
      </c>
    </row>
    <row r="1865" spans="5:6" x14ac:dyDescent="0.35">
      <c r="E1865">
        <v>1862</v>
      </c>
      <c r="F1865">
        <f t="shared" ca="1" si="31"/>
        <v>-5.4071147690424931E-4</v>
      </c>
    </row>
    <row r="1866" spans="5:6" x14ac:dyDescent="0.35">
      <c r="E1866">
        <v>1863</v>
      </c>
      <c r="F1866">
        <f t="shared" ca="1" si="31"/>
        <v>3.9187543787433686E-2</v>
      </c>
    </row>
    <row r="1867" spans="5:6" x14ac:dyDescent="0.35">
      <c r="E1867">
        <v>1864</v>
      </c>
      <c r="F1867">
        <f t="shared" ca="1" si="31"/>
        <v>-6.3061113607777745E-3</v>
      </c>
    </row>
    <row r="1868" spans="5:6" x14ac:dyDescent="0.35">
      <c r="E1868">
        <v>1865</v>
      </c>
      <c r="F1868">
        <f t="shared" ca="1" si="31"/>
        <v>3.7644993639016169E-3</v>
      </c>
    </row>
    <row r="1869" spans="5:6" x14ac:dyDescent="0.35">
      <c r="E1869">
        <v>1866</v>
      </c>
      <c r="F1869">
        <f t="shared" ca="1" si="31"/>
        <v>3.7640910713897205E-2</v>
      </c>
    </row>
    <row r="1870" spans="5:6" x14ac:dyDescent="0.35">
      <c r="E1870">
        <v>1867</v>
      </c>
      <c r="F1870">
        <f t="shared" ca="1" si="31"/>
        <v>2.6098027030105669E-3</v>
      </c>
    </row>
    <row r="1871" spans="5:6" x14ac:dyDescent="0.35">
      <c r="E1871">
        <v>1868</v>
      </c>
      <c r="F1871">
        <f t="shared" ca="1" si="31"/>
        <v>-2.0688944484920299E-2</v>
      </c>
    </row>
    <row r="1872" spans="5:6" x14ac:dyDescent="0.35">
      <c r="E1872">
        <v>1869</v>
      </c>
      <c r="F1872">
        <f t="shared" ca="1" si="31"/>
        <v>-4.2279233173780888E-3</v>
      </c>
    </row>
    <row r="1873" spans="5:6" x14ac:dyDescent="0.35">
      <c r="E1873">
        <v>1870</v>
      </c>
      <c r="F1873">
        <f t="shared" ca="1" si="31"/>
        <v>8.2321075480481648E-3</v>
      </c>
    </row>
    <row r="1874" spans="5:6" x14ac:dyDescent="0.35">
      <c r="E1874">
        <v>1871</v>
      </c>
      <c r="F1874">
        <f t="shared" ca="1" si="31"/>
        <v>-6.7585525883548866E-3</v>
      </c>
    </row>
    <row r="1875" spans="5:6" x14ac:dyDescent="0.35">
      <c r="E1875">
        <v>1872</v>
      </c>
      <c r="F1875">
        <f t="shared" ca="1" si="31"/>
        <v>1.6372075447500155E-2</v>
      </c>
    </row>
    <row r="1876" spans="5:6" x14ac:dyDescent="0.35">
      <c r="E1876">
        <v>1873</v>
      </c>
      <c r="F1876">
        <f t="shared" ca="1" si="31"/>
        <v>-6.4409501668760368E-4</v>
      </c>
    </row>
    <row r="1877" spans="5:6" x14ac:dyDescent="0.35">
      <c r="E1877">
        <v>1874</v>
      </c>
      <c r="F1877">
        <f t="shared" ca="1" si="31"/>
        <v>6.9943541386495644E-3</v>
      </c>
    </row>
    <row r="1878" spans="5:6" x14ac:dyDescent="0.35">
      <c r="E1878">
        <v>1875</v>
      </c>
      <c r="F1878">
        <f t="shared" ca="1" si="31"/>
        <v>1.838115934508457E-2</v>
      </c>
    </row>
    <row r="1879" spans="5:6" x14ac:dyDescent="0.35">
      <c r="E1879">
        <v>1876</v>
      </c>
      <c r="F1879">
        <f t="shared" ca="1" si="31"/>
        <v>-1.2282392017768274E-2</v>
      </c>
    </row>
    <row r="1880" spans="5:6" x14ac:dyDescent="0.35">
      <c r="E1880">
        <v>1877</v>
      </c>
      <c r="F1880">
        <f t="shared" ca="1" si="31"/>
        <v>-3.0214058731998952E-3</v>
      </c>
    </row>
    <row r="1881" spans="5:6" x14ac:dyDescent="0.35">
      <c r="E1881">
        <v>1878</v>
      </c>
      <c r="F1881">
        <f t="shared" ca="1" si="31"/>
        <v>2.1827228273404598E-2</v>
      </c>
    </row>
    <row r="1882" spans="5:6" x14ac:dyDescent="0.35">
      <c r="E1882">
        <v>1879</v>
      </c>
      <c r="F1882">
        <f t="shared" ca="1" si="31"/>
        <v>1.2245131716621251E-2</v>
      </c>
    </row>
    <row r="1883" spans="5:6" x14ac:dyDescent="0.35">
      <c r="E1883">
        <v>1880</v>
      </c>
      <c r="F1883">
        <f t="shared" ca="1" si="31"/>
        <v>2.6735379076886158E-3</v>
      </c>
    </row>
    <row r="1884" spans="5:6" x14ac:dyDescent="0.35">
      <c r="E1884">
        <v>1881</v>
      </c>
      <c r="F1884">
        <f t="shared" ca="1" si="31"/>
        <v>1.1924084840714395E-3</v>
      </c>
    </row>
    <row r="1885" spans="5:6" x14ac:dyDescent="0.35">
      <c r="E1885">
        <v>1882</v>
      </c>
      <c r="F1885">
        <f t="shared" ca="1" si="31"/>
        <v>4.6389936358068049E-3</v>
      </c>
    </row>
    <row r="1886" spans="5:6" x14ac:dyDescent="0.35">
      <c r="E1886">
        <v>1883</v>
      </c>
      <c r="F1886">
        <f t="shared" ca="1" si="31"/>
        <v>-4.3675653260448737E-3</v>
      </c>
    </row>
    <row r="1887" spans="5:6" x14ac:dyDescent="0.35">
      <c r="E1887">
        <v>1884</v>
      </c>
      <c r="F1887">
        <f t="shared" ca="1" si="31"/>
        <v>1.4727792457581785E-2</v>
      </c>
    </row>
    <row r="1888" spans="5:6" x14ac:dyDescent="0.35">
      <c r="E1888">
        <v>1885</v>
      </c>
      <c r="F1888">
        <f t="shared" ca="1" si="31"/>
        <v>2.9512096340105192E-2</v>
      </c>
    </row>
    <row r="1889" spans="5:6" x14ac:dyDescent="0.35">
      <c r="E1889">
        <v>1886</v>
      </c>
      <c r="F1889">
        <f t="shared" ca="1" si="31"/>
        <v>-7.6361137098271883E-3</v>
      </c>
    </row>
    <row r="1890" spans="5:6" x14ac:dyDescent="0.35">
      <c r="E1890">
        <v>1887</v>
      </c>
      <c r="F1890">
        <f t="shared" ca="1" si="31"/>
        <v>1.0651956349103098E-3</v>
      </c>
    </row>
    <row r="1891" spans="5:6" x14ac:dyDescent="0.35">
      <c r="E1891">
        <v>1888</v>
      </c>
      <c r="F1891">
        <f t="shared" ca="1" si="31"/>
        <v>5.7112093594291783E-3</v>
      </c>
    </row>
    <row r="1892" spans="5:6" x14ac:dyDescent="0.35">
      <c r="E1892">
        <v>1889</v>
      </c>
      <c r="F1892">
        <f t="shared" ca="1" si="31"/>
        <v>2.5798025777177894E-2</v>
      </c>
    </row>
    <row r="1893" spans="5:6" x14ac:dyDescent="0.35">
      <c r="E1893">
        <v>1890</v>
      </c>
      <c r="F1893">
        <f t="shared" ca="1" si="31"/>
        <v>-1.5453204909713608E-2</v>
      </c>
    </row>
    <row r="1894" spans="5:6" x14ac:dyDescent="0.35">
      <c r="E1894">
        <v>1891</v>
      </c>
      <c r="F1894">
        <f t="shared" ca="1" si="31"/>
        <v>1.0611450244089434E-2</v>
      </c>
    </row>
    <row r="1895" spans="5:6" x14ac:dyDescent="0.35">
      <c r="E1895">
        <v>1892</v>
      </c>
      <c r="F1895">
        <f t="shared" ca="1" si="31"/>
        <v>8.3523052198306129E-3</v>
      </c>
    </row>
    <row r="1896" spans="5:6" x14ac:dyDescent="0.35">
      <c r="E1896">
        <v>1893</v>
      </c>
      <c r="F1896">
        <f t="shared" ca="1" si="31"/>
        <v>-2.6456783456548102E-2</v>
      </c>
    </row>
    <row r="1897" spans="5:6" x14ac:dyDescent="0.35">
      <c r="E1897">
        <v>1894</v>
      </c>
      <c r="F1897">
        <f t="shared" ca="1" si="31"/>
        <v>7.312300397357756E-3</v>
      </c>
    </row>
    <row r="1898" spans="5:6" x14ac:dyDescent="0.35">
      <c r="E1898">
        <v>1895</v>
      </c>
      <c r="F1898">
        <f t="shared" ca="1" si="31"/>
        <v>-5.7951288433108457E-3</v>
      </c>
    </row>
    <row r="1899" spans="5:6" x14ac:dyDescent="0.35">
      <c r="E1899">
        <v>1896</v>
      </c>
      <c r="F1899">
        <f t="shared" ca="1" si="31"/>
        <v>-1.3233670188149955E-2</v>
      </c>
    </row>
    <row r="1900" spans="5:6" x14ac:dyDescent="0.35">
      <c r="E1900">
        <v>1897</v>
      </c>
      <c r="F1900">
        <f t="shared" ca="1" si="31"/>
        <v>2.1782056875260074E-2</v>
      </c>
    </row>
    <row r="1901" spans="5:6" x14ac:dyDescent="0.35">
      <c r="E1901">
        <v>1898</v>
      </c>
      <c r="F1901">
        <f t="shared" ca="1" si="31"/>
        <v>-9.0633970952546349E-3</v>
      </c>
    </row>
    <row r="1902" spans="5:6" x14ac:dyDescent="0.35">
      <c r="E1902">
        <v>1899</v>
      </c>
      <c r="F1902">
        <f t="shared" ca="1" si="31"/>
        <v>4.1679346515443331E-3</v>
      </c>
    </row>
    <row r="1903" spans="5:6" x14ac:dyDescent="0.35">
      <c r="E1903">
        <v>1900</v>
      </c>
      <c r="F1903">
        <f t="shared" ca="1" si="31"/>
        <v>2.1058100695240046E-2</v>
      </c>
    </row>
    <row r="1904" spans="5:6" x14ac:dyDescent="0.35">
      <c r="E1904">
        <v>1901</v>
      </c>
      <c r="F1904">
        <f t="shared" ca="1" si="31"/>
        <v>1.3059595804688258E-3</v>
      </c>
    </row>
    <row r="1905" spans="5:6" x14ac:dyDescent="0.35">
      <c r="E1905">
        <v>1902</v>
      </c>
      <c r="F1905">
        <f t="shared" ca="1" si="31"/>
        <v>-1.1568167455391454E-2</v>
      </c>
    </row>
    <row r="1906" spans="5:6" x14ac:dyDescent="0.35">
      <c r="E1906">
        <v>1903</v>
      </c>
      <c r="F1906">
        <f t="shared" ca="1" si="31"/>
        <v>-1.5571531830791425E-2</v>
      </c>
    </row>
    <row r="1907" spans="5:6" x14ac:dyDescent="0.35">
      <c r="E1907">
        <v>1904</v>
      </c>
      <c r="F1907">
        <f t="shared" ca="1" si="31"/>
        <v>-3.5039572396677559E-3</v>
      </c>
    </row>
    <row r="1908" spans="5:6" x14ac:dyDescent="0.35">
      <c r="E1908">
        <v>1905</v>
      </c>
      <c r="F1908">
        <f t="shared" ca="1" si="31"/>
        <v>-1.8985199403831976E-2</v>
      </c>
    </row>
    <row r="1909" spans="5:6" x14ac:dyDescent="0.35">
      <c r="E1909">
        <v>1906</v>
      </c>
      <c r="F1909">
        <f t="shared" ca="1" si="31"/>
        <v>-2.1345469591995472E-2</v>
      </c>
    </row>
    <row r="1910" spans="5:6" x14ac:dyDescent="0.35">
      <c r="E1910">
        <v>1907</v>
      </c>
      <c r="F1910">
        <f t="shared" ca="1" si="31"/>
        <v>-5.9436669075900346E-3</v>
      </c>
    </row>
    <row r="1911" spans="5:6" x14ac:dyDescent="0.35">
      <c r="E1911">
        <v>1908</v>
      </c>
      <c r="F1911">
        <f t="shared" ca="1" si="31"/>
        <v>5.914604175033253E-3</v>
      </c>
    </row>
    <row r="1912" spans="5:6" x14ac:dyDescent="0.35">
      <c r="E1912">
        <v>1909</v>
      </c>
      <c r="F1912">
        <f t="shared" ca="1" si="31"/>
        <v>8.2637236153487448E-3</v>
      </c>
    </row>
    <row r="1913" spans="5:6" x14ac:dyDescent="0.35">
      <c r="E1913">
        <v>1910</v>
      </c>
      <c r="F1913">
        <f t="shared" ca="1" si="31"/>
        <v>-1.1019882016471864E-2</v>
      </c>
    </row>
    <row r="1914" spans="5:6" x14ac:dyDescent="0.35">
      <c r="E1914">
        <v>1911</v>
      </c>
      <c r="F1914">
        <f t="shared" ca="1" si="31"/>
        <v>2.2512149027342849E-2</v>
      </c>
    </row>
    <row r="1915" spans="5:6" x14ac:dyDescent="0.35">
      <c r="E1915">
        <v>1912</v>
      </c>
      <c r="F1915">
        <f t="shared" ca="1" si="31"/>
        <v>-9.50868085597395E-3</v>
      </c>
    </row>
    <row r="1916" spans="5:6" x14ac:dyDescent="0.35">
      <c r="E1916">
        <v>1913</v>
      </c>
      <c r="F1916">
        <f t="shared" ca="1" si="31"/>
        <v>5.9699603296614991E-4</v>
      </c>
    </row>
    <row r="1917" spans="5:6" x14ac:dyDescent="0.35">
      <c r="E1917">
        <v>1914</v>
      </c>
      <c r="F1917">
        <f t="shared" ca="1" si="31"/>
        <v>4.4115574665433525E-3</v>
      </c>
    </row>
    <row r="1918" spans="5:6" x14ac:dyDescent="0.35">
      <c r="E1918">
        <v>1915</v>
      </c>
      <c r="F1918">
        <f t="shared" ca="1" si="31"/>
        <v>-2.0789539057344483E-2</v>
      </c>
    </row>
    <row r="1919" spans="5:6" x14ac:dyDescent="0.35">
      <c r="E1919">
        <v>1916</v>
      </c>
      <c r="F1919">
        <f t="shared" ca="1" si="31"/>
        <v>2.8016752353656707E-4</v>
      </c>
    </row>
    <row r="1920" spans="5:6" x14ac:dyDescent="0.35">
      <c r="E1920">
        <v>1917</v>
      </c>
      <c r="F1920">
        <f t="shared" ca="1" si="31"/>
        <v>9.5947616492813616E-4</v>
      </c>
    </row>
    <row r="1921" spans="5:6" x14ac:dyDescent="0.35">
      <c r="E1921">
        <v>1918</v>
      </c>
      <c r="F1921">
        <f t="shared" ca="1" si="31"/>
        <v>4.5863646892124067E-3</v>
      </c>
    </row>
    <row r="1922" spans="5:6" x14ac:dyDescent="0.35">
      <c r="E1922">
        <v>1919</v>
      </c>
      <c r="F1922">
        <f t="shared" ca="1" si="31"/>
        <v>1.749435342624641E-2</v>
      </c>
    </row>
    <row r="1923" spans="5:6" x14ac:dyDescent="0.35">
      <c r="E1923">
        <v>1920</v>
      </c>
      <c r="F1923">
        <f t="shared" ca="1" si="31"/>
        <v>-1.9816071524749717E-2</v>
      </c>
    </row>
    <row r="1924" spans="5:6" x14ac:dyDescent="0.35">
      <c r="E1924">
        <v>1921</v>
      </c>
      <c r="F1924">
        <f t="shared" ca="1" si="31"/>
        <v>-1.5205630344418656E-2</v>
      </c>
    </row>
    <row r="1925" spans="5:6" x14ac:dyDescent="0.35">
      <c r="E1925">
        <v>1922</v>
      </c>
      <c r="F1925">
        <f t="shared" ref="F1925:F1988" ca="1" si="32">_xlfn.NORM.INV(RAND(),M$6,M$7)</f>
        <v>1.9749998705315078E-2</v>
      </c>
    </row>
    <row r="1926" spans="5:6" x14ac:dyDescent="0.35">
      <c r="E1926">
        <v>1923</v>
      </c>
      <c r="F1926">
        <f t="shared" ca="1" si="32"/>
        <v>1.194042905616495E-2</v>
      </c>
    </row>
    <row r="1927" spans="5:6" x14ac:dyDescent="0.35">
      <c r="E1927">
        <v>1924</v>
      </c>
      <c r="F1927">
        <f t="shared" ca="1" si="32"/>
        <v>-4.4745244507228572E-3</v>
      </c>
    </row>
    <row r="1928" spans="5:6" x14ac:dyDescent="0.35">
      <c r="E1928">
        <v>1925</v>
      </c>
      <c r="F1928">
        <f t="shared" ca="1" si="32"/>
        <v>-2.8331437402959502E-3</v>
      </c>
    </row>
    <row r="1929" spans="5:6" x14ac:dyDescent="0.35">
      <c r="E1929">
        <v>1926</v>
      </c>
      <c r="F1929">
        <f t="shared" ca="1" si="32"/>
        <v>-1.1904667228393201E-2</v>
      </c>
    </row>
    <row r="1930" spans="5:6" x14ac:dyDescent="0.35">
      <c r="E1930">
        <v>1927</v>
      </c>
      <c r="F1930">
        <f t="shared" ca="1" si="32"/>
        <v>-1.6958265549932926E-2</v>
      </c>
    </row>
    <row r="1931" spans="5:6" x14ac:dyDescent="0.35">
      <c r="E1931">
        <v>1928</v>
      </c>
      <c r="F1931">
        <f t="shared" ca="1" si="32"/>
        <v>-7.7798855376995605E-3</v>
      </c>
    </row>
    <row r="1932" spans="5:6" x14ac:dyDescent="0.35">
      <c r="E1932">
        <v>1929</v>
      </c>
      <c r="F1932">
        <f t="shared" ca="1" si="32"/>
        <v>2.9146210157283903E-2</v>
      </c>
    </row>
    <row r="1933" spans="5:6" x14ac:dyDescent="0.35">
      <c r="E1933">
        <v>1930</v>
      </c>
      <c r="F1933">
        <f t="shared" ca="1" si="32"/>
        <v>-1.8348766153553481E-2</v>
      </c>
    </row>
    <row r="1934" spans="5:6" x14ac:dyDescent="0.35">
      <c r="E1934">
        <v>1931</v>
      </c>
      <c r="F1934">
        <f t="shared" ca="1" si="32"/>
        <v>9.9313567259278219E-3</v>
      </c>
    </row>
    <row r="1935" spans="5:6" x14ac:dyDescent="0.35">
      <c r="E1935">
        <v>1932</v>
      </c>
      <c r="F1935">
        <f t="shared" ca="1" si="32"/>
        <v>2.5098149982584303E-3</v>
      </c>
    </row>
    <row r="1936" spans="5:6" x14ac:dyDescent="0.35">
      <c r="E1936">
        <v>1933</v>
      </c>
      <c r="F1936">
        <f t="shared" ca="1" si="32"/>
        <v>-5.3099590337281873E-3</v>
      </c>
    </row>
    <row r="1937" spans="5:6" x14ac:dyDescent="0.35">
      <c r="E1937">
        <v>1934</v>
      </c>
      <c r="F1937">
        <f t="shared" ca="1" si="32"/>
        <v>-1.6197827177380666E-3</v>
      </c>
    </row>
    <row r="1938" spans="5:6" x14ac:dyDescent="0.35">
      <c r="E1938">
        <v>1935</v>
      </c>
      <c r="F1938">
        <f t="shared" ca="1" si="32"/>
        <v>-1.247335241846826E-2</v>
      </c>
    </row>
    <row r="1939" spans="5:6" x14ac:dyDescent="0.35">
      <c r="E1939">
        <v>1936</v>
      </c>
      <c r="F1939">
        <f t="shared" ca="1" si="32"/>
        <v>3.9832573583727035E-3</v>
      </c>
    </row>
    <row r="1940" spans="5:6" x14ac:dyDescent="0.35">
      <c r="E1940">
        <v>1937</v>
      </c>
      <c r="F1940">
        <f t="shared" ca="1" si="32"/>
        <v>-2.4251652202592233E-2</v>
      </c>
    </row>
    <row r="1941" spans="5:6" x14ac:dyDescent="0.35">
      <c r="E1941">
        <v>1938</v>
      </c>
      <c r="F1941">
        <f t="shared" ca="1" si="32"/>
        <v>3.5100608962470803E-2</v>
      </c>
    </row>
    <row r="1942" spans="5:6" x14ac:dyDescent="0.35">
      <c r="E1942">
        <v>1939</v>
      </c>
      <c r="F1942">
        <f t="shared" ca="1" si="32"/>
        <v>3.1173789272543862E-3</v>
      </c>
    </row>
    <row r="1943" spans="5:6" x14ac:dyDescent="0.35">
      <c r="E1943">
        <v>1940</v>
      </c>
      <c r="F1943">
        <f t="shared" ca="1" si="32"/>
        <v>-1.8643449723050455E-3</v>
      </c>
    </row>
    <row r="1944" spans="5:6" x14ac:dyDescent="0.35">
      <c r="E1944">
        <v>1941</v>
      </c>
      <c r="F1944">
        <f t="shared" ca="1" si="32"/>
        <v>-1.1946045706283723E-2</v>
      </c>
    </row>
    <row r="1945" spans="5:6" x14ac:dyDescent="0.35">
      <c r="E1945">
        <v>1942</v>
      </c>
      <c r="F1945">
        <f t="shared" ca="1" si="32"/>
        <v>-4.6661794891111599E-3</v>
      </c>
    </row>
    <row r="1946" spans="5:6" x14ac:dyDescent="0.35">
      <c r="E1946">
        <v>1943</v>
      </c>
      <c r="F1946">
        <f t="shared" ca="1" si="32"/>
        <v>1.9407865808302678E-2</v>
      </c>
    </row>
    <row r="1947" spans="5:6" x14ac:dyDescent="0.35">
      <c r="E1947">
        <v>1944</v>
      </c>
      <c r="F1947">
        <f t="shared" ca="1" si="32"/>
        <v>1.4105093916803564E-2</v>
      </c>
    </row>
    <row r="1948" spans="5:6" x14ac:dyDescent="0.35">
      <c r="E1948">
        <v>1945</v>
      </c>
      <c r="F1948">
        <f t="shared" ca="1" si="32"/>
        <v>-1.6398856960533263E-3</v>
      </c>
    </row>
    <row r="1949" spans="5:6" x14ac:dyDescent="0.35">
      <c r="E1949">
        <v>1946</v>
      </c>
      <c r="F1949">
        <f t="shared" ca="1" si="32"/>
        <v>9.2721240998854047E-4</v>
      </c>
    </row>
    <row r="1950" spans="5:6" x14ac:dyDescent="0.35">
      <c r="E1950">
        <v>1947</v>
      </c>
      <c r="F1950">
        <f t="shared" ca="1" si="32"/>
        <v>-4.5021210752611883E-3</v>
      </c>
    </row>
    <row r="1951" spans="5:6" x14ac:dyDescent="0.35">
      <c r="E1951">
        <v>1948</v>
      </c>
      <c r="F1951">
        <f t="shared" ca="1" si="32"/>
        <v>4.0766661528036418E-3</v>
      </c>
    </row>
    <row r="1952" spans="5:6" x14ac:dyDescent="0.35">
      <c r="E1952">
        <v>1949</v>
      </c>
      <c r="F1952">
        <f t="shared" ca="1" si="32"/>
        <v>4.4129867162638796E-3</v>
      </c>
    </row>
    <row r="1953" spans="5:6" x14ac:dyDescent="0.35">
      <c r="E1953">
        <v>1950</v>
      </c>
      <c r="F1953">
        <f t="shared" ca="1" si="32"/>
        <v>-1.158336208199335E-3</v>
      </c>
    </row>
    <row r="1954" spans="5:6" x14ac:dyDescent="0.35">
      <c r="E1954">
        <v>1951</v>
      </c>
      <c r="F1954">
        <f t="shared" ca="1" si="32"/>
        <v>-3.8177384205460982E-6</v>
      </c>
    </row>
    <row r="1955" spans="5:6" x14ac:dyDescent="0.35">
      <c r="E1955">
        <v>1952</v>
      </c>
      <c r="F1955">
        <f t="shared" ca="1" si="32"/>
        <v>-1.2059287309196226E-2</v>
      </c>
    </row>
    <row r="1956" spans="5:6" x14ac:dyDescent="0.35">
      <c r="E1956">
        <v>1953</v>
      </c>
      <c r="F1956">
        <f t="shared" ca="1" si="32"/>
        <v>1.4727395476113998E-2</v>
      </c>
    </row>
    <row r="1957" spans="5:6" x14ac:dyDescent="0.35">
      <c r="E1957">
        <v>1954</v>
      </c>
      <c r="F1957">
        <f t="shared" ca="1" si="32"/>
        <v>9.8657973486165687E-3</v>
      </c>
    </row>
    <row r="1958" spans="5:6" x14ac:dyDescent="0.35">
      <c r="E1958">
        <v>1955</v>
      </c>
      <c r="F1958">
        <f t="shared" ca="1" si="32"/>
        <v>-2.6829940119180894E-2</v>
      </c>
    </row>
    <row r="1959" spans="5:6" x14ac:dyDescent="0.35">
      <c r="E1959">
        <v>1956</v>
      </c>
      <c r="F1959">
        <f t="shared" ca="1" si="32"/>
        <v>-2.2960630335790082E-2</v>
      </c>
    </row>
    <row r="1960" spans="5:6" x14ac:dyDescent="0.35">
      <c r="E1960">
        <v>1957</v>
      </c>
      <c r="F1960">
        <f t="shared" ca="1" si="32"/>
        <v>-1.140424910395758E-2</v>
      </c>
    </row>
    <row r="1961" spans="5:6" x14ac:dyDescent="0.35">
      <c r="E1961">
        <v>1958</v>
      </c>
      <c r="F1961">
        <f t="shared" ca="1" si="32"/>
        <v>-1.1590658099065785E-2</v>
      </c>
    </row>
    <row r="1962" spans="5:6" x14ac:dyDescent="0.35">
      <c r="E1962">
        <v>1959</v>
      </c>
      <c r="F1962">
        <f t="shared" ca="1" si="32"/>
        <v>1.7724942047744073E-2</v>
      </c>
    </row>
    <row r="1963" spans="5:6" x14ac:dyDescent="0.35">
      <c r="E1963">
        <v>1960</v>
      </c>
      <c r="F1963">
        <f t="shared" ca="1" si="32"/>
        <v>-3.3649067224471286E-3</v>
      </c>
    </row>
    <row r="1964" spans="5:6" x14ac:dyDescent="0.35">
      <c r="E1964">
        <v>1961</v>
      </c>
      <c r="F1964">
        <f t="shared" ca="1" si="32"/>
        <v>-4.050831177390469E-3</v>
      </c>
    </row>
    <row r="1965" spans="5:6" x14ac:dyDescent="0.35">
      <c r="E1965">
        <v>1962</v>
      </c>
      <c r="F1965">
        <f t="shared" ca="1" si="32"/>
        <v>2.9777864967278463E-2</v>
      </c>
    </row>
    <row r="1966" spans="5:6" x14ac:dyDescent="0.35">
      <c r="E1966">
        <v>1963</v>
      </c>
      <c r="F1966">
        <f t="shared" ca="1" si="32"/>
        <v>-3.6651209130649086E-2</v>
      </c>
    </row>
    <row r="1967" spans="5:6" x14ac:dyDescent="0.35">
      <c r="E1967">
        <v>1964</v>
      </c>
      <c r="F1967">
        <f t="shared" ca="1" si="32"/>
        <v>-3.54390308182541E-2</v>
      </c>
    </row>
    <row r="1968" spans="5:6" x14ac:dyDescent="0.35">
      <c r="E1968">
        <v>1965</v>
      </c>
      <c r="F1968">
        <f t="shared" ca="1" si="32"/>
        <v>2.0548463554943462E-2</v>
      </c>
    </row>
    <row r="1969" spans="5:6" x14ac:dyDescent="0.35">
      <c r="E1969">
        <v>1966</v>
      </c>
      <c r="F1969">
        <f t="shared" ca="1" si="32"/>
        <v>-1.5183143536761876E-2</v>
      </c>
    </row>
    <row r="1970" spans="5:6" x14ac:dyDescent="0.35">
      <c r="E1970">
        <v>1967</v>
      </c>
      <c r="F1970">
        <f t="shared" ca="1" si="32"/>
        <v>-2.460453440098739E-2</v>
      </c>
    </row>
    <row r="1971" spans="5:6" x14ac:dyDescent="0.35">
      <c r="E1971">
        <v>1968</v>
      </c>
      <c r="F1971">
        <f t="shared" ca="1" si="32"/>
        <v>-1.7326943888637623E-2</v>
      </c>
    </row>
    <row r="1972" spans="5:6" x14ac:dyDescent="0.35">
      <c r="E1972">
        <v>1969</v>
      </c>
      <c r="F1972">
        <f t="shared" ca="1" si="32"/>
        <v>1.3935682085505869E-2</v>
      </c>
    </row>
    <row r="1973" spans="5:6" x14ac:dyDescent="0.35">
      <c r="E1973">
        <v>1970</v>
      </c>
      <c r="F1973">
        <f t="shared" ca="1" si="32"/>
        <v>1.8224604333042072E-2</v>
      </c>
    </row>
    <row r="1974" spans="5:6" x14ac:dyDescent="0.35">
      <c r="E1974">
        <v>1971</v>
      </c>
      <c r="F1974">
        <f t="shared" ca="1" si="32"/>
        <v>-8.5369563840703689E-4</v>
      </c>
    </row>
    <row r="1975" spans="5:6" x14ac:dyDescent="0.35">
      <c r="E1975">
        <v>1972</v>
      </c>
      <c r="F1975">
        <f t="shared" ca="1" si="32"/>
        <v>-1.3491993199867875E-2</v>
      </c>
    </row>
    <row r="1976" spans="5:6" x14ac:dyDescent="0.35">
      <c r="E1976">
        <v>1973</v>
      </c>
      <c r="F1976">
        <f t="shared" ca="1" si="32"/>
        <v>-3.9376317256576464E-3</v>
      </c>
    </row>
    <row r="1977" spans="5:6" x14ac:dyDescent="0.35">
      <c r="E1977">
        <v>1974</v>
      </c>
      <c r="F1977">
        <f t="shared" ca="1" si="32"/>
        <v>-1.6963947216388962E-2</v>
      </c>
    </row>
    <row r="1978" spans="5:6" x14ac:dyDescent="0.35">
      <c r="E1978">
        <v>1975</v>
      </c>
      <c r="F1978">
        <f t="shared" ca="1" si="32"/>
        <v>-3.3909904844378193E-3</v>
      </c>
    </row>
    <row r="1979" spans="5:6" x14ac:dyDescent="0.35">
      <c r="E1979">
        <v>1976</v>
      </c>
      <c r="F1979">
        <f t="shared" ca="1" si="32"/>
        <v>-1.4963568398738648E-2</v>
      </c>
    </row>
    <row r="1980" spans="5:6" x14ac:dyDescent="0.35">
      <c r="E1980">
        <v>1977</v>
      </c>
      <c r="F1980">
        <f t="shared" ca="1" si="32"/>
        <v>9.1555812642763589E-3</v>
      </c>
    </row>
    <row r="1981" spans="5:6" x14ac:dyDescent="0.35">
      <c r="E1981">
        <v>1978</v>
      </c>
      <c r="F1981">
        <f t="shared" ca="1" si="32"/>
        <v>-9.0849113503501527E-3</v>
      </c>
    </row>
    <row r="1982" spans="5:6" x14ac:dyDescent="0.35">
      <c r="E1982">
        <v>1979</v>
      </c>
      <c r="F1982">
        <f t="shared" ca="1" si="32"/>
        <v>-9.8205450382544551E-3</v>
      </c>
    </row>
    <row r="1983" spans="5:6" x14ac:dyDescent="0.35">
      <c r="E1983">
        <v>1980</v>
      </c>
      <c r="F1983">
        <f t="shared" ca="1" si="32"/>
        <v>8.4542249774047454E-3</v>
      </c>
    </row>
    <row r="1984" spans="5:6" x14ac:dyDescent="0.35">
      <c r="E1984">
        <v>1981</v>
      </c>
      <c r="F1984">
        <f t="shared" ca="1" si="32"/>
        <v>3.1423725057857746E-2</v>
      </c>
    </row>
    <row r="1985" spans="5:6" x14ac:dyDescent="0.35">
      <c r="E1985">
        <v>1982</v>
      </c>
      <c r="F1985">
        <f t="shared" ca="1" si="32"/>
        <v>-3.8146063627376497E-3</v>
      </c>
    </row>
    <row r="1986" spans="5:6" x14ac:dyDescent="0.35">
      <c r="E1986">
        <v>1983</v>
      </c>
      <c r="F1986">
        <f t="shared" ca="1" si="32"/>
        <v>1.5760970998833342E-2</v>
      </c>
    </row>
    <row r="1987" spans="5:6" x14ac:dyDescent="0.35">
      <c r="E1987">
        <v>1984</v>
      </c>
      <c r="F1987">
        <f t="shared" ca="1" si="32"/>
        <v>-2.1728620970996072E-2</v>
      </c>
    </row>
    <row r="1988" spans="5:6" x14ac:dyDescent="0.35">
      <c r="E1988">
        <v>1985</v>
      </c>
      <c r="F1988">
        <f t="shared" ca="1" si="32"/>
        <v>-8.9017211163631704E-3</v>
      </c>
    </row>
    <row r="1989" spans="5:6" x14ac:dyDescent="0.35">
      <c r="E1989">
        <v>1986</v>
      </c>
      <c r="F1989">
        <f t="shared" ref="F1989:F2052" ca="1" si="33">_xlfn.NORM.INV(RAND(),M$6,M$7)</f>
        <v>7.913899390848517E-3</v>
      </c>
    </row>
    <row r="1990" spans="5:6" x14ac:dyDescent="0.35">
      <c r="E1990">
        <v>1987</v>
      </c>
      <c r="F1990">
        <f t="shared" ca="1" si="33"/>
        <v>5.7340571085292627E-3</v>
      </c>
    </row>
    <row r="1991" spans="5:6" x14ac:dyDescent="0.35">
      <c r="E1991">
        <v>1988</v>
      </c>
      <c r="F1991">
        <f t="shared" ca="1" si="33"/>
        <v>-3.4776368782018915E-3</v>
      </c>
    </row>
    <row r="1992" spans="5:6" x14ac:dyDescent="0.35">
      <c r="E1992">
        <v>1989</v>
      </c>
      <c r="F1992">
        <f t="shared" ca="1" si="33"/>
        <v>-5.2710741862512928E-3</v>
      </c>
    </row>
    <row r="1993" spans="5:6" x14ac:dyDescent="0.35">
      <c r="E1993">
        <v>1990</v>
      </c>
      <c r="F1993">
        <f t="shared" ca="1" si="33"/>
        <v>-2.2688286995316945E-2</v>
      </c>
    </row>
    <row r="1994" spans="5:6" x14ac:dyDescent="0.35">
      <c r="E1994">
        <v>1991</v>
      </c>
      <c r="F1994">
        <f t="shared" ca="1" si="33"/>
        <v>-1.892132467857862E-2</v>
      </c>
    </row>
    <row r="1995" spans="5:6" x14ac:dyDescent="0.35">
      <c r="E1995">
        <v>1992</v>
      </c>
      <c r="F1995">
        <f t="shared" ca="1" si="33"/>
        <v>1.5530662698541716E-2</v>
      </c>
    </row>
    <row r="1996" spans="5:6" x14ac:dyDescent="0.35">
      <c r="E1996">
        <v>1993</v>
      </c>
      <c r="F1996">
        <f t="shared" ca="1" si="33"/>
        <v>8.9024572896823622E-3</v>
      </c>
    </row>
    <row r="1997" spans="5:6" x14ac:dyDescent="0.35">
      <c r="E1997">
        <v>1994</v>
      </c>
      <c r="F1997">
        <f t="shared" ca="1" si="33"/>
        <v>7.1528159643798857E-3</v>
      </c>
    </row>
    <row r="1998" spans="5:6" x14ac:dyDescent="0.35">
      <c r="E1998">
        <v>1995</v>
      </c>
      <c r="F1998">
        <f t="shared" ca="1" si="33"/>
        <v>8.786961278643533E-3</v>
      </c>
    </row>
    <row r="1999" spans="5:6" x14ac:dyDescent="0.35">
      <c r="E1999">
        <v>1996</v>
      </c>
      <c r="F1999">
        <f t="shared" ca="1" si="33"/>
        <v>-2.1218173772731601E-2</v>
      </c>
    </row>
    <row r="2000" spans="5:6" x14ac:dyDescent="0.35">
      <c r="E2000">
        <v>1997</v>
      </c>
      <c r="F2000">
        <f t="shared" ca="1" si="33"/>
        <v>1.9835875092949402E-3</v>
      </c>
    </row>
    <row r="2001" spans="5:6" x14ac:dyDescent="0.35">
      <c r="E2001">
        <v>1998</v>
      </c>
      <c r="F2001">
        <f t="shared" ca="1" si="33"/>
        <v>-3.8589767360489181E-3</v>
      </c>
    </row>
    <row r="2002" spans="5:6" x14ac:dyDescent="0.35">
      <c r="E2002">
        <v>1999</v>
      </c>
      <c r="F2002">
        <f t="shared" ca="1" si="33"/>
        <v>8.0065158921857962E-3</v>
      </c>
    </row>
    <row r="2003" spans="5:6" x14ac:dyDescent="0.35">
      <c r="E2003">
        <v>2000</v>
      </c>
      <c r="F2003">
        <f t="shared" ca="1" si="33"/>
        <v>1.5931375317803115E-2</v>
      </c>
    </row>
    <row r="2004" spans="5:6" x14ac:dyDescent="0.35">
      <c r="E2004">
        <v>2001</v>
      </c>
      <c r="F2004">
        <f t="shared" ca="1" si="33"/>
        <v>2.7853401833211403E-3</v>
      </c>
    </row>
    <row r="2005" spans="5:6" x14ac:dyDescent="0.35">
      <c r="E2005">
        <v>2002</v>
      </c>
      <c r="F2005">
        <f t="shared" ca="1" si="33"/>
        <v>-2.6562800797440317E-3</v>
      </c>
    </row>
    <row r="2006" spans="5:6" x14ac:dyDescent="0.35">
      <c r="E2006">
        <v>2003</v>
      </c>
      <c r="F2006">
        <f t="shared" ca="1" si="33"/>
        <v>2.0659400864795906E-2</v>
      </c>
    </row>
    <row r="2007" spans="5:6" x14ac:dyDescent="0.35">
      <c r="E2007">
        <v>2004</v>
      </c>
      <c r="F2007">
        <f t="shared" ca="1" si="33"/>
        <v>7.0121000342846292E-3</v>
      </c>
    </row>
    <row r="2008" spans="5:6" x14ac:dyDescent="0.35">
      <c r="E2008">
        <v>2005</v>
      </c>
      <c r="F2008">
        <f t="shared" ca="1" si="33"/>
        <v>-9.6969502286854276E-3</v>
      </c>
    </row>
    <row r="2009" spans="5:6" x14ac:dyDescent="0.35">
      <c r="E2009">
        <v>2006</v>
      </c>
      <c r="F2009">
        <f t="shared" ca="1" si="33"/>
        <v>-8.1271084173284922E-3</v>
      </c>
    </row>
    <row r="2010" spans="5:6" x14ac:dyDescent="0.35">
      <c r="E2010">
        <v>2007</v>
      </c>
      <c r="F2010">
        <f t="shared" ca="1" si="33"/>
        <v>1.7333558064826813E-2</v>
      </c>
    </row>
    <row r="2011" spans="5:6" x14ac:dyDescent="0.35">
      <c r="E2011">
        <v>2008</v>
      </c>
      <c r="F2011">
        <f t="shared" ca="1" si="33"/>
        <v>-1.7663206877411401E-2</v>
      </c>
    </row>
    <row r="2012" spans="5:6" x14ac:dyDescent="0.35">
      <c r="E2012">
        <v>2009</v>
      </c>
      <c r="F2012">
        <f t="shared" ca="1" si="33"/>
        <v>-1.493814220019103E-3</v>
      </c>
    </row>
    <row r="2013" spans="5:6" x14ac:dyDescent="0.35">
      <c r="E2013">
        <v>2010</v>
      </c>
      <c r="F2013">
        <f t="shared" ca="1" si="33"/>
        <v>-1.5726141743714176E-2</v>
      </c>
    </row>
    <row r="2014" spans="5:6" x14ac:dyDescent="0.35">
      <c r="E2014">
        <v>2011</v>
      </c>
      <c r="F2014">
        <f t="shared" ca="1" si="33"/>
        <v>8.9887936771487591E-3</v>
      </c>
    </row>
    <row r="2015" spans="5:6" x14ac:dyDescent="0.35">
      <c r="E2015">
        <v>2012</v>
      </c>
      <c r="F2015">
        <f t="shared" ca="1" si="33"/>
        <v>3.4590822364697188E-3</v>
      </c>
    </row>
    <row r="2016" spans="5:6" x14ac:dyDescent="0.35">
      <c r="E2016">
        <v>2013</v>
      </c>
      <c r="F2016">
        <f t="shared" ca="1" si="33"/>
        <v>-1.6993278129160953E-2</v>
      </c>
    </row>
    <row r="2017" spans="5:6" x14ac:dyDescent="0.35">
      <c r="E2017">
        <v>2014</v>
      </c>
      <c r="F2017">
        <f t="shared" ca="1" si="33"/>
        <v>1.1340496801022788E-2</v>
      </c>
    </row>
    <row r="2018" spans="5:6" x14ac:dyDescent="0.35">
      <c r="E2018">
        <v>2015</v>
      </c>
      <c r="F2018">
        <f t="shared" ca="1" si="33"/>
        <v>-6.3095380058221066E-3</v>
      </c>
    </row>
    <row r="2019" spans="5:6" x14ac:dyDescent="0.35">
      <c r="E2019">
        <v>2016</v>
      </c>
      <c r="F2019">
        <f t="shared" ca="1" si="33"/>
        <v>9.8756065630239576E-3</v>
      </c>
    </row>
    <row r="2020" spans="5:6" x14ac:dyDescent="0.35">
      <c r="E2020">
        <v>2017</v>
      </c>
      <c r="F2020">
        <f t="shared" ca="1" si="33"/>
        <v>5.542535875472634E-3</v>
      </c>
    </row>
    <row r="2021" spans="5:6" x14ac:dyDescent="0.35">
      <c r="E2021">
        <v>2018</v>
      </c>
      <c r="F2021">
        <f t="shared" ca="1" si="33"/>
        <v>4.0971677407213476E-3</v>
      </c>
    </row>
    <row r="2022" spans="5:6" x14ac:dyDescent="0.35">
      <c r="E2022">
        <v>2019</v>
      </c>
      <c r="F2022">
        <f t="shared" ca="1" si="33"/>
        <v>1.5640100796987383E-2</v>
      </c>
    </row>
    <row r="2023" spans="5:6" x14ac:dyDescent="0.35">
      <c r="E2023">
        <v>2020</v>
      </c>
      <c r="F2023">
        <f t="shared" ca="1" si="33"/>
        <v>4.3321898993263531E-3</v>
      </c>
    </row>
    <row r="2024" spans="5:6" x14ac:dyDescent="0.35">
      <c r="E2024">
        <v>2021</v>
      </c>
      <c r="F2024">
        <f t="shared" ca="1" si="33"/>
        <v>-7.3822705865427326E-3</v>
      </c>
    </row>
    <row r="2025" spans="5:6" x14ac:dyDescent="0.35">
      <c r="E2025">
        <v>2022</v>
      </c>
      <c r="F2025">
        <f t="shared" ca="1" si="33"/>
        <v>-1.3208831829741944E-2</v>
      </c>
    </row>
    <row r="2026" spans="5:6" x14ac:dyDescent="0.35">
      <c r="E2026">
        <v>2023</v>
      </c>
      <c r="F2026">
        <f t="shared" ca="1" si="33"/>
        <v>-2.5145769218772227E-3</v>
      </c>
    </row>
    <row r="2027" spans="5:6" x14ac:dyDescent="0.35">
      <c r="E2027">
        <v>2024</v>
      </c>
      <c r="F2027">
        <f t="shared" ca="1" si="33"/>
        <v>1.7335115266104935E-2</v>
      </c>
    </row>
    <row r="2028" spans="5:6" x14ac:dyDescent="0.35">
      <c r="E2028">
        <v>2025</v>
      </c>
      <c r="F2028">
        <f t="shared" ca="1" si="33"/>
        <v>-4.4081607528755288E-3</v>
      </c>
    </row>
    <row r="2029" spans="5:6" x14ac:dyDescent="0.35">
      <c r="E2029">
        <v>2026</v>
      </c>
      <c r="F2029">
        <f t="shared" ca="1" si="33"/>
        <v>-3.5997250661457411E-2</v>
      </c>
    </row>
    <row r="2030" spans="5:6" x14ac:dyDescent="0.35">
      <c r="E2030">
        <v>2027</v>
      </c>
      <c r="F2030">
        <f t="shared" ca="1" si="33"/>
        <v>1.480382324686538E-2</v>
      </c>
    </row>
    <row r="2031" spans="5:6" x14ac:dyDescent="0.35">
      <c r="E2031">
        <v>2028</v>
      </c>
      <c r="F2031">
        <f t="shared" ca="1" si="33"/>
        <v>-2.6231985284875126E-3</v>
      </c>
    </row>
    <row r="2032" spans="5:6" x14ac:dyDescent="0.35">
      <c r="E2032">
        <v>2029</v>
      </c>
      <c r="F2032">
        <f t="shared" ca="1" si="33"/>
        <v>-1.2616265621984816E-2</v>
      </c>
    </row>
    <row r="2033" spans="5:6" x14ac:dyDescent="0.35">
      <c r="E2033">
        <v>2030</v>
      </c>
      <c r="F2033">
        <f t="shared" ca="1" si="33"/>
        <v>-1.0667959430727902E-2</v>
      </c>
    </row>
    <row r="2034" spans="5:6" x14ac:dyDescent="0.35">
      <c r="E2034">
        <v>2031</v>
      </c>
      <c r="F2034">
        <f t="shared" ca="1" si="33"/>
        <v>-4.7092872744644619E-3</v>
      </c>
    </row>
    <row r="2035" spans="5:6" x14ac:dyDescent="0.35">
      <c r="E2035">
        <v>2032</v>
      </c>
      <c r="F2035">
        <f t="shared" ca="1" si="33"/>
        <v>4.9103523579280915E-3</v>
      </c>
    </row>
    <row r="2036" spans="5:6" x14ac:dyDescent="0.35">
      <c r="E2036">
        <v>2033</v>
      </c>
      <c r="F2036">
        <f t="shared" ca="1" si="33"/>
        <v>1.5875053243914864E-2</v>
      </c>
    </row>
    <row r="2037" spans="5:6" x14ac:dyDescent="0.35">
      <c r="E2037">
        <v>2034</v>
      </c>
      <c r="F2037">
        <f t="shared" ca="1" si="33"/>
        <v>2.013178959863941E-2</v>
      </c>
    </row>
    <row r="2038" spans="5:6" x14ac:dyDescent="0.35">
      <c r="E2038">
        <v>2035</v>
      </c>
      <c r="F2038">
        <f t="shared" ca="1" si="33"/>
        <v>9.6822129699094886E-3</v>
      </c>
    </row>
    <row r="2039" spans="5:6" x14ac:dyDescent="0.35">
      <c r="E2039">
        <v>2036</v>
      </c>
      <c r="F2039">
        <f t="shared" ca="1" si="33"/>
        <v>1.1442339082976332E-3</v>
      </c>
    </row>
    <row r="2040" spans="5:6" x14ac:dyDescent="0.35">
      <c r="E2040">
        <v>2037</v>
      </c>
      <c r="F2040">
        <f t="shared" ca="1" si="33"/>
        <v>-5.9433089808816862E-3</v>
      </c>
    </row>
    <row r="2041" spans="5:6" x14ac:dyDescent="0.35">
      <c r="E2041">
        <v>2038</v>
      </c>
      <c r="F2041">
        <f t="shared" ca="1" si="33"/>
        <v>2.5040890869729809E-2</v>
      </c>
    </row>
    <row r="2042" spans="5:6" x14ac:dyDescent="0.35">
      <c r="E2042">
        <v>2039</v>
      </c>
      <c r="F2042">
        <f t="shared" ca="1" si="33"/>
        <v>-1.9278857663383698E-3</v>
      </c>
    </row>
    <row r="2043" spans="5:6" x14ac:dyDescent="0.35">
      <c r="E2043">
        <v>2040</v>
      </c>
      <c r="F2043">
        <f t="shared" ca="1" si="33"/>
        <v>4.117827675351641E-3</v>
      </c>
    </row>
    <row r="2044" spans="5:6" x14ac:dyDescent="0.35">
      <c r="E2044">
        <v>2041</v>
      </c>
      <c r="F2044">
        <f t="shared" ca="1" si="33"/>
        <v>-1.7889106985155036E-2</v>
      </c>
    </row>
    <row r="2045" spans="5:6" x14ac:dyDescent="0.35">
      <c r="E2045">
        <v>2042</v>
      </c>
      <c r="F2045">
        <f t="shared" ca="1" si="33"/>
        <v>-4.7739981938660411E-3</v>
      </c>
    </row>
    <row r="2046" spans="5:6" x14ac:dyDescent="0.35">
      <c r="E2046">
        <v>2043</v>
      </c>
      <c r="F2046">
        <f t="shared" ca="1" si="33"/>
        <v>6.1277795513452289E-3</v>
      </c>
    </row>
    <row r="2047" spans="5:6" x14ac:dyDescent="0.35">
      <c r="E2047">
        <v>2044</v>
      </c>
      <c r="F2047">
        <f t="shared" ca="1" si="33"/>
        <v>-2.0528076860057472E-2</v>
      </c>
    </row>
    <row r="2048" spans="5:6" x14ac:dyDescent="0.35">
      <c r="E2048">
        <v>2045</v>
      </c>
      <c r="F2048">
        <f t="shared" ca="1" si="33"/>
        <v>2.5972560872424312E-2</v>
      </c>
    </row>
    <row r="2049" spans="5:6" x14ac:dyDescent="0.35">
      <c r="E2049">
        <v>2046</v>
      </c>
      <c r="F2049">
        <f t="shared" ca="1" si="33"/>
        <v>-4.0784740403319603E-3</v>
      </c>
    </row>
    <row r="2050" spans="5:6" x14ac:dyDescent="0.35">
      <c r="E2050">
        <v>2047</v>
      </c>
      <c r="F2050">
        <f t="shared" ca="1" si="33"/>
        <v>-1.8207572494338062E-2</v>
      </c>
    </row>
    <row r="2051" spans="5:6" x14ac:dyDescent="0.35">
      <c r="E2051">
        <v>2048</v>
      </c>
      <c r="F2051">
        <f t="shared" ca="1" si="33"/>
        <v>-4.2939275379558044E-3</v>
      </c>
    </row>
    <row r="2052" spans="5:6" x14ac:dyDescent="0.35">
      <c r="E2052">
        <v>2049</v>
      </c>
      <c r="F2052">
        <f t="shared" ca="1" si="33"/>
        <v>1.8661161929086692E-2</v>
      </c>
    </row>
    <row r="2053" spans="5:6" x14ac:dyDescent="0.35">
      <c r="E2053">
        <v>2050</v>
      </c>
      <c r="F2053">
        <f t="shared" ref="F2053:F2116" ca="1" si="34">_xlfn.NORM.INV(RAND(),M$6,M$7)</f>
        <v>7.9693011496221825E-3</v>
      </c>
    </row>
    <row r="2054" spans="5:6" x14ac:dyDescent="0.35">
      <c r="E2054">
        <v>2051</v>
      </c>
      <c r="F2054">
        <f t="shared" ca="1" si="34"/>
        <v>-1.556078839922527E-2</v>
      </c>
    </row>
    <row r="2055" spans="5:6" x14ac:dyDescent="0.35">
      <c r="E2055">
        <v>2052</v>
      </c>
      <c r="F2055">
        <f t="shared" ca="1" si="34"/>
        <v>-3.8240367318789882E-3</v>
      </c>
    </row>
    <row r="2056" spans="5:6" x14ac:dyDescent="0.35">
      <c r="E2056">
        <v>2053</v>
      </c>
      <c r="F2056">
        <f t="shared" ca="1" si="34"/>
        <v>7.7722595365126053E-3</v>
      </c>
    </row>
    <row r="2057" spans="5:6" x14ac:dyDescent="0.35">
      <c r="E2057">
        <v>2054</v>
      </c>
      <c r="F2057">
        <f t="shared" ca="1" si="34"/>
        <v>1.2215082887896253E-2</v>
      </c>
    </row>
    <row r="2058" spans="5:6" x14ac:dyDescent="0.35">
      <c r="E2058">
        <v>2055</v>
      </c>
      <c r="F2058">
        <f t="shared" ca="1" si="34"/>
        <v>1.0749243246404567E-2</v>
      </c>
    </row>
    <row r="2059" spans="5:6" x14ac:dyDescent="0.35">
      <c r="E2059">
        <v>2056</v>
      </c>
      <c r="F2059">
        <f t="shared" ca="1" si="34"/>
        <v>-8.730006032873246E-3</v>
      </c>
    </row>
    <row r="2060" spans="5:6" x14ac:dyDescent="0.35">
      <c r="E2060">
        <v>2057</v>
      </c>
      <c r="F2060">
        <f t="shared" ca="1" si="34"/>
        <v>3.7876886282045422E-3</v>
      </c>
    </row>
    <row r="2061" spans="5:6" x14ac:dyDescent="0.35">
      <c r="E2061">
        <v>2058</v>
      </c>
      <c r="F2061">
        <f t="shared" ca="1" si="34"/>
        <v>-2.8071299302019313E-3</v>
      </c>
    </row>
    <row r="2062" spans="5:6" x14ac:dyDescent="0.35">
      <c r="E2062">
        <v>2059</v>
      </c>
      <c r="F2062">
        <f t="shared" ca="1" si="34"/>
        <v>-8.5479942470029766E-5</v>
      </c>
    </row>
    <row r="2063" spans="5:6" x14ac:dyDescent="0.35">
      <c r="E2063">
        <v>2060</v>
      </c>
      <c r="F2063">
        <f t="shared" ca="1" si="34"/>
        <v>-6.0416444204987145E-3</v>
      </c>
    </row>
    <row r="2064" spans="5:6" x14ac:dyDescent="0.35">
      <c r="E2064">
        <v>2061</v>
      </c>
      <c r="F2064">
        <f t="shared" ca="1" si="34"/>
        <v>3.4745850408178701E-2</v>
      </c>
    </row>
    <row r="2065" spans="5:6" x14ac:dyDescent="0.35">
      <c r="E2065">
        <v>2062</v>
      </c>
      <c r="F2065">
        <f t="shared" ca="1" si="34"/>
        <v>2.0945031995902055E-2</v>
      </c>
    </row>
    <row r="2066" spans="5:6" x14ac:dyDescent="0.35">
      <c r="E2066">
        <v>2063</v>
      </c>
      <c r="F2066">
        <f t="shared" ca="1" si="34"/>
        <v>2.118572665114905E-2</v>
      </c>
    </row>
    <row r="2067" spans="5:6" x14ac:dyDescent="0.35">
      <c r="E2067">
        <v>2064</v>
      </c>
      <c r="F2067">
        <f t="shared" ca="1" si="34"/>
        <v>-1.7442377668345901E-2</v>
      </c>
    </row>
    <row r="2068" spans="5:6" x14ac:dyDescent="0.35">
      <c r="E2068">
        <v>2065</v>
      </c>
      <c r="F2068">
        <f t="shared" ca="1" si="34"/>
        <v>4.4732823101615356E-3</v>
      </c>
    </row>
    <row r="2069" spans="5:6" x14ac:dyDescent="0.35">
      <c r="E2069">
        <v>2066</v>
      </c>
      <c r="F2069">
        <f t="shared" ca="1" si="34"/>
        <v>-1.7991563300738672E-2</v>
      </c>
    </row>
    <row r="2070" spans="5:6" x14ac:dyDescent="0.35">
      <c r="E2070">
        <v>2067</v>
      </c>
      <c r="F2070">
        <f t="shared" ca="1" si="34"/>
        <v>2.255854662584136E-2</v>
      </c>
    </row>
    <row r="2071" spans="5:6" x14ac:dyDescent="0.35">
      <c r="E2071">
        <v>2068</v>
      </c>
      <c r="F2071">
        <f t="shared" ca="1" si="34"/>
        <v>-1.680928127888218E-2</v>
      </c>
    </row>
    <row r="2072" spans="5:6" x14ac:dyDescent="0.35">
      <c r="E2072">
        <v>2069</v>
      </c>
      <c r="F2072">
        <f t="shared" ca="1" si="34"/>
        <v>1.7840482554685368E-2</v>
      </c>
    </row>
    <row r="2073" spans="5:6" x14ac:dyDescent="0.35">
      <c r="E2073">
        <v>2070</v>
      </c>
      <c r="F2073">
        <f t="shared" ca="1" si="34"/>
        <v>2.3018912317459676E-2</v>
      </c>
    </row>
    <row r="2074" spans="5:6" x14ac:dyDescent="0.35">
      <c r="E2074">
        <v>2071</v>
      </c>
      <c r="F2074">
        <f t="shared" ca="1" si="34"/>
        <v>-2.9479601394839798E-3</v>
      </c>
    </row>
    <row r="2075" spans="5:6" x14ac:dyDescent="0.35">
      <c r="E2075">
        <v>2072</v>
      </c>
      <c r="F2075">
        <f t="shared" ca="1" si="34"/>
        <v>3.74580313667617E-2</v>
      </c>
    </row>
    <row r="2076" spans="5:6" x14ac:dyDescent="0.35">
      <c r="E2076">
        <v>2073</v>
      </c>
      <c r="F2076">
        <f t="shared" ca="1" si="34"/>
        <v>6.5886074818748124E-3</v>
      </c>
    </row>
    <row r="2077" spans="5:6" x14ac:dyDescent="0.35">
      <c r="E2077">
        <v>2074</v>
      </c>
      <c r="F2077">
        <f t="shared" ca="1" si="34"/>
        <v>-6.7525069960423512E-3</v>
      </c>
    </row>
    <row r="2078" spans="5:6" x14ac:dyDescent="0.35">
      <c r="E2078">
        <v>2075</v>
      </c>
      <c r="F2078">
        <f t="shared" ca="1" si="34"/>
        <v>-2.365857895161938E-2</v>
      </c>
    </row>
    <row r="2079" spans="5:6" x14ac:dyDescent="0.35">
      <c r="E2079">
        <v>2076</v>
      </c>
      <c r="F2079">
        <f t="shared" ca="1" si="34"/>
        <v>-1.4543679588550715E-2</v>
      </c>
    </row>
    <row r="2080" spans="5:6" x14ac:dyDescent="0.35">
      <c r="E2080">
        <v>2077</v>
      </c>
      <c r="F2080">
        <f t="shared" ca="1" si="34"/>
        <v>-1.1716628995723231E-2</v>
      </c>
    </row>
    <row r="2081" spans="5:6" x14ac:dyDescent="0.35">
      <c r="E2081">
        <v>2078</v>
      </c>
      <c r="F2081">
        <f t="shared" ca="1" si="34"/>
        <v>-1.6795753425567456E-2</v>
      </c>
    </row>
    <row r="2082" spans="5:6" x14ac:dyDescent="0.35">
      <c r="E2082">
        <v>2079</v>
      </c>
      <c r="F2082">
        <f t="shared" ca="1" si="34"/>
        <v>8.7708644849909846E-3</v>
      </c>
    </row>
    <row r="2083" spans="5:6" x14ac:dyDescent="0.35">
      <c r="E2083">
        <v>2080</v>
      </c>
      <c r="F2083">
        <f t="shared" ca="1" si="34"/>
        <v>2.7571495866751616E-2</v>
      </c>
    </row>
    <row r="2084" spans="5:6" x14ac:dyDescent="0.35">
      <c r="E2084">
        <v>2081</v>
      </c>
      <c r="F2084">
        <f t="shared" ca="1" si="34"/>
        <v>1.3888091875354376E-2</v>
      </c>
    </row>
    <row r="2085" spans="5:6" x14ac:dyDescent="0.35">
      <c r="E2085">
        <v>2082</v>
      </c>
      <c r="F2085">
        <f t="shared" ca="1" si="34"/>
        <v>-5.284160906553678E-3</v>
      </c>
    </row>
    <row r="2086" spans="5:6" x14ac:dyDescent="0.35">
      <c r="E2086">
        <v>2083</v>
      </c>
      <c r="F2086">
        <f t="shared" ca="1" si="34"/>
        <v>2.1856369638301801E-3</v>
      </c>
    </row>
    <row r="2087" spans="5:6" x14ac:dyDescent="0.35">
      <c r="E2087">
        <v>2084</v>
      </c>
      <c r="F2087">
        <f t="shared" ca="1" si="34"/>
        <v>8.0070005503636524E-3</v>
      </c>
    </row>
    <row r="2088" spans="5:6" x14ac:dyDescent="0.35">
      <c r="E2088">
        <v>2085</v>
      </c>
      <c r="F2088">
        <f t="shared" ca="1" si="34"/>
        <v>-4.743061873994237E-3</v>
      </c>
    </row>
    <row r="2089" spans="5:6" x14ac:dyDescent="0.35">
      <c r="E2089">
        <v>2086</v>
      </c>
      <c r="F2089">
        <f t="shared" ca="1" si="34"/>
        <v>-1.4229485600096252E-2</v>
      </c>
    </row>
    <row r="2090" spans="5:6" x14ac:dyDescent="0.35">
      <c r="E2090">
        <v>2087</v>
      </c>
      <c r="F2090">
        <f t="shared" ca="1" si="34"/>
        <v>2.4293371695989618E-2</v>
      </c>
    </row>
    <row r="2091" spans="5:6" x14ac:dyDescent="0.35">
      <c r="E2091">
        <v>2088</v>
      </c>
      <c r="F2091">
        <f t="shared" ca="1" si="34"/>
        <v>3.9085868078205079E-3</v>
      </c>
    </row>
    <row r="2092" spans="5:6" x14ac:dyDescent="0.35">
      <c r="E2092">
        <v>2089</v>
      </c>
      <c r="F2092">
        <f t="shared" ca="1" si="34"/>
        <v>-3.4040218094891918E-2</v>
      </c>
    </row>
    <row r="2093" spans="5:6" x14ac:dyDescent="0.35">
      <c r="E2093">
        <v>2090</v>
      </c>
      <c r="F2093">
        <f t="shared" ca="1" si="34"/>
        <v>-4.9582897563889743E-3</v>
      </c>
    </row>
    <row r="2094" spans="5:6" x14ac:dyDescent="0.35">
      <c r="E2094">
        <v>2091</v>
      </c>
      <c r="F2094">
        <f t="shared" ca="1" si="34"/>
        <v>4.4055921001307967E-3</v>
      </c>
    </row>
    <row r="2095" spans="5:6" x14ac:dyDescent="0.35">
      <c r="E2095">
        <v>2092</v>
      </c>
      <c r="F2095">
        <f t="shared" ca="1" si="34"/>
        <v>-1.2079700849317157E-2</v>
      </c>
    </row>
    <row r="2096" spans="5:6" x14ac:dyDescent="0.35">
      <c r="E2096">
        <v>2093</v>
      </c>
      <c r="F2096">
        <f t="shared" ca="1" si="34"/>
        <v>1.4520404254365836E-2</v>
      </c>
    </row>
    <row r="2097" spans="5:6" x14ac:dyDescent="0.35">
      <c r="E2097">
        <v>2094</v>
      </c>
      <c r="F2097">
        <f t="shared" ca="1" si="34"/>
        <v>1.2718549101378653E-2</v>
      </c>
    </row>
    <row r="2098" spans="5:6" x14ac:dyDescent="0.35">
      <c r="E2098">
        <v>2095</v>
      </c>
      <c r="F2098">
        <f t="shared" ca="1" si="34"/>
        <v>-9.6923624808106842E-3</v>
      </c>
    </row>
    <row r="2099" spans="5:6" x14ac:dyDescent="0.35">
      <c r="E2099">
        <v>2096</v>
      </c>
      <c r="F2099">
        <f t="shared" ca="1" si="34"/>
        <v>7.3746805041433553E-3</v>
      </c>
    </row>
    <row r="2100" spans="5:6" x14ac:dyDescent="0.35">
      <c r="E2100">
        <v>2097</v>
      </c>
      <c r="F2100">
        <f t="shared" ca="1" si="34"/>
        <v>8.4997712729908224E-3</v>
      </c>
    </row>
    <row r="2101" spans="5:6" x14ac:dyDescent="0.35">
      <c r="E2101">
        <v>2098</v>
      </c>
      <c r="F2101">
        <f t="shared" ca="1" si="34"/>
        <v>-1.3937988092442913E-2</v>
      </c>
    </row>
    <row r="2102" spans="5:6" x14ac:dyDescent="0.35">
      <c r="E2102">
        <v>2099</v>
      </c>
      <c r="F2102">
        <f t="shared" ca="1" si="34"/>
        <v>6.3394429777746484E-3</v>
      </c>
    </row>
    <row r="2103" spans="5:6" x14ac:dyDescent="0.35">
      <c r="E2103">
        <v>2100</v>
      </c>
      <c r="F2103">
        <f t="shared" ca="1" si="34"/>
        <v>4.9007563053384898E-3</v>
      </c>
    </row>
    <row r="2104" spans="5:6" x14ac:dyDescent="0.35">
      <c r="E2104">
        <v>2101</v>
      </c>
      <c r="F2104">
        <f t="shared" ca="1" si="34"/>
        <v>2.4720878331564978E-3</v>
      </c>
    </row>
    <row r="2105" spans="5:6" x14ac:dyDescent="0.35">
      <c r="E2105">
        <v>2102</v>
      </c>
      <c r="F2105">
        <f t="shared" ca="1" si="34"/>
        <v>8.6288626565623836E-3</v>
      </c>
    </row>
    <row r="2106" spans="5:6" x14ac:dyDescent="0.35">
      <c r="E2106">
        <v>2103</v>
      </c>
      <c r="F2106">
        <f t="shared" ca="1" si="34"/>
        <v>-2.0706794364691566E-3</v>
      </c>
    </row>
    <row r="2107" spans="5:6" x14ac:dyDescent="0.35">
      <c r="E2107">
        <v>2104</v>
      </c>
      <c r="F2107">
        <f t="shared" ca="1" si="34"/>
        <v>4.6385407480623725E-3</v>
      </c>
    </row>
    <row r="2108" spans="5:6" x14ac:dyDescent="0.35">
      <c r="E2108">
        <v>2105</v>
      </c>
      <c r="F2108">
        <f t="shared" ca="1" si="34"/>
        <v>1.3565650281821852E-3</v>
      </c>
    </row>
    <row r="2109" spans="5:6" x14ac:dyDescent="0.35">
      <c r="E2109">
        <v>2106</v>
      </c>
      <c r="F2109">
        <f t="shared" ca="1" si="34"/>
        <v>1.8408991470665888E-2</v>
      </c>
    </row>
    <row r="2110" spans="5:6" x14ac:dyDescent="0.35">
      <c r="E2110">
        <v>2107</v>
      </c>
      <c r="F2110">
        <f t="shared" ca="1" si="34"/>
        <v>9.1237060619672461E-3</v>
      </c>
    </row>
    <row r="2111" spans="5:6" x14ac:dyDescent="0.35">
      <c r="E2111">
        <v>2108</v>
      </c>
      <c r="F2111">
        <f t="shared" ca="1" si="34"/>
        <v>1.7263648220645477E-2</v>
      </c>
    </row>
    <row r="2112" spans="5:6" x14ac:dyDescent="0.35">
      <c r="E2112">
        <v>2109</v>
      </c>
      <c r="F2112">
        <f t="shared" ca="1" si="34"/>
        <v>-1.0740146843293826E-2</v>
      </c>
    </row>
    <row r="2113" spans="5:6" x14ac:dyDescent="0.35">
      <c r="E2113">
        <v>2110</v>
      </c>
      <c r="F2113">
        <f t="shared" ca="1" si="34"/>
        <v>1.9627099910325286E-3</v>
      </c>
    </row>
    <row r="2114" spans="5:6" x14ac:dyDescent="0.35">
      <c r="E2114">
        <v>2111</v>
      </c>
      <c r="F2114">
        <f t="shared" ca="1" si="34"/>
        <v>1.0707664491452744E-2</v>
      </c>
    </row>
    <row r="2115" spans="5:6" x14ac:dyDescent="0.35">
      <c r="E2115">
        <v>2112</v>
      </c>
      <c r="F2115">
        <f t="shared" ca="1" si="34"/>
        <v>-2.497004627552564E-2</v>
      </c>
    </row>
    <row r="2116" spans="5:6" x14ac:dyDescent="0.35">
      <c r="E2116">
        <v>2113</v>
      </c>
      <c r="F2116">
        <f t="shared" ca="1" si="34"/>
        <v>1.363738775333443E-2</v>
      </c>
    </row>
    <row r="2117" spans="5:6" x14ac:dyDescent="0.35">
      <c r="E2117">
        <v>2114</v>
      </c>
      <c r="F2117">
        <f t="shared" ref="F2117:F2180" ca="1" si="35">_xlfn.NORM.INV(RAND(),M$6,M$7)</f>
        <v>3.2274269868479526E-2</v>
      </c>
    </row>
    <row r="2118" spans="5:6" x14ac:dyDescent="0.35">
      <c r="E2118">
        <v>2115</v>
      </c>
      <c r="F2118">
        <f t="shared" ca="1" si="35"/>
        <v>8.730941606589257E-3</v>
      </c>
    </row>
    <row r="2119" spans="5:6" x14ac:dyDescent="0.35">
      <c r="E2119">
        <v>2116</v>
      </c>
      <c r="F2119">
        <f t="shared" ca="1" si="35"/>
        <v>1.3808558968234106E-2</v>
      </c>
    </row>
    <row r="2120" spans="5:6" x14ac:dyDescent="0.35">
      <c r="E2120">
        <v>2117</v>
      </c>
      <c r="F2120">
        <f t="shared" ca="1" si="35"/>
        <v>8.7870928281922993E-3</v>
      </c>
    </row>
    <row r="2121" spans="5:6" x14ac:dyDescent="0.35">
      <c r="E2121">
        <v>2118</v>
      </c>
      <c r="F2121">
        <f t="shared" ca="1" si="35"/>
        <v>1.7338802854061169E-2</v>
      </c>
    </row>
    <row r="2122" spans="5:6" x14ac:dyDescent="0.35">
      <c r="E2122">
        <v>2119</v>
      </c>
      <c r="F2122">
        <f t="shared" ca="1" si="35"/>
        <v>-1.4289655410147853E-2</v>
      </c>
    </row>
    <row r="2123" spans="5:6" x14ac:dyDescent="0.35">
      <c r="E2123">
        <v>2120</v>
      </c>
      <c r="F2123">
        <f t="shared" ca="1" si="35"/>
        <v>8.494332415980084E-3</v>
      </c>
    </row>
    <row r="2124" spans="5:6" x14ac:dyDescent="0.35">
      <c r="E2124">
        <v>2121</v>
      </c>
      <c r="F2124">
        <f t="shared" ca="1" si="35"/>
        <v>-2.34390269380968E-2</v>
      </c>
    </row>
    <row r="2125" spans="5:6" x14ac:dyDescent="0.35">
      <c r="E2125">
        <v>2122</v>
      </c>
      <c r="F2125">
        <f t="shared" ca="1" si="35"/>
        <v>8.5769487326068424E-3</v>
      </c>
    </row>
    <row r="2126" spans="5:6" x14ac:dyDescent="0.35">
      <c r="E2126">
        <v>2123</v>
      </c>
      <c r="F2126">
        <f t="shared" ca="1" si="35"/>
        <v>2.9894893344590556E-3</v>
      </c>
    </row>
    <row r="2127" spans="5:6" x14ac:dyDescent="0.35">
      <c r="E2127">
        <v>2124</v>
      </c>
      <c r="F2127">
        <f t="shared" ca="1" si="35"/>
        <v>7.3446954615064728E-3</v>
      </c>
    </row>
    <row r="2128" spans="5:6" x14ac:dyDescent="0.35">
      <c r="E2128">
        <v>2125</v>
      </c>
      <c r="F2128">
        <f t="shared" ca="1" si="35"/>
        <v>1.6908163245403414E-3</v>
      </c>
    </row>
    <row r="2129" spans="5:6" x14ac:dyDescent="0.35">
      <c r="E2129">
        <v>2126</v>
      </c>
      <c r="F2129">
        <f t="shared" ca="1" si="35"/>
        <v>1.6218132865735306E-2</v>
      </c>
    </row>
    <row r="2130" spans="5:6" x14ac:dyDescent="0.35">
      <c r="E2130">
        <v>2127</v>
      </c>
      <c r="F2130">
        <f t="shared" ca="1" si="35"/>
        <v>-5.2424870252073055E-3</v>
      </c>
    </row>
    <row r="2131" spans="5:6" x14ac:dyDescent="0.35">
      <c r="E2131">
        <v>2128</v>
      </c>
      <c r="F2131">
        <f t="shared" ca="1" si="35"/>
        <v>1.1898804618265736E-2</v>
      </c>
    </row>
    <row r="2132" spans="5:6" x14ac:dyDescent="0.35">
      <c r="E2132">
        <v>2129</v>
      </c>
      <c r="F2132">
        <f t="shared" ca="1" si="35"/>
        <v>-8.4642176482221357E-4</v>
      </c>
    </row>
    <row r="2133" spans="5:6" x14ac:dyDescent="0.35">
      <c r="E2133">
        <v>2130</v>
      </c>
      <c r="F2133">
        <f t="shared" ca="1" si="35"/>
        <v>3.1005212994370548E-3</v>
      </c>
    </row>
    <row r="2134" spans="5:6" x14ac:dyDescent="0.35">
      <c r="E2134">
        <v>2131</v>
      </c>
      <c r="F2134">
        <f t="shared" ca="1" si="35"/>
        <v>-8.4838133182400625E-3</v>
      </c>
    </row>
    <row r="2135" spans="5:6" x14ac:dyDescent="0.35">
      <c r="E2135">
        <v>2132</v>
      </c>
      <c r="F2135">
        <f t="shared" ca="1" si="35"/>
        <v>-4.9904890705436871E-3</v>
      </c>
    </row>
    <row r="2136" spans="5:6" x14ac:dyDescent="0.35">
      <c r="E2136">
        <v>2133</v>
      </c>
      <c r="F2136">
        <f t="shared" ca="1" si="35"/>
        <v>-1.3166581515399739E-2</v>
      </c>
    </row>
    <row r="2137" spans="5:6" x14ac:dyDescent="0.35">
      <c r="E2137">
        <v>2134</v>
      </c>
      <c r="F2137">
        <f t="shared" ca="1" si="35"/>
        <v>-1.5974433887448458E-2</v>
      </c>
    </row>
    <row r="2138" spans="5:6" x14ac:dyDescent="0.35">
      <c r="E2138">
        <v>2135</v>
      </c>
      <c r="F2138">
        <f t="shared" ca="1" si="35"/>
        <v>2.1335477712640397E-2</v>
      </c>
    </row>
    <row r="2139" spans="5:6" x14ac:dyDescent="0.35">
      <c r="E2139">
        <v>2136</v>
      </c>
      <c r="F2139">
        <f t="shared" ca="1" si="35"/>
        <v>4.8694664362822188E-4</v>
      </c>
    </row>
    <row r="2140" spans="5:6" x14ac:dyDescent="0.35">
      <c r="E2140">
        <v>2137</v>
      </c>
      <c r="F2140">
        <f t="shared" ca="1" si="35"/>
        <v>3.430659558660024E-3</v>
      </c>
    </row>
    <row r="2141" spans="5:6" x14ac:dyDescent="0.35">
      <c r="E2141">
        <v>2138</v>
      </c>
      <c r="F2141">
        <f t="shared" ca="1" si="35"/>
        <v>-8.6592111337329943E-4</v>
      </c>
    </row>
    <row r="2142" spans="5:6" x14ac:dyDescent="0.35">
      <c r="E2142">
        <v>2139</v>
      </c>
      <c r="F2142">
        <f t="shared" ca="1" si="35"/>
        <v>-1.622050897503536E-2</v>
      </c>
    </row>
    <row r="2143" spans="5:6" x14ac:dyDescent="0.35">
      <c r="E2143">
        <v>2140</v>
      </c>
      <c r="F2143">
        <f t="shared" ca="1" si="35"/>
        <v>3.2585713333365051E-3</v>
      </c>
    </row>
    <row r="2144" spans="5:6" x14ac:dyDescent="0.35">
      <c r="E2144">
        <v>2141</v>
      </c>
      <c r="F2144">
        <f t="shared" ca="1" si="35"/>
        <v>-2.4096520392784853E-2</v>
      </c>
    </row>
    <row r="2145" spans="5:6" x14ac:dyDescent="0.35">
      <c r="E2145">
        <v>2142</v>
      </c>
      <c r="F2145">
        <f t="shared" ca="1" si="35"/>
        <v>3.0853281571416552E-3</v>
      </c>
    </row>
    <row r="2146" spans="5:6" x14ac:dyDescent="0.35">
      <c r="E2146">
        <v>2143</v>
      </c>
      <c r="F2146">
        <f t="shared" ca="1" si="35"/>
        <v>5.8486028043660482E-3</v>
      </c>
    </row>
    <row r="2147" spans="5:6" x14ac:dyDescent="0.35">
      <c r="E2147">
        <v>2144</v>
      </c>
      <c r="F2147">
        <f t="shared" ca="1" si="35"/>
        <v>-3.5402298226049748E-3</v>
      </c>
    </row>
    <row r="2148" spans="5:6" x14ac:dyDescent="0.35">
      <c r="E2148">
        <v>2145</v>
      </c>
      <c r="F2148">
        <f t="shared" ca="1" si="35"/>
        <v>1.3924434192467599E-3</v>
      </c>
    </row>
    <row r="2149" spans="5:6" x14ac:dyDescent="0.35">
      <c r="E2149">
        <v>2146</v>
      </c>
      <c r="F2149">
        <f t="shared" ca="1" si="35"/>
        <v>-2.78847365487424E-3</v>
      </c>
    </row>
    <row r="2150" spans="5:6" x14ac:dyDescent="0.35">
      <c r="E2150">
        <v>2147</v>
      </c>
      <c r="F2150">
        <f t="shared" ca="1" si="35"/>
        <v>-1.5014340081632178E-2</v>
      </c>
    </row>
    <row r="2151" spans="5:6" x14ac:dyDescent="0.35">
      <c r="E2151">
        <v>2148</v>
      </c>
      <c r="F2151">
        <f t="shared" ca="1" si="35"/>
        <v>-2.3854112817829967E-2</v>
      </c>
    </row>
    <row r="2152" spans="5:6" x14ac:dyDescent="0.35">
      <c r="E2152">
        <v>2149</v>
      </c>
      <c r="F2152">
        <f t="shared" ca="1" si="35"/>
        <v>-1.0013898194150344E-3</v>
      </c>
    </row>
    <row r="2153" spans="5:6" x14ac:dyDescent="0.35">
      <c r="E2153">
        <v>2150</v>
      </c>
      <c r="F2153">
        <f t="shared" ca="1" si="35"/>
        <v>2.3888647012106658E-2</v>
      </c>
    </row>
    <row r="2154" spans="5:6" x14ac:dyDescent="0.35">
      <c r="E2154">
        <v>2151</v>
      </c>
      <c r="F2154">
        <f t="shared" ca="1" si="35"/>
        <v>5.8981319920280838E-3</v>
      </c>
    </row>
    <row r="2155" spans="5:6" x14ac:dyDescent="0.35">
      <c r="E2155">
        <v>2152</v>
      </c>
      <c r="F2155">
        <f t="shared" ca="1" si="35"/>
        <v>-1.6125023139436336E-2</v>
      </c>
    </row>
    <row r="2156" spans="5:6" x14ac:dyDescent="0.35">
      <c r="E2156">
        <v>2153</v>
      </c>
      <c r="F2156">
        <f t="shared" ca="1" si="35"/>
        <v>-4.427278883783828E-3</v>
      </c>
    </row>
    <row r="2157" spans="5:6" x14ac:dyDescent="0.35">
      <c r="E2157">
        <v>2154</v>
      </c>
      <c r="F2157">
        <f t="shared" ca="1" si="35"/>
        <v>-2.6971998315558739E-2</v>
      </c>
    </row>
    <row r="2158" spans="5:6" x14ac:dyDescent="0.35">
      <c r="E2158">
        <v>2155</v>
      </c>
      <c r="F2158">
        <f t="shared" ca="1" si="35"/>
        <v>8.4639341112250077E-3</v>
      </c>
    </row>
    <row r="2159" spans="5:6" x14ac:dyDescent="0.35">
      <c r="E2159">
        <v>2156</v>
      </c>
      <c r="F2159">
        <f t="shared" ca="1" si="35"/>
        <v>1.0389062525314584E-3</v>
      </c>
    </row>
    <row r="2160" spans="5:6" x14ac:dyDescent="0.35">
      <c r="E2160">
        <v>2157</v>
      </c>
      <c r="F2160">
        <f t="shared" ca="1" si="35"/>
        <v>-9.8523610445874748E-3</v>
      </c>
    </row>
    <row r="2161" spans="5:6" x14ac:dyDescent="0.35">
      <c r="E2161">
        <v>2158</v>
      </c>
      <c r="F2161">
        <f t="shared" ca="1" si="35"/>
        <v>-2.3110316481486176E-2</v>
      </c>
    </row>
    <row r="2162" spans="5:6" x14ac:dyDescent="0.35">
      <c r="E2162">
        <v>2159</v>
      </c>
      <c r="F2162">
        <f t="shared" ca="1" si="35"/>
        <v>-2.2125867958611455E-2</v>
      </c>
    </row>
    <row r="2163" spans="5:6" x14ac:dyDescent="0.35">
      <c r="E2163">
        <v>2160</v>
      </c>
      <c r="F2163">
        <f t="shared" ca="1" si="35"/>
        <v>2.4391090861102728E-2</v>
      </c>
    </row>
    <row r="2164" spans="5:6" x14ac:dyDescent="0.35">
      <c r="E2164">
        <v>2161</v>
      </c>
      <c r="F2164">
        <f t="shared" ca="1" si="35"/>
        <v>1.111428262140024E-2</v>
      </c>
    </row>
    <row r="2165" spans="5:6" x14ac:dyDescent="0.35">
      <c r="E2165">
        <v>2162</v>
      </c>
      <c r="F2165">
        <f t="shared" ca="1" si="35"/>
        <v>-2.714819030596256E-2</v>
      </c>
    </row>
    <row r="2166" spans="5:6" x14ac:dyDescent="0.35">
      <c r="E2166">
        <v>2163</v>
      </c>
      <c r="F2166">
        <f t="shared" ca="1" si="35"/>
        <v>-4.0634650451783234E-3</v>
      </c>
    </row>
    <row r="2167" spans="5:6" x14ac:dyDescent="0.35">
      <c r="E2167">
        <v>2164</v>
      </c>
      <c r="F2167">
        <f t="shared" ca="1" si="35"/>
        <v>-3.2222295211922088E-3</v>
      </c>
    </row>
    <row r="2168" spans="5:6" x14ac:dyDescent="0.35">
      <c r="E2168">
        <v>2165</v>
      </c>
      <c r="F2168">
        <f t="shared" ca="1" si="35"/>
        <v>1.9400993108312916E-2</v>
      </c>
    </row>
    <row r="2169" spans="5:6" x14ac:dyDescent="0.35">
      <c r="E2169">
        <v>2166</v>
      </c>
      <c r="F2169">
        <f t="shared" ca="1" si="35"/>
        <v>-1.6911492392586092E-2</v>
      </c>
    </row>
    <row r="2170" spans="5:6" x14ac:dyDescent="0.35">
      <c r="E2170">
        <v>2167</v>
      </c>
      <c r="F2170">
        <f t="shared" ca="1" si="35"/>
        <v>-1.175494966230045E-2</v>
      </c>
    </row>
    <row r="2171" spans="5:6" x14ac:dyDescent="0.35">
      <c r="E2171">
        <v>2168</v>
      </c>
      <c r="F2171">
        <f t="shared" ca="1" si="35"/>
        <v>4.1733008121207657E-2</v>
      </c>
    </row>
    <row r="2172" spans="5:6" x14ac:dyDescent="0.35">
      <c r="E2172">
        <v>2169</v>
      </c>
      <c r="F2172">
        <f t="shared" ca="1" si="35"/>
        <v>-1.2448066630373223E-2</v>
      </c>
    </row>
    <row r="2173" spans="5:6" x14ac:dyDescent="0.35">
      <c r="E2173">
        <v>2170</v>
      </c>
      <c r="F2173">
        <f t="shared" ca="1" si="35"/>
        <v>-1.7472318515249375E-2</v>
      </c>
    </row>
    <row r="2174" spans="5:6" x14ac:dyDescent="0.35">
      <c r="E2174">
        <v>2171</v>
      </c>
      <c r="F2174">
        <f t="shared" ca="1" si="35"/>
        <v>1.4135659649231575E-2</v>
      </c>
    </row>
    <row r="2175" spans="5:6" x14ac:dyDescent="0.35">
      <c r="E2175">
        <v>2172</v>
      </c>
      <c r="F2175">
        <f t="shared" ca="1" si="35"/>
        <v>2.9251981184977194E-3</v>
      </c>
    </row>
    <row r="2176" spans="5:6" x14ac:dyDescent="0.35">
      <c r="E2176">
        <v>2173</v>
      </c>
      <c r="F2176">
        <f t="shared" ca="1" si="35"/>
        <v>-2.1673194849111736E-2</v>
      </c>
    </row>
    <row r="2177" spans="5:6" x14ac:dyDescent="0.35">
      <c r="E2177">
        <v>2174</v>
      </c>
      <c r="F2177">
        <f t="shared" ca="1" si="35"/>
        <v>-1.0644115807030515E-3</v>
      </c>
    </row>
    <row r="2178" spans="5:6" x14ac:dyDescent="0.35">
      <c r="E2178">
        <v>2175</v>
      </c>
      <c r="F2178">
        <f t="shared" ca="1" si="35"/>
        <v>-2.7634300096223727E-3</v>
      </c>
    </row>
    <row r="2179" spans="5:6" x14ac:dyDescent="0.35">
      <c r="E2179">
        <v>2176</v>
      </c>
      <c r="F2179">
        <f t="shared" ca="1" si="35"/>
        <v>-2.589174229660891E-2</v>
      </c>
    </row>
    <row r="2180" spans="5:6" x14ac:dyDescent="0.35">
      <c r="E2180">
        <v>2177</v>
      </c>
      <c r="F2180">
        <f t="shared" ca="1" si="35"/>
        <v>-1.547784450126544E-2</v>
      </c>
    </row>
    <row r="2181" spans="5:6" x14ac:dyDescent="0.35">
      <c r="E2181">
        <v>2178</v>
      </c>
      <c r="F2181">
        <f t="shared" ref="F2181:F2244" ca="1" si="36">_xlfn.NORM.INV(RAND(),M$6,M$7)</f>
        <v>4.1614902133302836E-2</v>
      </c>
    </row>
    <row r="2182" spans="5:6" x14ac:dyDescent="0.35">
      <c r="E2182">
        <v>2179</v>
      </c>
      <c r="F2182">
        <f t="shared" ca="1" si="36"/>
        <v>-3.8945099774116317E-3</v>
      </c>
    </row>
    <row r="2183" spans="5:6" x14ac:dyDescent="0.35">
      <c r="E2183">
        <v>2180</v>
      </c>
      <c r="F2183">
        <f t="shared" ca="1" si="36"/>
        <v>2.5679254909666882E-2</v>
      </c>
    </row>
    <row r="2184" spans="5:6" x14ac:dyDescent="0.35">
      <c r="E2184">
        <v>2181</v>
      </c>
      <c r="F2184">
        <f t="shared" ca="1" si="36"/>
        <v>-2.4505173062786909E-2</v>
      </c>
    </row>
    <row r="2185" spans="5:6" x14ac:dyDescent="0.35">
      <c r="E2185">
        <v>2182</v>
      </c>
      <c r="F2185">
        <f t="shared" ca="1" si="36"/>
        <v>-1.3749450620038762E-2</v>
      </c>
    </row>
    <row r="2186" spans="5:6" x14ac:dyDescent="0.35">
      <c r="E2186">
        <v>2183</v>
      </c>
      <c r="F2186">
        <f t="shared" ca="1" si="36"/>
        <v>-6.9750690424166765E-3</v>
      </c>
    </row>
    <row r="2187" spans="5:6" x14ac:dyDescent="0.35">
      <c r="E2187">
        <v>2184</v>
      </c>
      <c r="F2187">
        <f t="shared" ca="1" si="36"/>
        <v>4.8196570602174983E-3</v>
      </c>
    </row>
    <row r="2188" spans="5:6" x14ac:dyDescent="0.35">
      <c r="E2188">
        <v>2185</v>
      </c>
      <c r="F2188">
        <f t="shared" ca="1" si="36"/>
        <v>1.2793441024013997E-2</v>
      </c>
    </row>
    <row r="2189" spans="5:6" x14ac:dyDescent="0.35">
      <c r="E2189">
        <v>2186</v>
      </c>
      <c r="F2189">
        <f t="shared" ca="1" si="36"/>
        <v>3.9451831869846436E-3</v>
      </c>
    </row>
    <row r="2190" spans="5:6" x14ac:dyDescent="0.35">
      <c r="E2190">
        <v>2187</v>
      </c>
      <c r="F2190">
        <f t="shared" ca="1" si="36"/>
        <v>-2.3327099594179088E-2</v>
      </c>
    </row>
    <row r="2191" spans="5:6" x14ac:dyDescent="0.35">
      <c r="E2191">
        <v>2188</v>
      </c>
      <c r="F2191">
        <f t="shared" ca="1" si="36"/>
        <v>-7.7329222085977534E-3</v>
      </c>
    </row>
    <row r="2192" spans="5:6" x14ac:dyDescent="0.35">
      <c r="E2192">
        <v>2189</v>
      </c>
      <c r="F2192">
        <f t="shared" ca="1" si="36"/>
        <v>1.2990542761372629E-2</v>
      </c>
    </row>
    <row r="2193" spans="5:6" x14ac:dyDescent="0.35">
      <c r="E2193">
        <v>2190</v>
      </c>
      <c r="F2193">
        <f t="shared" ca="1" si="36"/>
        <v>-6.7129832256180161E-3</v>
      </c>
    </row>
    <row r="2194" spans="5:6" x14ac:dyDescent="0.35">
      <c r="E2194">
        <v>2191</v>
      </c>
      <c r="F2194">
        <f t="shared" ca="1" si="36"/>
        <v>1.4545235105886296E-2</v>
      </c>
    </row>
    <row r="2195" spans="5:6" x14ac:dyDescent="0.35">
      <c r="E2195">
        <v>2192</v>
      </c>
      <c r="F2195">
        <f t="shared" ca="1" si="36"/>
        <v>5.2924503684724207E-3</v>
      </c>
    </row>
    <row r="2196" spans="5:6" x14ac:dyDescent="0.35">
      <c r="E2196">
        <v>2193</v>
      </c>
      <c r="F2196">
        <f t="shared" ca="1" si="36"/>
        <v>-4.9214430345864086E-3</v>
      </c>
    </row>
    <row r="2197" spans="5:6" x14ac:dyDescent="0.35">
      <c r="E2197">
        <v>2194</v>
      </c>
      <c r="F2197">
        <f t="shared" ca="1" si="36"/>
        <v>-5.3141111856084416E-3</v>
      </c>
    </row>
    <row r="2198" spans="5:6" x14ac:dyDescent="0.35">
      <c r="E2198">
        <v>2195</v>
      </c>
      <c r="F2198">
        <f t="shared" ca="1" si="36"/>
        <v>-1.2324361151823459E-2</v>
      </c>
    </row>
    <row r="2199" spans="5:6" x14ac:dyDescent="0.35">
      <c r="E2199">
        <v>2196</v>
      </c>
      <c r="F2199">
        <f t="shared" ca="1" si="36"/>
        <v>1.1360088536693591E-3</v>
      </c>
    </row>
    <row r="2200" spans="5:6" x14ac:dyDescent="0.35">
      <c r="E2200">
        <v>2197</v>
      </c>
      <c r="F2200">
        <f t="shared" ca="1" si="36"/>
        <v>2.936879128099049E-2</v>
      </c>
    </row>
    <row r="2201" spans="5:6" x14ac:dyDescent="0.35">
      <c r="E2201">
        <v>2198</v>
      </c>
      <c r="F2201">
        <f t="shared" ca="1" si="36"/>
        <v>3.686392556416757E-3</v>
      </c>
    </row>
    <row r="2202" spans="5:6" x14ac:dyDescent="0.35">
      <c r="E2202">
        <v>2199</v>
      </c>
      <c r="F2202">
        <f t="shared" ca="1" si="36"/>
        <v>-1.8314584767669395E-2</v>
      </c>
    </row>
    <row r="2203" spans="5:6" x14ac:dyDescent="0.35">
      <c r="E2203">
        <v>2200</v>
      </c>
      <c r="F2203">
        <f t="shared" ca="1" si="36"/>
        <v>-1.0983126424088887E-2</v>
      </c>
    </row>
    <row r="2204" spans="5:6" x14ac:dyDescent="0.35">
      <c r="E2204">
        <v>2201</v>
      </c>
      <c r="F2204">
        <f t="shared" ca="1" si="36"/>
        <v>-1.5769905856762977E-2</v>
      </c>
    </row>
    <row r="2205" spans="5:6" x14ac:dyDescent="0.35">
      <c r="E2205">
        <v>2202</v>
      </c>
      <c r="F2205">
        <f t="shared" ca="1" si="36"/>
        <v>2.6690808043001515E-2</v>
      </c>
    </row>
    <row r="2206" spans="5:6" x14ac:dyDescent="0.35">
      <c r="E2206">
        <v>2203</v>
      </c>
      <c r="F2206">
        <f t="shared" ca="1" si="36"/>
        <v>-2.0767662457194462E-2</v>
      </c>
    </row>
    <row r="2207" spans="5:6" x14ac:dyDescent="0.35">
      <c r="E2207">
        <v>2204</v>
      </c>
      <c r="F2207">
        <f t="shared" ca="1" si="36"/>
        <v>-1.8980766238114729E-2</v>
      </c>
    </row>
    <row r="2208" spans="5:6" x14ac:dyDescent="0.35">
      <c r="E2208">
        <v>2205</v>
      </c>
      <c r="F2208">
        <f t="shared" ca="1" si="36"/>
        <v>5.7701878719962621E-3</v>
      </c>
    </row>
    <row r="2209" spans="5:6" x14ac:dyDescent="0.35">
      <c r="E2209">
        <v>2206</v>
      </c>
      <c r="F2209">
        <f t="shared" ca="1" si="36"/>
        <v>2.4992319641910041E-2</v>
      </c>
    </row>
    <row r="2210" spans="5:6" x14ac:dyDescent="0.35">
      <c r="E2210">
        <v>2207</v>
      </c>
      <c r="F2210">
        <f t="shared" ca="1" si="36"/>
        <v>-2.3378624025236886E-2</v>
      </c>
    </row>
    <row r="2211" spans="5:6" x14ac:dyDescent="0.35">
      <c r="E2211">
        <v>2208</v>
      </c>
      <c r="F2211">
        <f t="shared" ca="1" si="36"/>
        <v>-3.0001051183018348E-2</v>
      </c>
    </row>
    <row r="2212" spans="5:6" x14ac:dyDescent="0.35">
      <c r="E2212">
        <v>2209</v>
      </c>
      <c r="F2212">
        <f t="shared" ca="1" si="36"/>
        <v>-1.3231621993070207E-2</v>
      </c>
    </row>
    <row r="2213" spans="5:6" x14ac:dyDescent="0.35">
      <c r="E2213">
        <v>2210</v>
      </c>
      <c r="F2213">
        <f t="shared" ca="1" si="36"/>
        <v>-3.4553249612860304E-3</v>
      </c>
    </row>
    <row r="2214" spans="5:6" x14ac:dyDescent="0.35">
      <c r="E2214">
        <v>2211</v>
      </c>
      <c r="F2214">
        <f t="shared" ca="1" si="36"/>
        <v>-1.1532459358392621E-2</v>
      </c>
    </row>
    <row r="2215" spans="5:6" x14ac:dyDescent="0.35">
      <c r="E2215">
        <v>2212</v>
      </c>
      <c r="F2215">
        <f t="shared" ca="1" si="36"/>
        <v>-9.2194637598463176E-4</v>
      </c>
    </row>
    <row r="2216" spans="5:6" x14ac:dyDescent="0.35">
      <c r="E2216">
        <v>2213</v>
      </c>
      <c r="F2216">
        <f t="shared" ca="1" si="36"/>
        <v>8.223656591579379E-4</v>
      </c>
    </row>
    <row r="2217" spans="5:6" x14ac:dyDescent="0.35">
      <c r="E2217">
        <v>2214</v>
      </c>
      <c r="F2217">
        <f t="shared" ca="1" si="36"/>
        <v>1.1878447910171933E-2</v>
      </c>
    </row>
    <row r="2218" spans="5:6" x14ac:dyDescent="0.35">
      <c r="E2218">
        <v>2215</v>
      </c>
      <c r="F2218">
        <f t="shared" ca="1" si="36"/>
        <v>-1.0610851852314696E-2</v>
      </c>
    </row>
    <row r="2219" spans="5:6" x14ac:dyDescent="0.35">
      <c r="E2219">
        <v>2216</v>
      </c>
      <c r="F2219">
        <f t="shared" ca="1" si="36"/>
        <v>-3.1340534162006849E-2</v>
      </c>
    </row>
    <row r="2220" spans="5:6" x14ac:dyDescent="0.35">
      <c r="E2220">
        <v>2217</v>
      </c>
      <c r="F2220">
        <f t="shared" ca="1" si="36"/>
        <v>-2.1044668101872801E-2</v>
      </c>
    </row>
    <row r="2221" spans="5:6" x14ac:dyDescent="0.35">
      <c r="E2221">
        <v>2218</v>
      </c>
      <c r="F2221">
        <f t="shared" ca="1" si="36"/>
        <v>1.4464257842530803E-2</v>
      </c>
    </row>
    <row r="2222" spans="5:6" x14ac:dyDescent="0.35">
      <c r="E2222">
        <v>2219</v>
      </c>
      <c r="F2222">
        <f t="shared" ca="1" si="36"/>
        <v>6.0956073577239601E-3</v>
      </c>
    </row>
    <row r="2223" spans="5:6" x14ac:dyDescent="0.35">
      <c r="E2223">
        <v>2220</v>
      </c>
      <c r="F2223">
        <f t="shared" ca="1" si="36"/>
        <v>-2.8230078364696255E-3</v>
      </c>
    </row>
    <row r="2224" spans="5:6" x14ac:dyDescent="0.35">
      <c r="E2224">
        <v>2221</v>
      </c>
      <c r="F2224">
        <f t="shared" ca="1" si="36"/>
        <v>-5.8481971692435734E-3</v>
      </c>
    </row>
    <row r="2225" spans="5:6" x14ac:dyDescent="0.35">
      <c r="E2225">
        <v>2222</v>
      </c>
      <c r="F2225">
        <f t="shared" ca="1" si="36"/>
        <v>-5.2806637479040899E-3</v>
      </c>
    </row>
    <row r="2226" spans="5:6" x14ac:dyDescent="0.35">
      <c r="E2226">
        <v>2223</v>
      </c>
      <c r="F2226">
        <f t="shared" ca="1" si="36"/>
        <v>-5.3974309946369452E-4</v>
      </c>
    </row>
    <row r="2227" spans="5:6" x14ac:dyDescent="0.35">
      <c r="E2227">
        <v>2224</v>
      </c>
      <c r="F2227">
        <f t="shared" ca="1" si="36"/>
        <v>-1.7976669403304363E-2</v>
      </c>
    </row>
    <row r="2228" spans="5:6" x14ac:dyDescent="0.35">
      <c r="E2228">
        <v>2225</v>
      </c>
      <c r="F2228">
        <f t="shared" ca="1" si="36"/>
        <v>2.4115371456258903E-3</v>
      </c>
    </row>
    <row r="2229" spans="5:6" x14ac:dyDescent="0.35">
      <c r="E2229">
        <v>2226</v>
      </c>
      <c r="F2229">
        <f t="shared" ca="1" si="36"/>
        <v>1.4544118377406205E-2</v>
      </c>
    </row>
    <row r="2230" spans="5:6" x14ac:dyDescent="0.35">
      <c r="E2230">
        <v>2227</v>
      </c>
      <c r="F2230">
        <f t="shared" ca="1" si="36"/>
        <v>7.9557635671518839E-3</v>
      </c>
    </row>
    <row r="2231" spans="5:6" x14ac:dyDescent="0.35">
      <c r="E2231">
        <v>2228</v>
      </c>
      <c r="F2231">
        <f t="shared" ca="1" si="36"/>
        <v>1.1160871933750829E-2</v>
      </c>
    </row>
    <row r="2232" spans="5:6" x14ac:dyDescent="0.35">
      <c r="E2232">
        <v>2229</v>
      </c>
      <c r="F2232">
        <f t="shared" ca="1" si="36"/>
        <v>-1.4853024227744271E-2</v>
      </c>
    </row>
    <row r="2233" spans="5:6" x14ac:dyDescent="0.35">
      <c r="E2233">
        <v>2230</v>
      </c>
      <c r="F2233">
        <f t="shared" ca="1" si="36"/>
        <v>-6.0276266647106549E-3</v>
      </c>
    </row>
    <row r="2234" spans="5:6" x14ac:dyDescent="0.35">
      <c r="E2234">
        <v>2231</v>
      </c>
      <c r="F2234">
        <f t="shared" ca="1" si="36"/>
        <v>-6.0889572471558833E-3</v>
      </c>
    </row>
    <row r="2235" spans="5:6" x14ac:dyDescent="0.35">
      <c r="E2235">
        <v>2232</v>
      </c>
      <c r="F2235">
        <f t="shared" ca="1" si="36"/>
        <v>2.3297720457664843E-3</v>
      </c>
    </row>
    <row r="2236" spans="5:6" x14ac:dyDescent="0.35">
      <c r="E2236">
        <v>2233</v>
      </c>
      <c r="F2236">
        <f t="shared" ca="1" si="36"/>
        <v>-4.0946696352675629E-3</v>
      </c>
    </row>
    <row r="2237" spans="5:6" x14ac:dyDescent="0.35">
      <c r="E2237">
        <v>2234</v>
      </c>
      <c r="F2237">
        <f t="shared" ca="1" si="36"/>
        <v>-1.9122148134746816E-2</v>
      </c>
    </row>
    <row r="2238" spans="5:6" x14ac:dyDescent="0.35">
      <c r="E2238">
        <v>2235</v>
      </c>
      <c r="F2238">
        <f t="shared" ca="1" si="36"/>
        <v>-7.9838012940715401E-3</v>
      </c>
    </row>
    <row r="2239" spans="5:6" x14ac:dyDescent="0.35">
      <c r="E2239">
        <v>2236</v>
      </c>
      <c r="F2239">
        <f t="shared" ca="1" si="36"/>
        <v>-1.2379021062785827E-2</v>
      </c>
    </row>
    <row r="2240" spans="5:6" x14ac:dyDescent="0.35">
      <c r="E2240">
        <v>2237</v>
      </c>
      <c r="F2240">
        <f t="shared" ca="1" si="36"/>
        <v>1.8411340766297642E-2</v>
      </c>
    </row>
    <row r="2241" spans="5:6" x14ac:dyDescent="0.35">
      <c r="E2241">
        <v>2238</v>
      </c>
      <c r="F2241">
        <f t="shared" ca="1" si="36"/>
        <v>2.0493125516227069E-2</v>
      </c>
    </row>
    <row r="2242" spans="5:6" x14ac:dyDescent="0.35">
      <c r="E2242">
        <v>2239</v>
      </c>
      <c r="F2242">
        <f t="shared" ca="1" si="36"/>
        <v>-7.1175593484317408E-3</v>
      </c>
    </row>
    <row r="2243" spans="5:6" x14ac:dyDescent="0.35">
      <c r="E2243">
        <v>2240</v>
      </c>
      <c r="F2243">
        <f t="shared" ca="1" si="36"/>
        <v>5.7256990359934408E-3</v>
      </c>
    </row>
    <row r="2244" spans="5:6" x14ac:dyDescent="0.35">
      <c r="E2244">
        <v>2241</v>
      </c>
      <c r="F2244">
        <f t="shared" ca="1" si="36"/>
        <v>2.8936293600260586E-2</v>
      </c>
    </row>
    <row r="2245" spans="5:6" x14ac:dyDescent="0.35">
      <c r="E2245">
        <v>2242</v>
      </c>
      <c r="F2245">
        <f t="shared" ref="F2245:F2308" ca="1" si="37">_xlfn.NORM.INV(RAND(),M$6,M$7)</f>
        <v>-8.5365361459146232E-3</v>
      </c>
    </row>
    <row r="2246" spans="5:6" x14ac:dyDescent="0.35">
      <c r="E2246">
        <v>2243</v>
      </c>
      <c r="F2246">
        <f t="shared" ca="1" si="37"/>
        <v>2.3041717180039466E-2</v>
      </c>
    </row>
    <row r="2247" spans="5:6" x14ac:dyDescent="0.35">
      <c r="E2247">
        <v>2244</v>
      </c>
      <c r="F2247">
        <f t="shared" ca="1" si="37"/>
        <v>-9.563657282261758E-4</v>
      </c>
    </row>
    <row r="2248" spans="5:6" x14ac:dyDescent="0.35">
      <c r="E2248">
        <v>2245</v>
      </c>
      <c r="F2248">
        <f t="shared" ca="1" si="37"/>
        <v>-9.1936674926175362E-3</v>
      </c>
    </row>
    <row r="2249" spans="5:6" x14ac:dyDescent="0.35">
      <c r="E2249">
        <v>2246</v>
      </c>
      <c r="F2249">
        <f t="shared" ca="1" si="37"/>
        <v>9.0367462504486254E-3</v>
      </c>
    </row>
    <row r="2250" spans="5:6" x14ac:dyDescent="0.35">
      <c r="E2250">
        <v>2247</v>
      </c>
      <c r="F2250">
        <f t="shared" ca="1" si="37"/>
        <v>-6.6897580592893829E-3</v>
      </c>
    </row>
    <row r="2251" spans="5:6" x14ac:dyDescent="0.35">
      <c r="E2251">
        <v>2248</v>
      </c>
      <c r="F2251">
        <f t="shared" ca="1" si="37"/>
        <v>2.2403496687463755E-3</v>
      </c>
    </row>
    <row r="2252" spans="5:6" x14ac:dyDescent="0.35">
      <c r="E2252">
        <v>2249</v>
      </c>
      <c r="F2252">
        <f t="shared" ca="1" si="37"/>
        <v>-4.7201936098655739E-4</v>
      </c>
    </row>
    <row r="2253" spans="5:6" x14ac:dyDescent="0.35">
      <c r="E2253">
        <v>2250</v>
      </c>
      <c r="F2253">
        <f t="shared" ca="1" si="37"/>
        <v>-1.0042137798993378E-2</v>
      </c>
    </row>
    <row r="2254" spans="5:6" x14ac:dyDescent="0.35">
      <c r="E2254">
        <v>2251</v>
      </c>
      <c r="F2254">
        <f t="shared" ca="1" si="37"/>
        <v>5.5805282152051978E-3</v>
      </c>
    </row>
    <row r="2255" spans="5:6" x14ac:dyDescent="0.35">
      <c r="E2255">
        <v>2252</v>
      </c>
      <c r="F2255">
        <f t="shared" ca="1" si="37"/>
        <v>1.1269600042242908E-2</v>
      </c>
    </row>
    <row r="2256" spans="5:6" x14ac:dyDescent="0.35">
      <c r="E2256">
        <v>2253</v>
      </c>
      <c r="F2256">
        <f t="shared" ca="1" si="37"/>
        <v>-7.8474704978662227E-3</v>
      </c>
    </row>
    <row r="2257" spans="5:6" x14ac:dyDescent="0.35">
      <c r="E2257">
        <v>2254</v>
      </c>
      <c r="F2257">
        <f t="shared" ca="1" si="37"/>
        <v>-6.6478645855676116E-3</v>
      </c>
    </row>
    <row r="2258" spans="5:6" x14ac:dyDescent="0.35">
      <c r="E2258">
        <v>2255</v>
      </c>
      <c r="F2258">
        <f t="shared" ca="1" si="37"/>
        <v>-5.8725877568417571E-3</v>
      </c>
    </row>
    <row r="2259" spans="5:6" x14ac:dyDescent="0.35">
      <c r="E2259">
        <v>2256</v>
      </c>
      <c r="F2259">
        <f t="shared" ca="1" si="37"/>
        <v>-7.2322340317153592E-3</v>
      </c>
    </row>
    <row r="2260" spans="5:6" x14ac:dyDescent="0.35">
      <c r="E2260">
        <v>2257</v>
      </c>
      <c r="F2260">
        <f t="shared" ca="1" si="37"/>
        <v>1.1109416975749473E-3</v>
      </c>
    </row>
    <row r="2261" spans="5:6" x14ac:dyDescent="0.35">
      <c r="E2261">
        <v>2258</v>
      </c>
      <c r="F2261">
        <f t="shared" ca="1" si="37"/>
        <v>-1.4596644121428191E-2</v>
      </c>
    </row>
    <row r="2262" spans="5:6" x14ac:dyDescent="0.35">
      <c r="E2262">
        <v>2259</v>
      </c>
      <c r="F2262">
        <f t="shared" ca="1" si="37"/>
        <v>-4.5815780869756366E-4</v>
      </c>
    </row>
    <row r="2263" spans="5:6" x14ac:dyDescent="0.35">
      <c r="E2263">
        <v>2260</v>
      </c>
      <c r="F2263">
        <f t="shared" ca="1" si="37"/>
        <v>-9.4757016733990583E-3</v>
      </c>
    </row>
    <row r="2264" spans="5:6" x14ac:dyDescent="0.35">
      <c r="E2264">
        <v>2261</v>
      </c>
      <c r="F2264">
        <f t="shared" ca="1" si="37"/>
        <v>2.5336955445005112E-4</v>
      </c>
    </row>
    <row r="2265" spans="5:6" x14ac:dyDescent="0.35">
      <c r="E2265">
        <v>2262</v>
      </c>
      <c r="F2265">
        <f t="shared" ca="1" si="37"/>
        <v>1.5579978805134375E-3</v>
      </c>
    </row>
    <row r="2266" spans="5:6" x14ac:dyDescent="0.35">
      <c r="E2266">
        <v>2263</v>
      </c>
      <c r="F2266">
        <f t="shared" ca="1" si="37"/>
        <v>1.2319798708933934E-2</v>
      </c>
    </row>
    <row r="2267" spans="5:6" x14ac:dyDescent="0.35">
      <c r="E2267">
        <v>2264</v>
      </c>
      <c r="F2267">
        <f t="shared" ca="1" si="37"/>
        <v>-2.146766503381037E-3</v>
      </c>
    </row>
    <row r="2268" spans="5:6" x14ac:dyDescent="0.35">
      <c r="E2268">
        <v>2265</v>
      </c>
      <c r="F2268">
        <f t="shared" ca="1" si="37"/>
        <v>1.6738777381826858E-2</v>
      </c>
    </row>
    <row r="2269" spans="5:6" x14ac:dyDescent="0.35">
      <c r="E2269">
        <v>2266</v>
      </c>
      <c r="F2269">
        <f t="shared" ca="1" si="37"/>
        <v>-6.9491230744049707E-3</v>
      </c>
    </row>
    <row r="2270" spans="5:6" x14ac:dyDescent="0.35">
      <c r="E2270">
        <v>2267</v>
      </c>
      <c r="F2270">
        <f t="shared" ca="1" si="37"/>
        <v>-3.6964223296525401E-3</v>
      </c>
    </row>
    <row r="2271" spans="5:6" x14ac:dyDescent="0.35">
      <c r="E2271">
        <v>2268</v>
      </c>
      <c r="F2271">
        <f t="shared" ca="1" si="37"/>
        <v>9.8137287469340691E-3</v>
      </c>
    </row>
    <row r="2272" spans="5:6" x14ac:dyDescent="0.35">
      <c r="E2272">
        <v>2269</v>
      </c>
      <c r="F2272">
        <f t="shared" ca="1" si="37"/>
        <v>1.873039263581802E-3</v>
      </c>
    </row>
    <row r="2273" spans="5:6" x14ac:dyDescent="0.35">
      <c r="E2273">
        <v>2270</v>
      </c>
      <c r="F2273">
        <f t="shared" ca="1" si="37"/>
        <v>-7.4553462916867336E-3</v>
      </c>
    </row>
    <row r="2274" spans="5:6" x14ac:dyDescent="0.35">
      <c r="E2274">
        <v>2271</v>
      </c>
      <c r="F2274">
        <f t="shared" ca="1" si="37"/>
        <v>1.2200892739919573E-2</v>
      </c>
    </row>
    <row r="2275" spans="5:6" x14ac:dyDescent="0.35">
      <c r="E2275">
        <v>2272</v>
      </c>
      <c r="F2275">
        <f t="shared" ca="1" si="37"/>
        <v>-8.6202990212485859E-5</v>
      </c>
    </row>
    <row r="2276" spans="5:6" x14ac:dyDescent="0.35">
      <c r="E2276">
        <v>2273</v>
      </c>
      <c r="F2276">
        <f t="shared" ca="1" si="37"/>
        <v>-7.7419871702041204E-3</v>
      </c>
    </row>
    <row r="2277" spans="5:6" x14ac:dyDescent="0.35">
      <c r="E2277">
        <v>2274</v>
      </c>
      <c r="F2277">
        <f t="shared" ca="1" si="37"/>
        <v>-1.2471674273572127E-2</v>
      </c>
    </row>
    <row r="2278" spans="5:6" x14ac:dyDescent="0.35">
      <c r="E2278">
        <v>2275</v>
      </c>
      <c r="F2278">
        <f t="shared" ca="1" si="37"/>
        <v>-1.59128368148151E-2</v>
      </c>
    </row>
    <row r="2279" spans="5:6" x14ac:dyDescent="0.35">
      <c r="E2279">
        <v>2276</v>
      </c>
      <c r="F2279">
        <f t="shared" ca="1" si="37"/>
        <v>-5.6611308118958998E-3</v>
      </c>
    </row>
    <row r="2280" spans="5:6" x14ac:dyDescent="0.35">
      <c r="E2280">
        <v>2277</v>
      </c>
      <c r="F2280">
        <f t="shared" ca="1" si="37"/>
        <v>4.1008803875767899E-2</v>
      </c>
    </row>
    <row r="2281" spans="5:6" x14ac:dyDescent="0.35">
      <c r="E2281">
        <v>2278</v>
      </c>
      <c r="F2281">
        <f t="shared" ca="1" si="37"/>
        <v>1.1180953498491413E-2</v>
      </c>
    </row>
    <row r="2282" spans="5:6" x14ac:dyDescent="0.35">
      <c r="E2282">
        <v>2279</v>
      </c>
      <c r="F2282">
        <f t="shared" ca="1" si="37"/>
        <v>4.1675778223045435E-3</v>
      </c>
    </row>
    <row r="2283" spans="5:6" x14ac:dyDescent="0.35">
      <c r="E2283">
        <v>2280</v>
      </c>
      <c r="F2283">
        <f t="shared" ca="1" si="37"/>
        <v>3.7052809172456312E-2</v>
      </c>
    </row>
    <row r="2284" spans="5:6" x14ac:dyDescent="0.35">
      <c r="E2284">
        <v>2281</v>
      </c>
      <c r="F2284">
        <f t="shared" ca="1" si="37"/>
        <v>-1.2412745640965958E-2</v>
      </c>
    </row>
    <row r="2285" spans="5:6" x14ac:dyDescent="0.35">
      <c r="E2285">
        <v>2282</v>
      </c>
      <c r="F2285">
        <f t="shared" ca="1" si="37"/>
        <v>-2.5139263741711656E-2</v>
      </c>
    </row>
    <row r="2286" spans="5:6" x14ac:dyDescent="0.35">
      <c r="E2286">
        <v>2283</v>
      </c>
      <c r="F2286">
        <f t="shared" ca="1" si="37"/>
        <v>-1.4446245761686441E-2</v>
      </c>
    </row>
    <row r="2287" spans="5:6" x14ac:dyDescent="0.35">
      <c r="E2287">
        <v>2284</v>
      </c>
      <c r="F2287">
        <f t="shared" ca="1" si="37"/>
        <v>-1.586396218175908E-3</v>
      </c>
    </row>
    <row r="2288" spans="5:6" x14ac:dyDescent="0.35">
      <c r="E2288">
        <v>2285</v>
      </c>
      <c r="F2288">
        <f t="shared" ca="1" si="37"/>
        <v>8.7151680452644872E-3</v>
      </c>
    </row>
    <row r="2289" spans="5:6" x14ac:dyDescent="0.35">
      <c r="E2289">
        <v>2286</v>
      </c>
      <c r="F2289">
        <f t="shared" ca="1" si="37"/>
        <v>-3.4799436686880103E-4</v>
      </c>
    </row>
    <row r="2290" spans="5:6" x14ac:dyDescent="0.35">
      <c r="E2290">
        <v>2287</v>
      </c>
      <c r="F2290">
        <f t="shared" ca="1" si="37"/>
        <v>1.177874451108314E-2</v>
      </c>
    </row>
    <row r="2291" spans="5:6" x14ac:dyDescent="0.35">
      <c r="E2291">
        <v>2288</v>
      </c>
      <c r="F2291">
        <f t="shared" ca="1" si="37"/>
        <v>2.7589939242265858E-3</v>
      </c>
    </row>
    <row r="2292" spans="5:6" x14ac:dyDescent="0.35">
      <c r="E2292">
        <v>2289</v>
      </c>
      <c r="F2292">
        <f t="shared" ca="1" si="37"/>
        <v>2.7389426860307381E-3</v>
      </c>
    </row>
    <row r="2293" spans="5:6" x14ac:dyDescent="0.35">
      <c r="E2293">
        <v>2290</v>
      </c>
      <c r="F2293">
        <f t="shared" ca="1" si="37"/>
        <v>-1.638058648183249E-2</v>
      </c>
    </row>
    <row r="2294" spans="5:6" x14ac:dyDescent="0.35">
      <c r="E2294">
        <v>2291</v>
      </c>
      <c r="F2294">
        <f t="shared" ca="1" si="37"/>
        <v>-1.6546083178163161E-2</v>
      </c>
    </row>
    <row r="2295" spans="5:6" x14ac:dyDescent="0.35">
      <c r="E2295">
        <v>2292</v>
      </c>
      <c r="F2295">
        <f t="shared" ca="1" si="37"/>
        <v>1.0696033883011619E-2</v>
      </c>
    </row>
    <row r="2296" spans="5:6" x14ac:dyDescent="0.35">
      <c r="E2296">
        <v>2293</v>
      </c>
      <c r="F2296">
        <f t="shared" ca="1" si="37"/>
        <v>8.3110774743205065E-3</v>
      </c>
    </row>
    <row r="2297" spans="5:6" x14ac:dyDescent="0.35">
      <c r="E2297">
        <v>2294</v>
      </c>
      <c r="F2297">
        <f t="shared" ca="1" si="37"/>
        <v>-2.8272462579858387E-3</v>
      </c>
    </row>
    <row r="2298" spans="5:6" x14ac:dyDescent="0.35">
      <c r="E2298">
        <v>2295</v>
      </c>
      <c r="F2298">
        <f t="shared" ca="1" si="37"/>
        <v>-1.4775636028053079E-2</v>
      </c>
    </row>
    <row r="2299" spans="5:6" x14ac:dyDescent="0.35">
      <c r="E2299">
        <v>2296</v>
      </c>
      <c r="F2299">
        <f t="shared" ca="1" si="37"/>
        <v>2.5041084926616095E-2</v>
      </c>
    </row>
    <row r="2300" spans="5:6" x14ac:dyDescent="0.35">
      <c r="E2300">
        <v>2297</v>
      </c>
      <c r="F2300">
        <f t="shared" ca="1" si="37"/>
        <v>-4.450844714931952E-3</v>
      </c>
    </row>
    <row r="2301" spans="5:6" x14ac:dyDescent="0.35">
      <c r="E2301">
        <v>2298</v>
      </c>
      <c r="F2301">
        <f t="shared" ca="1" si="37"/>
        <v>-3.1645442611448983E-3</v>
      </c>
    </row>
    <row r="2302" spans="5:6" x14ac:dyDescent="0.35">
      <c r="E2302">
        <v>2299</v>
      </c>
      <c r="F2302">
        <f t="shared" ca="1" si="37"/>
        <v>-1.5874919521668994E-2</v>
      </c>
    </row>
    <row r="2303" spans="5:6" x14ac:dyDescent="0.35">
      <c r="E2303">
        <v>2300</v>
      </c>
      <c r="F2303">
        <f t="shared" ca="1" si="37"/>
        <v>-5.6743838951093493E-3</v>
      </c>
    </row>
    <row r="2304" spans="5:6" x14ac:dyDescent="0.35">
      <c r="E2304">
        <v>2301</v>
      </c>
      <c r="F2304">
        <f t="shared" ca="1" si="37"/>
        <v>-1.9868383384109927E-3</v>
      </c>
    </row>
    <row r="2305" spans="5:6" x14ac:dyDescent="0.35">
      <c r="E2305">
        <v>2302</v>
      </c>
      <c r="F2305">
        <f t="shared" ca="1" si="37"/>
        <v>1.4708369797341855E-2</v>
      </c>
    </row>
    <row r="2306" spans="5:6" x14ac:dyDescent="0.35">
      <c r="E2306">
        <v>2303</v>
      </c>
      <c r="F2306">
        <f t="shared" ca="1" si="37"/>
        <v>-4.2635630796718522E-3</v>
      </c>
    </row>
    <row r="2307" spans="5:6" x14ac:dyDescent="0.35">
      <c r="E2307">
        <v>2304</v>
      </c>
      <c r="F2307">
        <f t="shared" ca="1" si="37"/>
        <v>6.5692485474254259E-3</v>
      </c>
    </row>
    <row r="2308" spans="5:6" x14ac:dyDescent="0.35">
      <c r="E2308">
        <v>2305</v>
      </c>
      <c r="F2308">
        <f t="shared" ca="1" si="37"/>
        <v>1.2049480102608564E-2</v>
      </c>
    </row>
    <row r="2309" spans="5:6" x14ac:dyDescent="0.35">
      <c r="E2309">
        <v>2306</v>
      </c>
      <c r="F2309">
        <f t="shared" ref="F2309:F2372" ca="1" si="38">_xlfn.NORM.INV(RAND(),M$6,M$7)</f>
        <v>-1.063097122376087E-2</v>
      </c>
    </row>
    <row r="2310" spans="5:6" x14ac:dyDescent="0.35">
      <c r="E2310">
        <v>2307</v>
      </c>
      <c r="F2310">
        <f t="shared" ca="1" si="38"/>
        <v>1.6288573858783139E-2</v>
      </c>
    </row>
    <row r="2311" spans="5:6" x14ac:dyDescent="0.35">
      <c r="E2311">
        <v>2308</v>
      </c>
      <c r="F2311">
        <f t="shared" ca="1" si="38"/>
        <v>-1.3063327559820264E-2</v>
      </c>
    </row>
    <row r="2312" spans="5:6" x14ac:dyDescent="0.35">
      <c r="E2312">
        <v>2309</v>
      </c>
      <c r="F2312">
        <f t="shared" ca="1" si="38"/>
        <v>2.2961998208618933E-3</v>
      </c>
    </row>
    <row r="2313" spans="5:6" x14ac:dyDescent="0.35">
      <c r="E2313">
        <v>2310</v>
      </c>
      <c r="F2313">
        <f t="shared" ca="1" si="38"/>
        <v>1.2631804867943025E-2</v>
      </c>
    </row>
    <row r="2314" spans="5:6" x14ac:dyDescent="0.35">
      <c r="E2314">
        <v>2311</v>
      </c>
      <c r="F2314">
        <f t="shared" ca="1" si="38"/>
        <v>3.8805563462786311E-3</v>
      </c>
    </row>
    <row r="2315" spans="5:6" x14ac:dyDescent="0.35">
      <c r="E2315">
        <v>2312</v>
      </c>
      <c r="F2315">
        <f t="shared" ca="1" si="38"/>
        <v>-1.9949288368041229E-3</v>
      </c>
    </row>
    <row r="2316" spans="5:6" x14ac:dyDescent="0.35">
      <c r="E2316">
        <v>2313</v>
      </c>
      <c r="F2316">
        <f t="shared" ca="1" si="38"/>
        <v>9.9331647704332914E-3</v>
      </c>
    </row>
    <row r="2317" spans="5:6" x14ac:dyDescent="0.35">
      <c r="E2317">
        <v>2314</v>
      </c>
      <c r="F2317">
        <f t="shared" ca="1" si="38"/>
        <v>-6.1689585415496745E-3</v>
      </c>
    </row>
    <row r="2318" spans="5:6" x14ac:dyDescent="0.35">
      <c r="E2318">
        <v>2315</v>
      </c>
      <c r="F2318">
        <f t="shared" ca="1" si="38"/>
        <v>-2.0301817409180484E-2</v>
      </c>
    </row>
    <row r="2319" spans="5:6" x14ac:dyDescent="0.35">
      <c r="E2319">
        <v>2316</v>
      </c>
      <c r="F2319">
        <f t="shared" ca="1" si="38"/>
        <v>-5.8956465789134598E-3</v>
      </c>
    </row>
    <row r="2320" spans="5:6" x14ac:dyDescent="0.35">
      <c r="E2320">
        <v>2317</v>
      </c>
      <c r="F2320">
        <f t="shared" ca="1" si="38"/>
        <v>3.7760051063230379E-3</v>
      </c>
    </row>
    <row r="2321" spans="5:6" x14ac:dyDescent="0.35">
      <c r="E2321">
        <v>2318</v>
      </c>
      <c r="F2321">
        <f t="shared" ca="1" si="38"/>
        <v>7.7595959025846227E-3</v>
      </c>
    </row>
    <row r="2322" spans="5:6" x14ac:dyDescent="0.35">
      <c r="E2322">
        <v>2319</v>
      </c>
      <c r="F2322">
        <f t="shared" ca="1" si="38"/>
        <v>-1.1041187102493863E-2</v>
      </c>
    </row>
    <row r="2323" spans="5:6" x14ac:dyDescent="0.35">
      <c r="E2323">
        <v>2320</v>
      </c>
      <c r="F2323">
        <f t="shared" ca="1" si="38"/>
        <v>-1.8427282289634047E-3</v>
      </c>
    </row>
    <row r="2324" spans="5:6" x14ac:dyDescent="0.35">
      <c r="E2324">
        <v>2321</v>
      </c>
      <c r="F2324">
        <f t="shared" ca="1" si="38"/>
        <v>-1.739997502308032E-2</v>
      </c>
    </row>
    <row r="2325" spans="5:6" x14ac:dyDescent="0.35">
      <c r="E2325">
        <v>2322</v>
      </c>
      <c r="F2325">
        <f t="shared" ca="1" si="38"/>
        <v>8.2162005571730853E-3</v>
      </c>
    </row>
    <row r="2326" spans="5:6" x14ac:dyDescent="0.35">
      <c r="E2326">
        <v>2323</v>
      </c>
      <c r="F2326">
        <f t="shared" ca="1" si="38"/>
        <v>-8.4629837046943414E-3</v>
      </c>
    </row>
    <row r="2327" spans="5:6" x14ac:dyDescent="0.35">
      <c r="E2327">
        <v>2324</v>
      </c>
      <c r="F2327">
        <f t="shared" ca="1" si="38"/>
        <v>1.7540499820573527E-2</v>
      </c>
    </row>
    <row r="2328" spans="5:6" x14ac:dyDescent="0.35">
      <c r="E2328">
        <v>2325</v>
      </c>
      <c r="F2328">
        <f t="shared" ca="1" si="38"/>
        <v>-3.5661621960393205E-3</v>
      </c>
    </row>
    <row r="2329" spans="5:6" x14ac:dyDescent="0.35">
      <c r="E2329">
        <v>2326</v>
      </c>
      <c r="F2329">
        <f t="shared" ca="1" si="38"/>
        <v>-1.4112736288241208E-2</v>
      </c>
    </row>
    <row r="2330" spans="5:6" x14ac:dyDescent="0.35">
      <c r="E2330">
        <v>2327</v>
      </c>
      <c r="F2330">
        <f t="shared" ca="1" si="38"/>
        <v>-2.3554888196403918E-3</v>
      </c>
    </row>
    <row r="2331" spans="5:6" x14ac:dyDescent="0.35">
      <c r="E2331">
        <v>2328</v>
      </c>
      <c r="F2331">
        <f t="shared" ca="1" si="38"/>
        <v>1.7761823695546866E-2</v>
      </c>
    </row>
    <row r="2332" spans="5:6" x14ac:dyDescent="0.35">
      <c r="E2332">
        <v>2329</v>
      </c>
      <c r="F2332">
        <f t="shared" ca="1" si="38"/>
        <v>8.6391342655287306E-3</v>
      </c>
    </row>
    <row r="2333" spans="5:6" x14ac:dyDescent="0.35">
      <c r="E2333">
        <v>2330</v>
      </c>
      <c r="F2333">
        <f t="shared" ca="1" si="38"/>
        <v>-2.1734991712528524E-2</v>
      </c>
    </row>
    <row r="2334" spans="5:6" x14ac:dyDescent="0.35">
      <c r="E2334">
        <v>2331</v>
      </c>
      <c r="F2334">
        <f t="shared" ca="1" si="38"/>
        <v>-7.365702951990352E-3</v>
      </c>
    </row>
    <row r="2335" spans="5:6" x14ac:dyDescent="0.35">
      <c r="E2335">
        <v>2332</v>
      </c>
      <c r="F2335">
        <f t="shared" ca="1" si="38"/>
        <v>-7.1973860197570945E-4</v>
      </c>
    </row>
    <row r="2336" spans="5:6" x14ac:dyDescent="0.35">
      <c r="E2336">
        <v>2333</v>
      </c>
      <c r="F2336">
        <f t="shared" ca="1" si="38"/>
        <v>1.1641507599433977E-2</v>
      </c>
    </row>
    <row r="2337" spans="5:6" x14ac:dyDescent="0.35">
      <c r="E2337">
        <v>2334</v>
      </c>
      <c r="F2337">
        <f t="shared" ca="1" si="38"/>
        <v>1.0343937364956455E-2</v>
      </c>
    </row>
    <row r="2338" spans="5:6" x14ac:dyDescent="0.35">
      <c r="E2338">
        <v>2335</v>
      </c>
      <c r="F2338">
        <f t="shared" ca="1" si="38"/>
        <v>-2.3449720762143017E-3</v>
      </c>
    </row>
    <row r="2339" spans="5:6" x14ac:dyDescent="0.35">
      <c r="E2339">
        <v>2336</v>
      </c>
      <c r="F2339">
        <f t="shared" ca="1" si="38"/>
        <v>2.3358115038598034E-3</v>
      </c>
    </row>
    <row r="2340" spans="5:6" x14ac:dyDescent="0.35">
      <c r="E2340">
        <v>2337</v>
      </c>
      <c r="F2340">
        <f t="shared" ca="1" si="38"/>
        <v>7.3496938881737941E-3</v>
      </c>
    </row>
    <row r="2341" spans="5:6" x14ac:dyDescent="0.35">
      <c r="E2341">
        <v>2338</v>
      </c>
      <c r="F2341">
        <f t="shared" ca="1" si="38"/>
        <v>4.0182037398001835E-3</v>
      </c>
    </row>
    <row r="2342" spans="5:6" x14ac:dyDescent="0.35">
      <c r="E2342">
        <v>2339</v>
      </c>
      <c r="F2342">
        <f t="shared" ca="1" si="38"/>
        <v>-2.0379562059010575E-2</v>
      </c>
    </row>
    <row r="2343" spans="5:6" x14ac:dyDescent="0.35">
      <c r="E2343">
        <v>2340</v>
      </c>
      <c r="F2343">
        <f t="shared" ca="1" si="38"/>
        <v>-2.9899626014401548E-2</v>
      </c>
    </row>
    <row r="2344" spans="5:6" x14ac:dyDescent="0.35">
      <c r="E2344">
        <v>2341</v>
      </c>
      <c r="F2344">
        <f t="shared" ca="1" si="38"/>
        <v>7.6214465507218141E-3</v>
      </c>
    </row>
    <row r="2345" spans="5:6" x14ac:dyDescent="0.35">
      <c r="E2345">
        <v>2342</v>
      </c>
      <c r="F2345">
        <f t="shared" ca="1" si="38"/>
        <v>8.3339440404598866E-3</v>
      </c>
    </row>
    <row r="2346" spans="5:6" x14ac:dyDescent="0.35">
      <c r="E2346">
        <v>2343</v>
      </c>
      <c r="F2346">
        <f t="shared" ca="1" si="38"/>
        <v>1.3798909356610635E-3</v>
      </c>
    </row>
    <row r="2347" spans="5:6" x14ac:dyDescent="0.35">
      <c r="E2347">
        <v>2344</v>
      </c>
      <c r="F2347">
        <f t="shared" ca="1" si="38"/>
        <v>-2.3269702376005969E-2</v>
      </c>
    </row>
    <row r="2348" spans="5:6" x14ac:dyDescent="0.35">
      <c r="E2348">
        <v>2345</v>
      </c>
      <c r="F2348">
        <f t="shared" ca="1" si="38"/>
        <v>9.1126807343397363E-3</v>
      </c>
    </row>
    <row r="2349" spans="5:6" x14ac:dyDescent="0.35">
      <c r="E2349">
        <v>2346</v>
      </c>
      <c r="F2349">
        <f t="shared" ca="1" si="38"/>
        <v>8.1069526735386178E-3</v>
      </c>
    </row>
    <row r="2350" spans="5:6" x14ac:dyDescent="0.35">
      <c r="E2350">
        <v>2347</v>
      </c>
      <c r="F2350">
        <f t="shared" ca="1" si="38"/>
        <v>-1.1101963115640389E-2</v>
      </c>
    </row>
    <row r="2351" spans="5:6" x14ac:dyDescent="0.35">
      <c r="E2351">
        <v>2348</v>
      </c>
      <c r="F2351">
        <f t="shared" ca="1" si="38"/>
        <v>-5.3959556723004384E-3</v>
      </c>
    </row>
    <row r="2352" spans="5:6" x14ac:dyDescent="0.35">
      <c r="E2352">
        <v>2349</v>
      </c>
      <c r="F2352">
        <f t="shared" ca="1" si="38"/>
        <v>-1.3346238736508045E-2</v>
      </c>
    </row>
    <row r="2353" spans="5:6" x14ac:dyDescent="0.35">
      <c r="E2353">
        <v>2350</v>
      </c>
      <c r="F2353">
        <f t="shared" ca="1" si="38"/>
        <v>-1.2999624598715082E-2</v>
      </c>
    </row>
    <row r="2354" spans="5:6" x14ac:dyDescent="0.35">
      <c r="E2354">
        <v>2351</v>
      </c>
      <c r="F2354">
        <f t="shared" ca="1" si="38"/>
        <v>1.7471048055692163E-3</v>
      </c>
    </row>
    <row r="2355" spans="5:6" x14ac:dyDescent="0.35">
      <c r="E2355">
        <v>2352</v>
      </c>
      <c r="F2355">
        <f t="shared" ca="1" si="38"/>
        <v>-1.2899760015991232E-2</v>
      </c>
    </row>
    <row r="2356" spans="5:6" x14ac:dyDescent="0.35">
      <c r="E2356">
        <v>2353</v>
      </c>
      <c r="F2356">
        <f t="shared" ca="1" si="38"/>
        <v>-6.7910788436811986E-3</v>
      </c>
    </row>
    <row r="2357" spans="5:6" x14ac:dyDescent="0.35">
      <c r="E2357">
        <v>2354</v>
      </c>
      <c r="F2357">
        <f t="shared" ca="1" si="38"/>
        <v>8.4120595244946573E-3</v>
      </c>
    </row>
    <row r="2358" spans="5:6" x14ac:dyDescent="0.35">
      <c r="E2358">
        <v>2355</v>
      </c>
      <c r="F2358">
        <f t="shared" ca="1" si="38"/>
        <v>1.9927035791956235E-3</v>
      </c>
    </row>
    <row r="2359" spans="5:6" x14ac:dyDescent="0.35">
      <c r="E2359">
        <v>2356</v>
      </c>
      <c r="F2359">
        <f t="shared" ca="1" si="38"/>
        <v>5.2439189250734425E-3</v>
      </c>
    </row>
    <row r="2360" spans="5:6" x14ac:dyDescent="0.35">
      <c r="E2360">
        <v>2357</v>
      </c>
      <c r="F2360">
        <f t="shared" ca="1" si="38"/>
        <v>6.7933043402827059E-4</v>
      </c>
    </row>
    <row r="2361" spans="5:6" x14ac:dyDescent="0.35">
      <c r="E2361">
        <v>2358</v>
      </c>
      <c r="F2361">
        <f t="shared" ca="1" si="38"/>
        <v>1.5103387802511418E-2</v>
      </c>
    </row>
    <row r="2362" spans="5:6" x14ac:dyDescent="0.35">
      <c r="E2362">
        <v>2359</v>
      </c>
      <c r="F2362">
        <f t="shared" ca="1" si="38"/>
        <v>8.7776760281611261E-3</v>
      </c>
    </row>
    <row r="2363" spans="5:6" x14ac:dyDescent="0.35">
      <c r="E2363">
        <v>2360</v>
      </c>
      <c r="F2363">
        <f t="shared" ca="1" si="38"/>
        <v>-1.9095292242214696E-2</v>
      </c>
    </row>
    <row r="2364" spans="5:6" x14ac:dyDescent="0.35">
      <c r="E2364">
        <v>2361</v>
      </c>
      <c r="F2364">
        <f t="shared" ca="1" si="38"/>
        <v>-6.5730047249167077E-3</v>
      </c>
    </row>
    <row r="2365" spans="5:6" x14ac:dyDescent="0.35">
      <c r="E2365">
        <v>2362</v>
      </c>
      <c r="F2365">
        <f t="shared" ca="1" si="38"/>
        <v>1.1515211789169866E-2</v>
      </c>
    </row>
    <row r="2366" spans="5:6" x14ac:dyDescent="0.35">
      <c r="E2366">
        <v>2363</v>
      </c>
      <c r="F2366">
        <f t="shared" ca="1" si="38"/>
        <v>1.2966165418910111E-2</v>
      </c>
    </row>
    <row r="2367" spans="5:6" x14ac:dyDescent="0.35">
      <c r="E2367">
        <v>2364</v>
      </c>
      <c r="F2367">
        <f t="shared" ca="1" si="38"/>
        <v>-1.3486224584668883E-2</v>
      </c>
    </row>
    <row r="2368" spans="5:6" x14ac:dyDescent="0.35">
      <c r="E2368">
        <v>2365</v>
      </c>
      <c r="F2368">
        <f t="shared" ca="1" si="38"/>
        <v>5.3878709501563342E-3</v>
      </c>
    </row>
    <row r="2369" spans="5:6" x14ac:dyDescent="0.35">
      <c r="E2369">
        <v>2366</v>
      </c>
      <c r="F2369">
        <f t="shared" ca="1" si="38"/>
        <v>3.4169381637101433E-2</v>
      </c>
    </row>
    <row r="2370" spans="5:6" x14ac:dyDescent="0.35">
      <c r="E2370">
        <v>2367</v>
      </c>
      <c r="F2370">
        <f t="shared" ca="1" si="38"/>
        <v>-1.9521425862090627E-3</v>
      </c>
    </row>
    <row r="2371" spans="5:6" x14ac:dyDescent="0.35">
      <c r="E2371">
        <v>2368</v>
      </c>
      <c r="F2371">
        <f t="shared" ca="1" si="38"/>
        <v>1.6203833389000753E-2</v>
      </c>
    </row>
    <row r="2372" spans="5:6" x14ac:dyDescent="0.35">
      <c r="E2372">
        <v>2369</v>
      </c>
      <c r="F2372">
        <f t="shared" ca="1" si="38"/>
        <v>7.2484521574768361E-3</v>
      </c>
    </row>
    <row r="2373" spans="5:6" x14ac:dyDescent="0.35">
      <c r="E2373">
        <v>2370</v>
      </c>
      <c r="F2373">
        <f t="shared" ref="F2373:F2436" ca="1" si="39">_xlfn.NORM.INV(RAND(),M$6,M$7)</f>
        <v>9.1939129005718778E-3</v>
      </c>
    </row>
    <row r="2374" spans="5:6" x14ac:dyDescent="0.35">
      <c r="E2374">
        <v>2371</v>
      </c>
      <c r="F2374">
        <f t="shared" ca="1" si="39"/>
        <v>-1.2348755961294896E-2</v>
      </c>
    </row>
    <row r="2375" spans="5:6" x14ac:dyDescent="0.35">
      <c r="E2375">
        <v>2372</v>
      </c>
      <c r="F2375">
        <f t="shared" ca="1" si="39"/>
        <v>-7.1988855983023906E-3</v>
      </c>
    </row>
    <row r="2376" spans="5:6" x14ac:dyDescent="0.35">
      <c r="E2376">
        <v>2373</v>
      </c>
      <c r="F2376">
        <f t="shared" ca="1" si="39"/>
        <v>-2.0552628360332306E-2</v>
      </c>
    </row>
    <row r="2377" spans="5:6" x14ac:dyDescent="0.35">
      <c r="E2377">
        <v>2374</v>
      </c>
      <c r="F2377">
        <f t="shared" ca="1" si="39"/>
        <v>3.4494108364048622E-5</v>
      </c>
    </row>
    <row r="2378" spans="5:6" x14ac:dyDescent="0.35">
      <c r="E2378">
        <v>2375</v>
      </c>
      <c r="F2378">
        <f t="shared" ca="1" si="39"/>
        <v>-1.0442555526276709E-2</v>
      </c>
    </row>
    <row r="2379" spans="5:6" x14ac:dyDescent="0.35">
      <c r="E2379">
        <v>2376</v>
      </c>
      <c r="F2379">
        <f t="shared" ca="1" si="39"/>
        <v>-1.8703828400189384E-2</v>
      </c>
    </row>
    <row r="2380" spans="5:6" x14ac:dyDescent="0.35">
      <c r="E2380">
        <v>2377</v>
      </c>
      <c r="F2380">
        <f t="shared" ca="1" si="39"/>
        <v>2.8124385088855796E-2</v>
      </c>
    </row>
    <row r="2381" spans="5:6" x14ac:dyDescent="0.35">
      <c r="E2381">
        <v>2378</v>
      </c>
      <c r="F2381">
        <f t="shared" ca="1" si="39"/>
        <v>-2.4922871284584879E-2</v>
      </c>
    </row>
    <row r="2382" spans="5:6" x14ac:dyDescent="0.35">
      <c r="E2382">
        <v>2379</v>
      </c>
      <c r="F2382">
        <f t="shared" ca="1" si="39"/>
        <v>-1.7183534643524633E-2</v>
      </c>
    </row>
    <row r="2383" spans="5:6" x14ac:dyDescent="0.35">
      <c r="E2383">
        <v>2380</v>
      </c>
      <c r="F2383">
        <f t="shared" ca="1" si="39"/>
        <v>-2.3546622461243446E-2</v>
      </c>
    </row>
    <row r="2384" spans="5:6" x14ac:dyDescent="0.35">
      <c r="E2384">
        <v>2381</v>
      </c>
      <c r="F2384">
        <f t="shared" ca="1" si="39"/>
        <v>-2.0023916864851561E-2</v>
      </c>
    </row>
    <row r="2385" spans="5:6" x14ac:dyDescent="0.35">
      <c r="E2385">
        <v>2382</v>
      </c>
      <c r="F2385">
        <f t="shared" ca="1" si="39"/>
        <v>2.8875908607439819E-2</v>
      </c>
    </row>
    <row r="2386" spans="5:6" x14ac:dyDescent="0.35">
      <c r="E2386">
        <v>2383</v>
      </c>
      <c r="F2386">
        <f t="shared" ca="1" si="39"/>
        <v>-3.0209067865404229E-3</v>
      </c>
    </row>
    <row r="2387" spans="5:6" x14ac:dyDescent="0.35">
      <c r="E2387">
        <v>2384</v>
      </c>
      <c r="F2387">
        <f t="shared" ca="1" si="39"/>
        <v>-7.0853891545394083E-4</v>
      </c>
    </row>
    <row r="2388" spans="5:6" x14ac:dyDescent="0.35">
      <c r="E2388">
        <v>2385</v>
      </c>
      <c r="F2388">
        <f t="shared" ca="1" si="39"/>
        <v>2.569801653880692E-2</v>
      </c>
    </row>
    <row r="2389" spans="5:6" x14ac:dyDescent="0.35">
      <c r="E2389">
        <v>2386</v>
      </c>
      <c r="F2389">
        <f t="shared" ca="1" si="39"/>
        <v>-1.7244792814229528E-3</v>
      </c>
    </row>
    <row r="2390" spans="5:6" x14ac:dyDescent="0.35">
      <c r="E2390">
        <v>2387</v>
      </c>
      <c r="F2390">
        <f t="shared" ca="1" si="39"/>
        <v>1.3319533505831751E-2</v>
      </c>
    </row>
    <row r="2391" spans="5:6" x14ac:dyDescent="0.35">
      <c r="E2391">
        <v>2388</v>
      </c>
      <c r="F2391">
        <f t="shared" ca="1" si="39"/>
        <v>9.9258372010968612E-3</v>
      </c>
    </row>
    <row r="2392" spans="5:6" x14ac:dyDescent="0.35">
      <c r="E2392">
        <v>2389</v>
      </c>
      <c r="F2392">
        <f t="shared" ca="1" si="39"/>
        <v>1.0038045952610807E-2</v>
      </c>
    </row>
    <row r="2393" spans="5:6" x14ac:dyDescent="0.35">
      <c r="E2393">
        <v>2390</v>
      </c>
      <c r="F2393">
        <f t="shared" ca="1" si="39"/>
        <v>-1.6455293029980785E-2</v>
      </c>
    </row>
    <row r="2394" spans="5:6" x14ac:dyDescent="0.35">
      <c r="E2394">
        <v>2391</v>
      </c>
      <c r="F2394">
        <f t="shared" ca="1" si="39"/>
        <v>1.8449244938353808E-2</v>
      </c>
    </row>
    <row r="2395" spans="5:6" x14ac:dyDescent="0.35">
      <c r="E2395">
        <v>2392</v>
      </c>
      <c r="F2395">
        <f t="shared" ca="1" si="39"/>
        <v>-1.9862581156716609E-2</v>
      </c>
    </row>
    <row r="2396" spans="5:6" x14ac:dyDescent="0.35">
      <c r="E2396">
        <v>2393</v>
      </c>
      <c r="F2396">
        <f t="shared" ca="1" si="39"/>
        <v>-1.2383296400685046E-2</v>
      </c>
    </row>
    <row r="2397" spans="5:6" x14ac:dyDescent="0.35">
      <c r="E2397">
        <v>2394</v>
      </c>
      <c r="F2397">
        <f t="shared" ca="1" si="39"/>
        <v>8.3042685700716046E-3</v>
      </c>
    </row>
    <row r="2398" spans="5:6" x14ac:dyDescent="0.35">
      <c r="E2398">
        <v>2395</v>
      </c>
      <c r="F2398">
        <f t="shared" ca="1" si="39"/>
        <v>2.7520098543141365E-3</v>
      </c>
    </row>
    <row r="2399" spans="5:6" x14ac:dyDescent="0.35">
      <c r="E2399">
        <v>2396</v>
      </c>
      <c r="F2399">
        <f t="shared" ca="1" si="39"/>
        <v>-4.1788231508666611E-3</v>
      </c>
    </row>
    <row r="2400" spans="5:6" x14ac:dyDescent="0.35">
      <c r="E2400">
        <v>2397</v>
      </c>
      <c r="F2400">
        <f t="shared" ca="1" si="39"/>
        <v>1.3940997147312275E-2</v>
      </c>
    </row>
    <row r="2401" spans="5:6" x14ac:dyDescent="0.35">
      <c r="E2401">
        <v>2398</v>
      </c>
      <c r="F2401">
        <f t="shared" ca="1" si="39"/>
        <v>-7.0979197108261864E-3</v>
      </c>
    </row>
    <row r="2402" spans="5:6" x14ac:dyDescent="0.35">
      <c r="E2402">
        <v>2399</v>
      </c>
      <c r="F2402">
        <f t="shared" ca="1" si="39"/>
        <v>5.314740280430965E-3</v>
      </c>
    </row>
    <row r="2403" spans="5:6" x14ac:dyDescent="0.35">
      <c r="E2403">
        <v>2400</v>
      </c>
      <c r="F2403">
        <f t="shared" ca="1" si="39"/>
        <v>3.6553569751701423E-3</v>
      </c>
    </row>
    <row r="2404" spans="5:6" x14ac:dyDescent="0.35">
      <c r="E2404">
        <v>2401</v>
      </c>
      <c r="F2404">
        <f t="shared" ca="1" si="39"/>
        <v>1.0273738164745934E-4</v>
      </c>
    </row>
    <row r="2405" spans="5:6" x14ac:dyDescent="0.35">
      <c r="E2405">
        <v>2402</v>
      </c>
      <c r="F2405">
        <f t="shared" ca="1" si="39"/>
        <v>-1.8399006299075132E-2</v>
      </c>
    </row>
    <row r="2406" spans="5:6" x14ac:dyDescent="0.35">
      <c r="E2406">
        <v>2403</v>
      </c>
      <c r="F2406">
        <f t="shared" ca="1" si="39"/>
        <v>-3.8843235108073273E-3</v>
      </c>
    </row>
    <row r="2407" spans="5:6" x14ac:dyDescent="0.35">
      <c r="E2407">
        <v>2404</v>
      </c>
      <c r="F2407">
        <f t="shared" ca="1" si="39"/>
        <v>-3.8810142560668705E-2</v>
      </c>
    </row>
    <row r="2408" spans="5:6" x14ac:dyDescent="0.35">
      <c r="E2408">
        <v>2405</v>
      </c>
      <c r="F2408">
        <f t="shared" ca="1" si="39"/>
        <v>4.5917185199550571E-3</v>
      </c>
    </row>
    <row r="2409" spans="5:6" x14ac:dyDescent="0.35">
      <c r="E2409">
        <v>2406</v>
      </c>
      <c r="F2409">
        <f t="shared" ca="1" si="39"/>
        <v>-2.2600842509537325E-2</v>
      </c>
    </row>
    <row r="2410" spans="5:6" x14ac:dyDescent="0.35">
      <c r="E2410">
        <v>2407</v>
      </c>
      <c r="F2410">
        <f t="shared" ca="1" si="39"/>
        <v>2.6960320357596679E-3</v>
      </c>
    </row>
    <row r="2411" spans="5:6" x14ac:dyDescent="0.35">
      <c r="E2411">
        <v>2408</v>
      </c>
      <c r="F2411">
        <f t="shared" ca="1" si="39"/>
        <v>-3.3181861625819135E-3</v>
      </c>
    </row>
    <row r="2412" spans="5:6" x14ac:dyDescent="0.35">
      <c r="E2412">
        <v>2409</v>
      </c>
      <c r="F2412">
        <f t="shared" ca="1" si="39"/>
        <v>5.602929677086481E-3</v>
      </c>
    </row>
    <row r="2413" spans="5:6" x14ac:dyDescent="0.35">
      <c r="E2413">
        <v>2410</v>
      </c>
      <c r="F2413">
        <f t="shared" ca="1" si="39"/>
        <v>-6.7295295711362786E-3</v>
      </c>
    </row>
    <row r="2414" spans="5:6" x14ac:dyDescent="0.35">
      <c r="E2414">
        <v>2411</v>
      </c>
      <c r="F2414">
        <f t="shared" ca="1" si="39"/>
        <v>2.5061886301717271E-2</v>
      </c>
    </row>
    <row r="2415" spans="5:6" x14ac:dyDescent="0.35">
      <c r="E2415">
        <v>2412</v>
      </c>
      <c r="F2415">
        <f t="shared" ca="1" si="39"/>
        <v>-6.2528844838408313E-3</v>
      </c>
    </row>
    <row r="2416" spans="5:6" x14ac:dyDescent="0.35">
      <c r="E2416">
        <v>2413</v>
      </c>
      <c r="F2416">
        <f t="shared" ca="1" si="39"/>
        <v>7.2854363563248457E-3</v>
      </c>
    </row>
    <row r="2417" spans="5:6" x14ac:dyDescent="0.35">
      <c r="E2417">
        <v>2414</v>
      </c>
      <c r="F2417">
        <f t="shared" ca="1" si="39"/>
        <v>-9.0481858918514506E-3</v>
      </c>
    </row>
    <row r="2418" spans="5:6" x14ac:dyDescent="0.35">
      <c r="E2418">
        <v>2415</v>
      </c>
      <c r="F2418">
        <f t="shared" ca="1" si="39"/>
        <v>-5.2603250862741603E-3</v>
      </c>
    </row>
    <row r="2419" spans="5:6" x14ac:dyDescent="0.35">
      <c r="E2419">
        <v>2416</v>
      </c>
      <c r="F2419">
        <f t="shared" ca="1" si="39"/>
        <v>-1.5773514208375704E-2</v>
      </c>
    </row>
    <row r="2420" spans="5:6" x14ac:dyDescent="0.35">
      <c r="E2420">
        <v>2417</v>
      </c>
      <c r="F2420">
        <f t="shared" ca="1" si="39"/>
        <v>-1.6179788362687669E-2</v>
      </c>
    </row>
    <row r="2421" spans="5:6" x14ac:dyDescent="0.35">
      <c r="E2421">
        <v>2418</v>
      </c>
      <c r="F2421">
        <f t="shared" ca="1" si="39"/>
        <v>-5.5662354832456615E-3</v>
      </c>
    </row>
    <row r="2422" spans="5:6" x14ac:dyDescent="0.35">
      <c r="E2422">
        <v>2419</v>
      </c>
      <c r="F2422">
        <f t="shared" ca="1" si="39"/>
        <v>-4.2169368461877927E-3</v>
      </c>
    </row>
    <row r="2423" spans="5:6" x14ac:dyDescent="0.35">
      <c r="E2423">
        <v>2420</v>
      </c>
      <c r="F2423">
        <f t="shared" ca="1" si="39"/>
        <v>-1.5328155116776333E-3</v>
      </c>
    </row>
    <row r="2424" spans="5:6" x14ac:dyDescent="0.35">
      <c r="E2424">
        <v>2421</v>
      </c>
      <c r="F2424">
        <f t="shared" ca="1" si="39"/>
        <v>-7.391981333499545E-4</v>
      </c>
    </row>
    <row r="2425" spans="5:6" x14ac:dyDescent="0.35">
      <c r="E2425">
        <v>2422</v>
      </c>
      <c r="F2425">
        <f t="shared" ca="1" si="39"/>
        <v>4.8229247108708291E-4</v>
      </c>
    </row>
    <row r="2426" spans="5:6" x14ac:dyDescent="0.35">
      <c r="E2426">
        <v>2423</v>
      </c>
      <c r="F2426">
        <f t="shared" ca="1" si="39"/>
        <v>7.9047957100139392E-3</v>
      </c>
    </row>
    <row r="2427" spans="5:6" x14ac:dyDescent="0.35">
      <c r="E2427">
        <v>2424</v>
      </c>
      <c r="F2427">
        <f t="shared" ca="1" si="39"/>
        <v>-1.375438333017498E-2</v>
      </c>
    </row>
    <row r="2428" spans="5:6" x14ac:dyDescent="0.35">
      <c r="E2428">
        <v>2425</v>
      </c>
      <c r="F2428">
        <f t="shared" ca="1" si="39"/>
        <v>1.6687575885241705E-3</v>
      </c>
    </row>
    <row r="2429" spans="5:6" x14ac:dyDescent="0.35">
      <c r="E2429">
        <v>2426</v>
      </c>
      <c r="F2429">
        <f t="shared" ca="1" si="39"/>
        <v>5.2088593561186031E-3</v>
      </c>
    </row>
    <row r="2430" spans="5:6" x14ac:dyDescent="0.35">
      <c r="E2430">
        <v>2427</v>
      </c>
      <c r="F2430">
        <f t="shared" ca="1" si="39"/>
        <v>-2.520679789886157E-3</v>
      </c>
    </row>
    <row r="2431" spans="5:6" x14ac:dyDescent="0.35">
      <c r="E2431">
        <v>2428</v>
      </c>
      <c r="F2431">
        <f t="shared" ca="1" si="39"/>
        <v>-8.0870558290850711E-4</v>
      </c>
    </row>
    <row r="2432" spans="5:6" x14ac:dyDescent="0.35">
      <c r="E2432">
        <v>2429</v>
      </c>
      <c r="F2432">
        <f t="shared" ca="1" si="39"/>
        <v>-1.7779730017778487E-3</v>
      </c>
    </row>
    <row r="2433" spans="5:6" x14ac:dyDescent="0.35">
      <c r="E2433">
        <v>2430</v>
      </c>
      <c r="F2433">
        <f t="shared" ca="1" si="39"/>
        <v>2.6382997954823701E-2</v>
      </c>
    </row>
    <row r="2434" spans="5:6" x14ac:dyDescent="0.35">
      <c r="E2434">
        <v>2431</v>
      </c>
      <c r="F2434">
        <f t="shared" ca="1" si="39"/>
        <v>-1.7603261408422156E-2</v>
      </c>
    </row>
    <row r="2435" spans="5:6" x14ac:dyDescent="0.35">
      <c r="E2435">
        <v>2432</v>
      </c>
      <c r="F2435">
        <f t="shared" ca="1" si="39"/>
        <v>1.0387896276015796E-2</v>
      </c>
    </row>
    <row r="2436" spans="5:6" x14ac:dyDescent="0.35">
      <c r="E2436">
        <v>2433</v>
      </c>
      <c r="F2436">
        <f t="shared" ca="1" si="39"/>
        <v>-2.63133240332693E-2</v>
      </c>
    </row>
    <row r="2437" spans="5:6" x14ac:dyDescent="0.35">
      <c r="E2437">
        <v>2434</v>
      </c>
      <c r="F2437">
        <f t="shared" ref="F2437:F2500" ca="1" si="40">_xlfn.NORM.INV(RAND(),M$6,M$7)</f>
        <v>8.2114717790772399E-3</v>
      </c>
    </row>
    <row r="2438" spans="5:6" x14ac:dyDescent="0.35">
      <c r="E2438">
        <v>2435</v>
      </c>
      <c r="F2438">
        <f t="shared" ca="1" si="40"/>
        <v>5.8465280052774661E-3</v>
      </c>
    </row>
    <row r="2439" spans="5:6" x14ac:dyDescent="0.35">
      <c r="E2439">
        <v>2436</v>
      </c>
      <c r="F2439">
        <f t="shared" ca="1" si="40"/>
        <v>5.3886134467042782E-3</v>
      </c>
    </row>
    <row r="2440" spans="5:6" x14ac:dyDescent="0.35">
      <c r="E2440">
        <v>2437</v>
      </c>
      <c r="F2440">
        <f t="shared" ca="1" si="40"/>
        <v>-1.0559602639156467E-2</v>
      </c>
    </row>
    <row r="2441" spans="5:6" x14ac:dyDescent="0.35">
      <c r="E2441">
        <v>2438</v>
      </c>
      <c r="F2441">
        <f t="shared" ca="1" si="40"/>
        <v>9.4960830081344625E-3</v>
      </c>
    </row>
    <row r="2442" spans="5:6" x14ac:dyDescent="0.35">
      <c r="E2442">
        <v>2439</v>
      </c>
      <c r="F2442">
        <f t="shared" ca="1" si="40"/>
        <v>-1.8710393212773426E-2</v>
      </c>
    </row>
    <row r="2443" spans="5:6" x14ac:dyDescent="0.35">
      <c r="E2443">
        <v>2440</v>
      </c>
      <c r="F2443">
        <f t="shared" ca="1" si="40"/>
        <v>2.7260778256976318E-2</v>
      </c>
    </row>
    <row r="2444" spans="5:6" x14ac:dyDescent="0.35">
      <c r="E2444">
        <v>2441</v>
      </c>
      <c r="F2444">
        <f t="shared" ca="1" si="40"/>
        <v>-6.7459543533758808E-3</v>
      </c>
    </row>
    <row r="2445" spans="5:6" x14ac:dyDescent="0.35">
      <c r="E2445">
        <v>2442</v>
      </c>
      <c r="F2445">
        <f t="shared" ca="1" si="40"/>
        <v>-1.4847339791921326E-2</v>
      </c>
    </row>
    <row r="2446" spans="5:6" x14ac:dyDescent="0.35">
      <c r="E2446">
        <v>2443</v>
      </c>
      <c r="F2446">
        <f t="shared" ca="1" si="40"/>
        <v>-2.6927159501086437E-3</v>
      </c>
    </row>
    <row r="2447" spans="5:6" x14ac:dyDescent="0.35">
      <c r="E2447">
        <v>2444</v>
      </c>
      <c r="F2447">
        <f t="shared" ca="1" si="40"/>
        <v>6.4471677343981943E-3</v>
      </c>
    </row>
    <row r="2448" spans="5:6" x14ac:dyDescent="0.35">
      <c r="E2448">
        <v>2445</v>
      </c>
      <c r="F2448">
        <f t="shared" ca="1" si="40"/>
        <v>-1.0035093967916546E-2</v>
      </c>
    </row>
    <row r="2449" spans="5:6" x14ac:dyDescent="0.35">
      <c r="E2449">
        <v>2446</v>
      </c>
      <c r="F2449">
        <f t="shared" ca="1" si="40"/>
        <v>-1.4778281616111999E-2</v>
      </c>
    </row>
    <row r="2450" spans="5:6" x14ac:dyDescent="0.35">
      <c r="E2450">
        <v>2447</v>
      </c>
      <c r="F2450">
        <f t="shared" ca="1" si="40"/>
        <v>-1.0330951587700718E-2</v>
      </c>
    </row>
    <row r="2451" spans="5:6" x14ac:dyDescent="0.35">
      <c r="E2451">
        <v>2448</v>
      </c>
      <c r="F2451">
        <f t="shared" ca="1" si="40"/>
        <v>9.2613700242906872E-3</v>
      </c>
    </row>
    <row r="2452" spans="5:6" x14ac:dyDescent="0.35">
      <c r="E2452">
        <v>2449</v>
      </c>
      <c r="F2452">
        <f t="shared" ca="1" si="40"/>
        <v>8.9168745801569659E-3</v>
      </c>
    </row>
    <row r="2453" spans="5:6" x14ac:dyDescent="0.35">
      <c r="E2453">
        <v>2450</v>
      </c>
      <c r="F2453">
        <f t="shared" ca="1" si="40"/>
        <v>-1.933393539504678E-2</v>
      </c>
    </row>
    <row r="2454" spans="5:6" x14ac:dyDescent="0.35">
      <c r="E2454">
        <v>2451</v>
      </c>
      <c r="F2454">
        <f t="shared" ca="1" si="40"/>
        <v>-6.4050720099540484E-3</v>
      </c>
    </row>
    <row r="2455" spans="5:6" x14ac:dyDescent="0.35">
      <c r="E2455">
        <v>2452</v>
      </c>
      <c r="F2455">
        <f t="shared" ca="1" si="40"/>
        <v>-1.737081032737189E-2</v>
      </c>
    </row>
    <row r="2456" spans="5:6" x14ac:dyDescent="0.35">
      <c r="E2456">
        <v>2453</v>
      </c>
      <c r="F2456">
        <f t="shared" ca="1" si="40"/>
        <v>-1.0024271410419621E-2</v>
      </c>
    </row>
    <row r="2457" spans="5:6" x14ac:dyDescent="0.35">
      <c r="E2457">
        <v>2454</v>
      </c>
      <c r="F2457">
        <f t="shared" ca="1" si="40"/>
        <v>-2.6577922467805822E-2</v>
      </c>
    </row>
    <row r="2458" spans="5:6" x14ac:dyDescent="0.35">
      <c r="E2458">
        <v>2455</v>
      </c>
      <c r="F2458">
        <f t="shared" ca="1" si="40"/>
        <v>-3.4678252238891344E-2</v>
      </c>
    </row>
    <row r="2459" spans="5:6" x14ac:dyDescent="0.35">
      <c r="E2459">
        <v>2456</v>
      </c>
      <c r="F2459">
        <f t="shared" ca="1" si="40"/>
        <v>-1.4328762282164179E-2</v>
      </c>
    </row>
    <row r="2460" spans="5:6" x14ac:dyDescent="0.35">
      <c r="E2460">
        <v>2457</v>
      </c>
      <c r="F2460">
        <f t="shared" ca="1" si="40"/>
        <v>-1.3291363385545171E-2</v>
      </c>
    </row>
    <row r="2461" spans="5:6" x14ac:dyDescent="0.35">
      <c r="E2461">
        <v>2458</v>
      </c>
      <c r="F2461">
        <f t="shared" ca="1" si="40"/>
        <v>2.0501941242874046E-2</v>
      </c>
    </row>
    <row r="2462" spans="5:6" x14ac:dyDescent="0.35">
      <c r="E2462">
        <v>2459</v>
      </c>
      <c r="F2462">
        <f t="shared" ca="1" si="40"/>
        <v>1.8595680332144829E-2</v>
      </c>
    </row>
    <row r="2463" spans="5:6" x14ac:dyDescent="0.35">
      <c r="E2463">
        <v>2460</v>
      </c>
      <c r="F2463">
        <f t="shared" ca="1" si="40"/>
        <v>2.7687975880189581E-2</v>
      </c>
    </row>
    <row r="2464" spans="5:6" x14ac:dyDescent="0.35">
      <c r="E2464">
        <v>2461</v>
      </c>
      <c r="F2464">
        <f t="shared" ca="1" si="40"/>
        <v>8.6049333378322209E-3</v>
      </c>
    </row>
    <row r="2465" spans="5:6" x14ac:dyDescent="0.35">
      <c r="E2465">
        <v>2462</v>
      </c>
      <c r="F2465">
        <f t="shared" ca="1" si="40"/>
        <v>1.9537799768236698E-2</v>
      </c>
    </row>
    <row r="2466" spans="5:6" x14ac:dyDescent="0.35">
      <c r="E2466">
        <v>2463</v>
      </c>
      <c r="F2466">
        <f t="shared" ca="1" si="40"/>
        <v>1.2675533276414947E-3</v>
      </c>
    </row>
    <row r="2467" spans="5:6" x14ac:dyDescent="0.35">
      <c r="E2467">
        <v>2464</v>
      </c>
      <c r="F2467">
        <f t="shared" ca="1" si="40"/>
        <v>3.1521738531937586E-3</v>
      </c>
    </row>
    <row r="2468" spans="5:6" x14ac:dyDescent="0.35">
      <c r="E2468">
        <v>2465</v>
      </c>
      <c r="F2468">
        <f t="shared" ca="1" si="40"/>
        <v>4.3986017993634186E-3</v>
      </c>
    </row>
    <row r="2469" spans="5:6" x14ac:dyDescent="0.35">
      <c r="E2469">
        <v>2466</v>
      </c>
      <c r="F2469">
        <f t="shared" ca="1" si="40"/>
        <v>-1.6892278702997508E-2</v>
      </c>
    </row>
    <row r="2470" spans="5:6" x14ac:dyDescent="0.35">
      <c r="E2470">
        <v>2467</v>
      </c>
      <c r="F2470">
        <f t="shared" ca="1" si="40"/>
        <v>-4.466216781722725E-3</v>
      </c>
    </row>
    <row r="2471" spans="5:6" x14ac:dyDescent="0.35">
      <c r="E2471">
        <v>2468</v>
      </c>
      <c r="F2471">
        <f t="shared" ca="1" si="40"/>
        <v>1.0089199788335527E-2</v>
      </c>
    </row>
    <row r="2472" spans="5:6" x14ac:dyDescent="0.35">
      <c r="E2472">
        <v>2469</v>
      </c>
      <c r="F2472">
        <f t="shared" ca="1" si="40"/>
        <v>-1.2701578191541822E-2</v>
      </c>
    </row>
    <row r="2473" spans="5:6" x14ac:dyDescent="0.35">
      <c r="E2473">
        <v>2470</v>
      </c>
      <c r="F2473">
        <f t="shared" ca="1" si="40"/>
        <v>-1.6405896246328322E-2</v>
      </c>
    </row>
    <row r="2474" spans="5:6" x14ac:dyDescent="0.35">
      <c r="E2474">
        <v>2471</v>
      </c>
      <c r="F2474">
        <f t="shared" ca="1" si="40"/>
        <v>1.155278383918203E-2</v>
      </c>
    </row>
    <row r="2475" spans="5:6" x14ac:dyDescent="0.35">
      <c r="E2475">
        <v>2472</v>
      </c>
      <c r="F2475">
        <f t="shared" ca="1" si="40"/>
        <v>3.4658955487056483E-3</v>
      </c>
    </row>
    <row r="2476" spans="5:6" x14ac:dyDescent="0.35">
      <c r="E2476">
        <v>2473</v>
      </c>
      <c r="F2476">
        <f t="shared" ca="1" si="40"/>
        <v>1.2326595406645732E-2</v>
      </c>
    </row>
    <row r="2477" spans="5:6" x14ac:dyDescent="0.35">
      <c r="E2477">
        <v>2474</v>
      </c>
      <c r="F2477">
        <f t="shared" ca="1" si="40"/>
        <v>-2.3737720001400391E-2</v>
      </c>
    </row>
    <row r="2478" spans="5:6" x14ac:dyDescent="0.35">
      <c r="E2478">
        <v>2475</v>
      </c>
      <c r="F2478">
        <f t="shared" ca="1" si="40"/>
        <v>-2.0479180877525559E-2</v>
      </c>
    </row>
    <row r="2479" spans="5:6" x14ac:dyDescent="0.35">
      <c r="E2479">
        <v>2476</v>
      </c>
      <c r="F2479">
        <f t="shared" ca="1" si="40"/>
        <v>6.5447490879779191E-3</v>
      </c>
    </row>
    <row r="2480" spans="5:6" x14ac:dyDescent="0.35">
      <c r="E2480">
        <v>2477</v>
      </c>
      <c r="F2480">
        <f t="shared" ca="1" si="40"/>
        <v>-3.1687450877634339E-2</v>
      </c>
    </row>
    <row r="2481" spans="5:6" x14ac:dyDescent="0.35">
      <c r="E2481">
        <v>2478</v>
      </c>
      <c r="F2481">
        <f t="shared" ca="1" si="40"/>
        <v>1.1152550265502529E-2</v>
      </c>
    </row>
    <row r="2482" spans="5:6" x14ac:dyDescent="0.35">
      <c r="E2482">
        <v>2479</v>
      </c>
      <c r="F2482">
        <f t="shared" ca="1" si="40"/>
        <v>2.6334828567012365E-2</v>
      </c>
    </row>
    <row r="2483" spans="5:6" x14ac:dyDescent="0.35">
      <c r="E2483">
        <v>2480</v>
      </c>
      <c r="F2483">
        <f t="shared" ca="1" si="40"/>
        <v>-2.9509225297840155E-2</v>
      </c>
    </row>
    <row r="2484" spans="5:6" x14ac:dyDescent="0.35">
      <c r="E2484">
        <v>2481</v>
      </c>
      <c r="F2484">
        <f t="shared" ca="1" si="40"/>
        <v>2.2344889270019309E-2</v>
      </c>
    </row>
    <row r="2485" spans="5:6" x14ac:dyDescent="0.35">
      <c r="E2485">
        <v>2482</v>
      </c>
      <c r="F2485">
        <f t="shared" ca="1" si="40"/>
        <v>-1.1284015710983553E-2</v>
      </c>
    </row>
    <row r="2486" spans="5:6" x14ac:dyDescent="0.35">
      <c r="E2486">
        <v>2483</v>
      </c>
      <c r="F2486">
        <f t="shared" ca="1" si="40"/>
        <v>-2.0844483399655566E-2</v>
      </c>
    </row>
    <row r="2487" spans="5:6" x14ac:dyDescent="0.35">
      <c r="E2487">
        <v>2484</v>
      </c>
      <c r="F2487">
        <f t="shared" ca="1" si="40"/>
        <v>2.3902893071997718E-2</v>
      </c>
    </row>
    <row r="2488" spans="5:6" x14ac:dyDescent="0.35">
      <c r="E2488">
        <v>2485</v>
      </c>
      <c r="F2488">
        <f t="shared" ca="1" si="40"/>
        <v>-6.2588776398136937E-3</v>
      </c>
    </row>
    <row r="2489" spans="5:6" x14ac:dyDescent="0.35">
      <c r="E2489">
        <v>2486</v>
      </c>
      <c r="F2489">
        <f t="shared" ca="1" si="40"/>
        <v>-8.8023823171149203E-3</v>
      </c>
    </row>
    <row r="2490" spans="5:6" x14ac:dyDescent="0.35">
      <c r="E2490">
        <v>2487</v>
      </c>
      <c r="F2490">
        <f t="shared" ca="1" si="40"/>
        <v>2.9301465375156894E-2</v>
      </c>
    </row>
    <row r="2491" spans="5:6" x14ac:dyDescent="0.35">
      <c r="E2491">
        <v>2488</v>
      </c>
      <c r="F2491">
        <f t="shared" ca="1" si="40"/>
        <v>-1.1756754030250218E-2</v>
      </c>
    </row>
    <row r="2492" spans="5:6" x14ac:dyDescent="0.35">
      <c r="E2492">
        <v>2489</v>
      </c>
      <c r="F2492">
        <f t="shared" ca="1" si="40"/>
        <v>-2.8652887014742084E-4</v>
      </c>
    </row>
    <row r="2493" spans="5:6" x14ac:dyDescent="0.35">
      <c r="E2493">
        <v>2490</v>
      </c>
      <c r="F2493">
        <f t="shared" ca="1" si="40"/>
        <v>-5.1785133884663173E-3</v>
      </c>
    </row>
    <row r="2494" spans="5:6" x14ac:dyDescent="0.35">
      <c r="E2494">
        <v>2491</v>
      </c>
      <c r="F2494">
        <f t="shared" ca="1" si="40"/>
        <v>1.8699612526445037E-3</v>
      </c>
    </row>
    <row r="2495" spans="5:6" x14ac:dyDescent="0.35">
      <c r="E2495">
        <v>2492</v>
      </c>
      <c r="F2495">
        <f t="shared" ca="1" si="40"/>
        <v>7.8694668485999562E-3</v>
      </c>
    </row>
    <row r="2496" spans="5:6" x14ac:dyDescent="0.35">
      <c r="E2496">
        <v>2493</v>
      </c>
      <c r="F2496">
        <f t="shared" ca="1" si="40"/>
        <v>-1.2425160800706795E-2</v>
      </c>
    </row>
    <row r="2497" spans="5:6" x14ac:dyDescent="0.35">
      <c r="E2497">
        <v>2494</v>
      </c>
      <c r="F2497">
        <f t="shared" ca="1" si="40"/>
        <v>-3.5536384909691885E-3</v>
      </c>
    </row>
    <row r="2498" spans="5:6" x14ac:dyDescent="0.35">
      <c r="E2498">
        <v>2495</v>
      </c>
      <c r="F2498">
        <f t="shared" ca="1" si="40"/>
        <v>4.6974359932612448E-3</v>
      </c>
    </row>
    <row r="2499" spans="5:6" x14ac:dyDescent="0.35">
      <c r="E2499">
        <v>2496</v>
      </c>
      <c r="F2499">
        <f t="shared" ca="1" si="40"/>
        <v>-2.3178562910667545E-2</v>
      </c>
    </row>
    <row r="2500" spans="5:6" x14ac:dyDescent="0.35">
      <c r="E2500">
        <v>2497</v>
      </c>
      <c r="F2500">
        <f t="shared" ca="1" si="40"/>
        <v>1.4436269356486104E-2</v>
      </c>
    </row>
    <row r="2501" spans="5:6" x14ac:dyDescent="0.35">
      <c r="E2501">
        <v>2498</v>
      </c>
      <c r="F2501">
        <f t="shared" ref="F2501:F2564" ca="1" si="41">_xlfn.NORM.INV(RAND(),M$6,M$7)</f>
        <v>2.3239926002846242E-2</v>
      </c>
    </row>
    <row r="2502" spans="5:6" x14ac:dyDescent="0.35">
      <c r="E2502">
        <v>2499</v>
      </c>
      <c r="F2502">
        <f t="shared" ca="1" si="41"/>
        <v>3.7390442491374914E-3</v>
      </c>
    </row>
    <row r="2503" spans="5:6" x14ac:dyDescent="0.35">
      <c r="E2503">
        <v>2500</v>
      </c>
      <c r="F2503">
        <f t="shared" ca="1" si="41"/>
        <v>2.3934664558080489E-2</v>
      </c>
    </row>
    <row r="2504" spans="5:6" x14ac:dyDescent="0.35">
      <c r="E2504">
        <v>2501</v>
      </c>
      <c r="F2504">
        <f t="shared" ca="1" si="41"/>
        <v>-5.1472207313080082E-3</v>
      </c>
    </row>
    <row r="2505" spans="5:6" x14ac:dyDescent="0.35">
      <c r="E2505">
        <v>2502</v>
      </c>
      <c r="F2505">
        <f t="shared" ca="1" si="41"/>
        <v>2.4097655158555206E-2</v>
      </c>
    </row>
    <row r="2506" spans="5:6" x14ac:dyDescent="0.35">
      <c r="E2506">
        <v>2503</v>
      </c>
      <c r="F2506">
        <f t="shared" ca="1" si="41"/>
        <v>1.9106029445307534E-2</v>
      </c>
    </row>
    <row r="2507" spans="5:6" x14ac:dyDescent="0.35">
      <c r="E2507">
        <v>2504</v>
      </c>
      <c r="F2507">
        <f t="shared" ca="1" si="41"/>
        <v>-2.3947615429087449E-3</v>
      </c>
    </row>
    <row r="2508" spans="5:6" x14ac:dyDescent="0.35">
      <c r="E2508">
        <v>2505</v>
      </c>
      <c r="F2508">
        <f t="shared" ca="1" si="41"/>
        <v>-5.9853757209857809E-3</v>
      </c>
    </row>
    <row r="2509" spans="5:6" x14ac:dyDescent="0.35">
      <c r="E2509">
        <v>2506</v>
      </c>
      <c r="F2509">
        <f t="shared" ca="1" si="41"/>
        <v>-9.8027549677341154E-3</v>
      </c>
    </row>
    <row r="2510" spans="5:6" x14ac:dyDescent="0.35">
      <c r="E2510">
        <v>2507</v>
      </c>
      <c r="F2510">
        <f t="shared" ca="1" si="41"/>
        <v>-5.0530529060789824E-3</v>
      </c>
    </row>
    <row r="2511" spans="5:6" x14ac:dyDescent="0.35">
      <c r="E2511">
        <v>2508</v>
      </c>
      <c r="F2511">
        <f t="shared" ca="1" si="41"/>
        <v>5.2347103349003792E-3</v>
      </c>
    </row>
    <row r="2512" spans="5:6" x14ac:dyDescent="0.35">
      <c r="E2512">
        <v>2509</v>
      </c>
      <c r="F2512">
        <f t="shared" ca="1" si="41"/>
        <v>-2.4082289004603847E-3</v>
      </c>
    </row>
    <row r="2513" spans="5:6" x14ac:dyDescent="0.35">
      <c r="E2513">
        <v>2510</v>
      </c>
      <c r="F2513">
        <f t="shared" ca="1" si="41"/>
        <v>4.1422660266878016E-3</v>
      </c>
    </row>
    <row r="2514" spans="5:6" x14ac:dyDescent="0.35">
      <c r="E2514">
        <v>2511</v>
      </c>
      <c r="F2514">
        <f t="shared" ca="1" si="41"/>
        <v>6.3686428662083601E-4</v>
      </c>
    </row>
    <row r="2515" spans="5:6" x14ac:dyDescent="0.35">
      <c r="E2515">
        <v>2512</v>
      </c>
      <c r="F2515">
        <f t="shared" ca="1" si="41"/>
        <v>2.3053442954160435E-2</v>
      </c>
    </row>
    <row r="2516" spans="5:6" x14ac:dyDescent="0.35">
      <c r="E2516">
        <v>2513</v>
      </c>
      <c r="F2516">
        <f t="shared" ca="1" si="41"/>
        <v>-8.0669740551322471E-3</v>
      </c>
    </row>
    <row r="2517" spans="5:6" x14ac:dyDescent="0.35">
      <c r="E2517">
        <v>2514</v>
      </c>
      <c r="F2517">
        <f t="shared" ca="1" si="41"/>
        <v>-8.9388141543470228E-3</v>
      </c>
    </row>
    <row r="2518" spans="5:6" x14ac:dyDescent="0.35">
      <c r="E2518">
        <v>2515</v>
      </c>
      <c r="F2518">
        <f t="shared" ca="1" si="41"/>
        <v>-1.0122413368791518E-3</v>
      </c>
    </row>
    <row r="2519" spans="5:6" x14ac:dyDescent="0.35">
      <c r="E2519">
        <v>2516</v>
      </c>
      <c r="F2519">
        <f t="shared" ca="1" si="41"/>
        <v>-2.1659280389578314E-2</v>
      </c>
    </row>
    <row r="2520" spans="5:6" x14ac:dyDescent="0.35">
      <c r="E2520">
        <v>2517</v>
      </c>
      <c r="F2520">
        <f t="shared" ca="1" si="41"/>
        <v>-1.2500026072356554E-2</v>
      </c>
    </row>
    <row r="2521" spans="5:6" x14ac:dyDescent="0.35">
      <c r="E2521">
        <v>2518</v>
      </c>
      <c r="F2521">
        <f t="shared" ca="1" si="41"/>
        <v>-6.6115538007895866E-3</v>
      </c>
    </row>
    <row r="2522" spans="5:6" x14ac:dyDescent="0.35">
      <c r="E2522">
        <v>2519</v>
      </c>
      <c r="F2522">
        <f t="shared" ca="1" si="41"/>
        <v>1.2545272199695307E-2</v>
      </c>
    </row>
    <row r="2523" spans="5:6" x14ac:dyDescent="0.35">
      <c r="E2523">
        <v>2520</v>
      </c>
      <c r="F2523">
        <f t="shared" ca="1" si="41"/>
        <v>1.3643152378410428E-2</v>
      </c>
    </row>
    <row r="2524" spans="5:6" x14ac:dyDescent="0.35">
      <c r="E2524">
        <v>2521</v>
      </c>
      <c r="F2524">
        <f t="shared" ca="1" si="41"/>
        <v>-2.4742319482402027E-2</v>
      </c>
    </row>
    <row r="2525" spans="5:6" x14ac:dyDescent="0.35">
      <c r="E2525">
        <v>2522</v>
      </c>
      <c r="F2525">
        <f t="shared" ca="1" si="41"/>
        <v>-2.5864079657369125E-3</v>
      </c>
    </row>
    <row r="2526" spans="5:6" x14ac:dyDescent="0.35">
      <c r="E2526">
        <v>2523</v>
      </c>
      <c r="F2526">
        <f t="shared" ca="1" si="41"/>
        <v>1.8565149706486893E-2</v>
      </c>
    </row>
    <row r="2527" spans="5:6" x14ac:dyDescent="0.35">
      <c r="E2527">
        <v>2524</v>
      </c>
      <c r="F2527">
        <f t="shared" ca="1" si="41"/>
        <v>8.0215359630061902E-3</v>
      </c>
    </row>
    <row r="2528" spans="5:6" x14ac:dyDescent="0.35">
      <c r="E2528">
        <v>2525</v>
      </c>
      <c r="F2528">
        <f t="shared" ca="1" si="41"/>
        <v>-2.0115367057679952E-3</v>
      </c>
    </row>
    <row r="2529" spans="5:6" x14ac:dyDescent="0.35">
      <c r="E2529">
        <v>2526</v>
      </c>
      <c r="F2529">
        <f t="shared" ca="1" si="41"/>
        <v>1.4742610267671251E-2</v>
      </c>
    </row>
    <row r="2530" spans="5:6" x14ac:dyDescent="0.35">
      <c r="E2530">
        <v>2527</v>
      </c>
      <c r="F2530">
        <f t="shared" ca="1" si="41"/>
        <v>-5.8420887316488566E-3</v>
      </c>
    </row>
    <row r="2531" spans="5:6" x14ac:dyDescent="0.35">
      <c r="E2531">
        <v>2528</v>
      </c>
      <c r="F2531">
        <f t="shared" ca="1" si="41"/>
        <v>1.5951121956742451E-2</v>
      </c>
    </row>
    <row r="2532" spans="5:6" x14ac:dyDescent="0.35">
      <c r="E2532">
        <v>2529</v>
      </c>
      <c r="F2532">
        <f t="shared" ca="1" si="41"/>
        <v>1.9081013462986293E-2</v>
      </c>
    </row>
    <row r="2533" spans="5:6" x14ac:dyDescent="0.35">
      <c r="E2533">
        <v>2530</v>
      </c>
      <c r="F2533">
        <f t="shared" ca="1" si="41"/>
        <v>2.2197258599134625E-2</v>
      </c>
    </row>
    <row r="2534" spans="5:6" x14ac:dyDescent="0.35">
      <c r="E2534">
        <v>2531</v>
      </c>
      <c r="F2534">
        <f t="shared" ca="1" si="41"/>
        <v>-3.0212445564729407E-2</v>
      </c>
    </row>
    <row r="2535" spans="5:6" x14ac:dyDescent="0.35">
      <c r="E2535">
        <v>2532</v>
      </c>
      <c r="F2535">
        <f t="shared" ca="1" si="41"/>
        <v>2.2958521070954661E-2</v>
      </c>
    </row>
    <row r="2536" spans="5:6" x14ac:dyDescent="0.35">
      <c r="E2536">
        <v>2533</v>
      </c>
      <c r="F2536">
        <f t="shared" ca="1" si="41"/>
        <v>-1.1248227236367654E-2</v>
      </c>
    </row>
    <row r="2537" spans="5:6" x14ac:dyDescent="0.35">
      <c r="E2537">
        <v>2534</v>
      </c>
      <c r="F2537">
        <f t="shared" ca="1" si="41"/>
        <v>-1.0069856315513073E-3</v>
      </c>
    </row>
    <row r="2538" spans="5:6" x14ac:dyDescent="0.35">
      <c r="E2538">
        <v>2535</v>
      </c>
      <c r="F2538">
        <f t="shared" ca="1" si="41"/>
        <v>-2.4315090854426917E-3</v>
      </c>
    </row>
    <row r="2539" spans="5:6" x14ac:dyDescent="0.35">
      <c r="E2539">
        <v>2536</v>
      </c>
      <c r="F2539">
        <f t="shared" ca="1" si="41"/>
        <v>-6.1093416282682446E-3</v>
      </c>
    </row>
    <row r="2540" spans="5:6" x14ac:dyDescent="0.35">
      <c r="E2540">
        <v>2537</v>
      </c>
      <c r="F2540">
        <f t="shared" ca="1" si="41"/>
        <v>7.2695747091316544E-3</v>
      </c>
    </row>
    <row r="2541" spans="5:6" x14ac:dyDescent="0.35">
      <c r="E2541">
        <v>2538</v>
      </c>
      <c r="F2541">
        <f t="shared" ca="1" si="41"/>
        <v>-1.2713643525201056E-2</v>
      </c>
    </row>
    <row r="2542" spans="5:6" x14ac:dyDescent="0.35">
      <c r="E2542">
        <v>2539</v>
      </c>
      <c r="F2542">
        <f t="shared" ca="1" si="41"/>
        <v>2.091066612681337E-2</v>
      </c>
    </row>
    <row r="2543" spans="5:6" x14ac:dyDescent="0.35">
      <c r="E2543">
        <v>2540</v>
      </c>
      <c r="F2543">
        <f t="shared" ca="1" si="41"/>
        <v>2.5590102707914522E-2</v>
      </c>
    </row>
    <row r="2544" spans="5:6" x14ac:dyDescent="0.35">
      <c r="E2544">
        <v>2541</v>
      </c>
      <c r="F2544">
        <f t="shared" ca="1" si="41"/>
        <v>-2.0675473438615529E-2</v>
      </c>
    </row>
    <row r="2545" spans="5:6" x14ac:dyDescent="0.35">
      <c r="E2545">
        <v>2542</v>
      </c>
      <c r="F2545">
        <f t="shared" ca="1" si="41"/>
        <v>-7.6652140108581547E-3</v>
      </c>
    </row>
    <row r="2546" spans="5:6" x14ac:dyDescent="0.35">
      <c r="E2546">
        <v>2543</v>
      </c>
      <c r="F2546">
        <f t="shared" ca="1" si="41"/>
        <v>-2.5901839792287839E-2</v>
      </c>
    </row>
    <row r="2547" spans="5:6" x14ac:dyDescent="0.35">
      <c r="E2547">
        <v>2544</v>
      </c>
      <c r="F2547">
        <f t="shared" ca="1" si="41"/>
        <v>7.9128061436008245E-4</v>
      </c>
    </row>
    <row r="2548" spans="5:6" x14ac:dyDescent="0.35">
      <c r="E2548">
        <v>2545</v>
      </c>
      <c r="F2548">
        <f t="shared" ca="1" si="41"/>
        <v>6.8761409892575641E-3</v>
      </c>
    </row>
    <row r="2549" spans="5:6" x14ac:dyDescent="0.35">
      <c r="E2549">
        <v>2546</v>
      </c>
      <c r="F2549">
        <f t="shared" ca="1" si="41"/>
        <v>5.1501520711815432E-3</v>
      </c>
    </row>
    <row r="2550" spans="5:6" x14ac:dyDescent="0.35">
      <c r="E2550">
        <v>2547</v>
      </c>
      <c r="F2550">
        <f t="shared" ca="1" si="41"/>
        <v>-7.1335011424157723E-3</v>
      </c>
    </row>
    <row r="2551" spans="5:6" x14ac:dyDescent="0.35">
      <c r="E2551">
        <v>2548</v>
      </c>
      <c r="F2551">
        <f t="shared" ca="1" si="41"/>
        <v>-1.0232180149527228E-2</v>
      </c>
    </row>
    <row r="2552" spans="5:6" x14ac:dyDescent="0.35">
      <c r="E2552">
        <v>2549</v>
      </c>
      <c r="F2552">
        <f t="shared" ca="1" si="41"/>
        <v>1.1722448831484418E-2</v>
      </c>
    </row>
    <row r="2553" spans="5:6" x14ac:dyDescent="0.35">
      <c r="E2553">
        <v>2550</v>
      </c>
      <c r="F2553">
        <f t="shared" ca="1" si="41"/>
        <v>2.6866106469736271E-2</v>
      </c>
    </row>
    <row r="2554" spans="5:6" x14ac:dyDescent="0.35">
      <c r="E2554">
        <v>2551</v>
      </c>
      <c r="F2554">
        <f t="shared" ca="1" si="41"/>
        <v>-4.5511780582744741E-3</v>
      </c>
    </row>
    <row r="2555" spans="5:6" x14ac:dyDescent="0.35">
      <c r="E2555">
        <v>2552</v>
      </c>
      <c r="F2555">
        <f t="shared" ca="1" si="41"/>
        <v>1.3883384464008285E-2</v>
      </c>
    </row>
    <row r="2556" spans="5:6" x14ac:dyDescent="0.35">
      <c r="E2556">
        <v>2553</v>
      </c>
      <c r="F2556">
        <f t="shared" ca="1" si="41"/>
        <v>-8.2414449496553011E-3</v>
      </c>
    </row>
    <row r="2557" spans="5:6" x14ac:dyDescent="0.35">
      <c r="E2557">
        <v>2554</v>
      </c>
      <c r="F2557">
        <f t="shared" ca="1" si="41"/>
        <v>2.3227923205268917E-2</v>
      </c>
    </row>
    <row r="2558" spans="5:6" x14ac:dyDescent="0.35">
      <c r="E2558">
        <v>2555</v>
      </c>
      <c r="F2558">
        <f t="shared" ca="1" si="41"/>
        <v>-3.4054849269908117E-3</v>
      </c>
    </row>
    <row r="2559" spans="5:6" x14ac:dyDescent="0.35">
      <c r="E2559">
        <v>2556</v>
      </c>
      <c r="F2559">
        <f t="shared" ca="1" si="41"/>
        <v>-6.1349026979999931E-3</v>
      </c>
    </row>
    <row r="2560" spans="5:6" x14ac:dyDescent="0.35">
      <c r="E2560">
        <v>2557</v>
      </c>
      <c r="F2560">
        <f t="shared" ca="1" si="41"/>
        <v>1.4580671645687857E-2</v>
      </c>
    </row>
    <row r="2561" spans="5:6" x14ac:dyDescent="0.35">
      <c r="E2561">
        <v>2558</v>
      </c>
      <c r="F2561">
        <f t="shared" ca="1" si="41"/>
        <v>-8.150120988055341E-3</v>
      </c>
    </row>
    <row r="2562" spans="5:6" x14ac:dyDescent="0.35">
      <c r="E2562">
        <v>2559</v>
      </c>
      <c r="F2562">
        <f t="shared" ca="1" si="41"/>
        <v>-2.9691400856820864E-2</v>
      </c>
    </row>
    <row r="2563" spans="5:6" x14ac:dyDescent="0.35">
      <c r="E2563">
        <v>2560</v>
      </c>
      <c r="F2563">
        <f t="shared" ca="1" si="41"/>
        <v>1.3369970966408677E-2</v>
      </c>
    </row>
    <row r="2564" spans="5:6" x14ac:dyDescent="0.35">
      <c r="E2564">
        <v>2561</v>
      </c>
      <c r="F2564">
        <f t="shared" ca="1" si="41"/>
        <v>-2.3564018475898233E-2</v>
      </c>
    </row>
    <row r="2565" spans="5:6" x14ac:dyDescent="0.35">
      <c r="E2565">
        <v>2562</v>
      </c>
      <c r="F2565">
        <f t="shared" ref="F2565:F2628" ca="1" si="42">_xlfn.NORM.INV(RAND(),M$6,M$7)</f>
        <v>5.9633304698913903E-4</v>
      </c>
    </row>
    <row r="2566" spans="5:6" x14ac:dyDescent="0.35">
      <c r="E2566">
        <v>2563</v>
      </c>
      <c r="F2566">
        <f t="shared" ca="1" si="42"/>
        <v>1.2204170864981686E-2</v>
      </c>
    </row>
    <row r="2567" spans="5:6" x14ac:dyDescent="0.35">
      <c r="E2567">
        <v>2564</v>
      </c>
      <c r="F2567">
        <f t="shared" ca="1" si="42"/>
        <v>6.9702560123234411E-3</v>
      </c>
    </row>
    <row r="2568" spans="5:6" x14ac:dyDescent="0.35">
      <c r="E2568">
        <v>2565</v>
      </c>
      <c r="F2568">
        <f t="shared" ca="1" si="42"/>
        <v>5.3753626504786422E-3</v>
      </c>
    </row>
    <row r="2569" spans="5:6" x14ac:dyDescent="0.35">
      <c r="E2569">
        <v>2566</v>
      </c>
      <c r="F2569">
        <f t="shared" ca="1" si="42"/>
        <v>6.1201377241645524E-3</v>
      </c>
    </row>
    <row r="2570" spans="5:6" x14ac:dyDescent="0.35">
      <c r="E2570">
        <v>2567</v>
      </c>
      <c r="F2570">
        <f t="shared" ca="1" si="42"/>
        <v>-3.6713486969369567E-2</v>
      </c>
    </row>
    <row r="2571" spans="5:6" x14ac:dyDescent="0.35">
      <c r="E2571">
        <v>2568</v>
      </c>
      <c r="F2571">
        <f t="shared" ca="1" si="42"/>
        <v>1.2320262004939192E-2</v>
      </c>
    </row>
    <row r="2572" spans="5:6" x14ac:dyDescent="0.35">
      <c r="E2572">
        <v>2569</v>
      </c>
      <c r="F2572">
        <f t="shared" ca="1" si="42"/>
        <v>1.8955537724437966E-2</v>
      </c>
    </row>
    <row r="2573" spans="5:6" x14ac:dyDescent="0.35">
      <c r="E2573">
        <v>2570</v>
      </c>
      <c r="F2573">
        <f t="shared" ca="1" si="42"/>
        <v>3.454130825318561E-3</v>
      </c>
    </row>
    <row r="2574" spans="5:6" x14ac:dyDescent="0.35">
      <c r="E2574">
        <v>2571</v>
      </c>
      <c r="F2574">
        <f t="shared" ca="1" si="42"/>
        <v>-2.0052945990021758E-2</v>
      </c>
    </row>
    <row r="2575" spans="5:6" x14ac:dyDescent="0.35">
      <c r="E2575">
        <v>2572</v>
      </c>
      <c r="F2575">
        <f t="shared" ca="1" si="42"/>
        <v>3.0610543921967071E-4</v>
      </c>
    </row>
    <row r="2576" spans="5:6" x14ac:dyDescent="0.35">
      <c r="E2576">
        <v>2573</v>
      </c>
      <c r="F2576">
        <f t="shared" ca="1" si="42"/>
        <v>-1.3135944732211098E-3</v>
      </c>
    </row>
    <row r="2577" spans="5:6" x14ac:dyDescent="0.35">
      <c r="E2577">
        <v>2574</v>
      </c>
      <c r="F2577">
        <f t="shared" ca="1" si="42"/>
        <v>-7.4732494371600993E-3</v>
      </c>
    </row>
    <row r="2578" spans="5:6" x14ac:dyDescent="0.35">
      <c r="E2578">
        <v>2575</v>
      </c>
      <c r="F2578">
        <f t="shared" ca="1" si="42"/>
        <v>8.4082360867688607E-3</v>
      </c>
    </row>
    <row r="2579" spans="5:6" x14ac:dyDescent="0.35">
      <c r="E2579">
        <v>2576</v>
      </c>
      <c r="F2579">
        <f t="shared" ca="1" si="42"/>
        <v>-9.2637851082399518E-3</v>
      </c>
    </row>
    <row r="2580" spans="5:6" x14ac:dyDescent="0.35">
      <c r="E2580">
        <v>2577</v>
      </c>
      <c r="F2580">
        <f t="shared" ca="1" si="42"/>
        <v>-1.3981340678593308E-2</v>
      </c>
    </row>
    <row r="2581" spans="5:6" x14ac:dyDescent="0.35">
      <c r="E2581">
        <v>2578</v>
      </c>
      <c r="F2581">
        <f t="shared" ca="1" si="42"/>
        <v>8.740481417958538E-4</v>
      </c>
    </row>
    <row r="2582" spans="5:6" x14ac:dyDescent="0.35">
      <c r="E2582">
        <v>2579</v>
      </c>
      <c r="F2582">
        <f t="shared" ca="1" si="42"/>
        <v>-1.2402314508887161E-2</v>
      </c>
    </row>
    <row r="2583" spans="5:6" x14ac:dyDescent="0.35">
      <c r="E2583">
        <v>2580</v>
      </c>
      <c r="F2583">
        <f t="shared" ca="1" si="42"/>
        <v>-7.5442406193454419E-3</v>
      </c>
    </row>
    <row r="2584" spans="5:6" x14ac:dyDescent="0.35">
      <c r="E2584">
        <v>2581</v>
      </c>
      <c r="F2584">
        <f t="shared" ca="1" si="42"/>
        <v>1.4635341866221712E-2</v>
      </c>
    </row>
    <row r="2585" spans="5:6" x14ac:dyDescent="0.35">
      <c r="E2585">
        <v>2582</v>
      </c>
      <c r="F2585">
        <f t="shared" ca="1" si="42"/>
        <v>-1.2768411909229516E-3</v>
      </c>
    </row>
    <row r="2586" spans="5:6" x14ac:dyDescent="0.35">
      <c r="E2586">
        <v>2583</v>
      </c>
      <c r="F2586">
        <f t="shared" ca="1" si="42"/>
        <v>4.4169602113957311E-2</v>
      </c>
    </row>
    <row r="2587" spans="5:6" x14ac:dyDescent="0.35">
      <c r="E2587">
        <v>2584</v>
      </c>
      <c r="F2587">
        <f t="shared" ca="1" si="42"/>
        <v>-1.6327059252105175E-3</v>
      </c>
    </row>
    <row r="2588" spans="5:6" x14ac:dyDescent="0.35">
      <c r="E2588">
        <v>2585</v>
      </c>
      <c r="F2588">
        <f t="shared" ca="1" si="42"/>
        <v>3.490781196531215E-3</v>
      </c>
    </row>
    <row r="2589" spans="5:6" x14ac:dyDescent="0.35">
      <c r="E2589">
        <v>2586</v>
      </c>
      <c r="F2589">
        <f t="shared" ca="1" si="42"/>
        <v>1.3409038624483194E-2</v>
      </c>
    </row>
    <row r="2590" spans="5:6" x14ac:dyDescent="0.35">
      <c r="E2590">
        <v>2587</v>
      </c>
      <c r="F2590">
        <f t="shared" ca="1" si="42"/>
        <v>6.9451608868806181E-3</v>
      </c>
    </row>
    <row r="2591" spans="5:6" x14ac:dyDescent="0.35">
      <c r="E2591">
        <v>2588</v>
      </c>
      <c r="F2591">
        <f t="shared" ca="1" si="42"/>
        <v>-1.8619210937528846E-4</v>
      </c>
    </row>
    <row r="2592" spans="5:6" x14ac:dyDescent="0.35">
      <c r="E2592">
        <v>2589</v>
      </c>
      <c r="F2592">
        <f t="shared" ca="1" si="42"/>
        <v>-1.1859466002522856E-2</v>
      </c>
    </row>
    <row r="2593" spans="5:6" x14ac:dyDescent="0.35">
      <c r="E2593">
        <v>2590</v>
      </c>
      <c r="F2593">
        <f t="shared" ca="1" si="42"/>
        <v>3.0282888487047398E-3</v>
      </c>
    </row>
    <row r="2594" spans="5:6" x14ac:dyDescent="0.35">
      <c r="E2594">
        <v>2591</v>
      </c>
      <c r="F2594">
        <f t="shared" ca="1" si="42"/>
        <v>-4.0355065943967752E-3</v>
      </c>
    </row>
    <row r="2595" spans="5:6" x14ac:dyDescent="0.35">
      <c r="E2595">
        <v>2592</v>
      </c>
      <c r="F2595">
        <f t="shared" ca="1" si="42"/>
        <v>-2.2700144760305348E-2</v>
      </c>
    </row>
    <row r="2596" spans="5:6" x14ac:dyDescent="0.35">
      <c r="E2596">
        <v>2593</v>
      </c>
      <c r="F2596">
        <f t="shared" ca="1" si="42"/>
        <v>2.5906633859888308E-2</v>
      </c>
    </row>
    <row r="2597" spans="5:6" x14ac:dyDescent="0.35">
      <c r="E2597">
        <v>2594</v>
      </c>
      <c r="F2597">
        <f t="shared" ca="1" si="42"/>
        <v>-8.3934032530218125E-3</v>
      </c>
    </row>
    <row r="2598" spans="5:6" x14ac:dyDescent="0.35">
      <c r="E2598">
        <v>2595</v>
      </c>
      <c r="F2598">
        <f t="shared" ca="1" si="42"/>
        <v>1.5239953044447124E-2</v>
      </c>
    </row>
    <row r="2599" spans="5:6" x14ac:dyDescent="0.35">
      <c r="E2599">
        <v>2596</v>
      </c>
      <c r="F2599">
        <f t="shared" ca="1" si="42"/>
        <v>-6.6115651546644052E-3</v>
      </c>
    </row>
    <row r="2600" spans="5:6" x14ac:dyDescent="0.35">
      <c r="E2600">
        <v>2597</v>
      </c>
      <c r="F2600">
        <f t="shared" ca="1" si="42"/>
        <v>6.775644435210241E-3</v>
      </c>
    </row>
    <row r="2601" spans="5:6" x14ac:dyDescent="0.35">
      <c r="E2601">
        <v>2598</v>
      </c>
      <c r="F2601">
        <f t="shared" ca="1" si="42"/>
        <v>-1.5877645845499808E-2</v>
      </c>
    </row>
    <row r="2602" spans="5:6" x14ac:dyDescent="0.35">
      <c r="E2602">
        <v>2599</v>
      </c>
      <c r="F2602">
        <f t="shared" ca="1" si="42"/>
        <v>-2.0365213024686586E-2</v>
      </c>
    </row>
    <row r="2603" spans="5:6" x14ac:dyDescent="0.35">
      <c r="E2603">
        <v>2600</v>
      </c>
      <c r="F2603">
        <f t="shared" ca="1" si="42"/>
        <v>-1.327667795552575E-3</v>
      </c>
    </row>
    <row r="2604" spans="5:6" x14ac:dyDescent="0.35">
      <c r="E2604">
        <v>2601</v>
      </c>
      <c r="F2604">
        <f t="shared" ca="1" si="42"/>
        <v>-1.6961442584490635E-3</v>
      </c>
    </row>
    <row r="2605" spans="5:6" x14ac:dyDescent="0.35">
      <c r="E2605">
        <v>2602</v>
      </c>
      <c r="F2605">
        <f t="shared" ca="1" si="42"/>
        <v>-1.250121573400749E-2</v>
      </c>
    </row>
    <row r="2606" spans="5:6" x14ac:dyDescent="0.35">
      <c r="E2606">
        <v>2603</v>
      </c>
      <c r="F2606">
        <f t="shared" ca="1" si="42"/>
        <v>2.6230784318795566E-2</v>
      </c>
    </row>
    <row r="2607" spans="5:6" x14ac:dyDescent="0.35">
      <c r="E2607">
        <v>2604</v>
      </c>
      <c r="F2607">
        <f t="shared" ca="1" si="42"/>
        <v>-4.6550227807891581E-3</v>
      </c>
    </row>
    <row r="2608" spans="5:6" x14ac:dyDescent="0.35">
      <c r="E2608">
        <v>2605</v>
      </c>
      <c r="F2608">
        <f t="shared" ca="1" si="42"/>
        <v>-1.771439707833904E-3</v>
      </c>
    </row>
    <row r="2609" spans="5:6" x14ac:dyDescent="0.35">
      <c r="E2609">
        <v>2606</v>
      </c>
      <c r="F2609">
        <f t="shared" ca="1" si="42"/>
        <v>8.8629152741330989E-3</v>
      </c>
    </row>
    <row r="2610" spans="5:6" x14ac:dyDescent="0.35">
      <c r="E2610">
        <v>2607</v>
      </c>
      <c r="F2610">
        <f t="shared" ca="1" si="42"/>
        <v>-6.2429268022730954E-3</v>
      </c>
    </row>
    <row r="2611" spans="5:6" x14ac:dyDescent="0.35">
      <c r="E2611">
        <v>2608</v>
      </c>
      <c r="F2611">
        <f t="shared" ca="1" si="42"/>
        <v>1.5874469755726768E-2</v>
      </c>
    </row>
    <row r="2612" spans="5:6" x14ac:dyDescent="0.35">
      <c r="E2612">
        <v>2609</v>
      </c>
      <c r="F2612">
        <f t="shared" ca="1" si="42"/>
        <v>-2.3836559024094238E-3</v>
      </c>
    </row>
    <row r="2613" spans="5:6" x14ac:dyDescent="0.35">
      <c r="E2613">
        <v>2610</v>
      </c>
      <c r="F2613">
        <f t="shared" ca="1" si="42"/>
        <v>1.2937895902887457E-2</v>
      </c>
    </row>
    <row r="2614" spans="5:6" x14ac:dyDescent="0.35">
      <c r="E2614">
        <v>2611</v>
      </c>
      <c r="F2614">
        <f t="shared" ca="1" si="42"/>
        <v>-1.6353051763665128E-2</v>
      </c>
    </row>
    <row r="2615" spans="5:6" x14ac:dyDescent="0.35">
      <c r="E2615">
        <v>2612</v>
      </c>
      <c r="F2615">
        <f t="shared" ca="1" si="42"/>
        <v>3.6946508871835968E-3</v>
      </c>
    </row>
    <row r="2616" spans="5:6" x14ac:dyDescent="0.35">
      <c r="E2616">
        <v>2613</v>
      </c>
      <c r="F2616">
        <f t="shared" ca="1" si="42"/>
        <v>-2.1251024759172465E-2</v>
      </c>
    </row>
    <row r="2617" spans="5:6" x14ac:dyDescent="0.35">
      <c r="E2617">
        <v>2614</v>
      </c>
      <c r="F2617">
        <f t="shared" ca="1" si="42"/>
        <v>1.6453758763775735E-3</v>
      </c>
    </row>
    <row r="2618" spans="5:6" x14ac:dyDescent="0.35">
      <c r="E2618">
        <v>2615</v>
      </c>
      <c r="F2618">
        <f t="shared" ca="1" si="42"/>
        <v>1.4387948707814669E-2</v>
      </c>
    </row>
    <row r="2619" spans="5:6" x14ac:dyDescent="0.35">
      <c r="E2619">
        <v>2616</v>
      </c>
      <c r="F2619">
        <f t="shared" ca="1" si="42"/>
        <v>7.5670367420579488E-4</v>
      </c>
    </row>
    <row r="2620" spans="5:6" x14ac:dyDescent="0.35">
      <c r="E2620">
        <v>2617</v>
      </c>
      <c r="F2620">
        <f t="shared" ca="1" si="42"/>
        <v>1.2734616998040562E-2</v>
      </c>
    </row>
    <row r="2621" spans="5:6" x14ac:dyDescent="0.35">
      <c r="E2621">
        <v>2618</v>
      </c>
      <c r="F2621">
        <f t="shared" ca="1" si="42"/>
        <v>2.6359270204766179E-3</v>
      </c>
    </row>
    <row r="2622" spans="5:6" x14ac:dyDescent="0.35">
      <c r="E2622">
        <v>2619</v>
      </c>
      <c r="F2622">
        <f t="shared" ca="1" si="42"/>
        <v>1.5261073105668302E-2</v>
      </c>
    </row>
    <row r="2623" spans="5:6" x14ac:dyDescent="0.35">
      <c r="E2623">
        <v>2620</v>
      </c>
      <c r="F2623">
        <f t="shared" ca="1" si="42"/>
        <v>-2.5599081141138576E-2</v>
      </c>
    </row>
    <row r="2624" spans="5:6" x14ac:dyDescent="0.35">
      <c r="E2624">
        <v>2621</v>
      </c>
      <c r="F2624">
        <f t="shared" ca="1" si="42"/>
        <v>1.8706515915745518E-3</v>
      </c>
    </row>
    <row r="2625" spans="5:6" x14ac:dyDescent="0.35">
      <c r="E2625">
        <v>2622</v>
      </c>
      <c r="F2625">
        <f t="shared" ca="1" si="42"/>
        <v>-6.5445352329885752E-3</v>
      </c>
    </row>
    <row r="2626" spans="5:6" x14ac:dyDescent="0.35">
      <c r="E2626">
        <v>2623</v>
      </c>
      <c r="F2626">
        <f t="shared" ca="1" si="42"/>
        <v>1.5430030999767043E-3</v>
      </c>
    </row>
    <row r="2627" spans="5:6" x14ac:dyDescent="0.35">
      <c r="E2627">
        <v>2624</v>
      </c>
      <c r="F2627">
        <f t="shared" ca="1" si="42"/>
        <v>-6.2968806691978286E-3</v>
      </c>
    </row>
    <row r="2628" spans="5:6" x14ac:dyDescent="0.35">
      <c r="E2628">
        <v>2625</v>
      </c>
      <c r="F2628">
        <f t="shared" ca="1" si="42"/>
        <v>-2.0352233814431631E-3</v>
      </c>
    </row>
    <row r="2629" spans="5:6" x14ac:dyDescent="0.35">
      <c r="E2629">
        <v>2626</v>
      </c>
      <c r="F2629">
        <f t="shared" ref="F2629:F2692" ca="1" si="43">_xlfn.NORM.INV(RAND(),M$6,M$7)</f>
        <v>1.2825517928466825E-5</v>
      </c>
    </row>
    <row r="2630" spans="5:6" x14ac:dyDescent="0.35">
      <c r="E2630">
        <v>2627</v>
      </c>
      <c r="F2630">
        <f t="shared" ca="1" si="43"/>
        <v>7.7213707242343357E-4</v>
      </c>
    </row>
    <row r="2631" spans="5:6" x14ac:dyDescent="0.35">
      <c r="E2631">
        <v>2628</v>
      </c>
      <c r="F2631">
        <f t="shared" ca="1" si="43"/>
        <v>1.2010371078670484E-2</v>
      </c>
    </row>
    <row r="2632" spans="5:6" x14ac:dyDescent="0.35">
      <c r="E2632">
        <v>2629</v>
      </c>
      <c r="F2632">
        <f t="shared" ca="1" si="43"/>
        <v>1.8569013587100513E-2</v>
      </c>
    </row>
    <row r="2633" spans="5:6" x14ac:dyDescent="0.35">
      <c r="E2633">
        <v>2630</v>
      </c>
      <c r="F2633">
        <f t="shared" ca="1" si="43"/>
        <v>-8.6590222303071663E-3</v>
      </c>
    </row>
    <row r="2634" spans="5:6" x14ac:dyDescent="0.35">
      <c r="E2634">
        <v>2631</v>
      </c>
      <c r="F2634">
        <f t="shared" ca="1" si="43"/>
        <v>-1.9637446787016434E-3</v>
      </c>
    </row>
    <row r="2635" spans="5:6" x14ac:dyDescent="0.35">
      <c r="E2635">
        <v>2632</v>
      </c>
      <c r="F2635">
        <f t="shared" ca="1" si="43"/>
        <v>1.5594057764460863E-3</v>
      </c>
    </row>
    <row r="2636" spans="5:6" x14ac:dyDescent="0.35">
      <c r="E2636">
        <v>2633</v>
      </c>
      <c r="F2636">
        <f t="shared" ca="1" si="43"/>
        <v>1.7175534566705911E-2</v>
      </c>
    </row>
    <row r="2637" spans="5:6" x14ac:dyDescent="0.35">
      <c r="E2637">
        <v>2634</v>
      </c>
      <c r="F2637">
        <f t="shared" ca="1" si="43"/>
        <v>-3.9780485267606955E-2</v>
      </c>
    </row>
    <row r="2638" spans="5:6" x14ac:dyDescent="0.35">
      <c r="E2638">
        <v>2635</v>
      </c>
      <c r="F2638">
        <f t="shared" ca="1" si="43"/>
        <v>1.1042631882950613E-2</v>
      </c>
    </row>
    <row r="2639" spans="5:6" x14ac:dyDescent="0.35">
      <c r="E2639">
        <v>2636</v>
      </c>
      <c r="F2639">
        <f t="shared" ca="1" si="43"/>
        <v>-9.0973863629199257E-3</v>
      </c>
    </row>
    <row r="2640" spans="5:6" x14ac:dyDescent="0.35">
      <c r="E2640">
        <v>2637</v>
      </c>
      <c r="F2640">
        <f t="shared" ca="1" si="43"/>
        <v>4.7638130289202621E-2</v>
      </c>
    </row>
    <row r="2641" spans="5:6" x14ac:dyDescent="0.35">
      <c r="E2641">
        <v>2638</v>
      </c>
      <c r="F2641">
        <f t="shared" ca="1" si="43"/>
        <v>-3.5247541920659257E-2</v>
      </c>
    </row>
    <row r="2642" spans="5:6" x14ac:dyDescent="0.35">
      <c r="E2642">
        <v>2639</v>
      </c>
      <c r="F2642">
        <f t="shared" ca="1" si="43"/>
        <v>1.9658509286265492E-3</v>
      </c>
    </row>
    <row r="2643" spans="5:6" x14ac:dyDescent="0.35">
      <c r="E2643">
        <v>2640</v>
      </c>
      <c r="F2643">
        <f t="shared" ca="1" si="43"/>
        <v>-3.8376915050532631E-2</v>
      </c>
    </row>
    <row r="2644" spans="5:6" x14ac:dyDescent="0.35">
      <c r="E2644">
        <v>2641</v>
      </c>
      <c r="F2644">
        <f t="shared" ca="1" si="43"/>
        <v>-1.8718834179386502E-3</v>
      </c>
    </row>
    <row r="2645" spans="5:6" x14ac:dyDescent="0.35">
      <c r="E2645">
        <v>2642</v>
      </c>
      <c r="F2645">
        <f t="shared" ca="1" si="43"/>
        <v>1.217303559761723E-2</v>
      </c>
    </row>
    <row r="2646" spans="5:6" x14ac:dyDescent="0.35">
      <c r="E2646">
        <v>2643</v>
      </c>
      <c r="F2646">
        <f t="shared" ca="1" si="43"/>
        <v>-3.0266076673256485E-2</v>
      </c>
    </row>
    <row r="2647" spans="5:6" x14ac:dyDescent="0.35">
      <c r="E2647">
        <v>2644</v>
      </c>
      <c r="F2647">
        <f t="shared" ca="1" si="43"/>
        <v>-1.0996281644416286E-2</v>
      </c>
    </row>
    <row r="2648" spans="5:6" x14ac:dyDescent="0.35">
      <c r="E2648">
        <v>2645</v>
      </c>
      <c r="F2648">
        <f t="shared" ca="1" si="43"/>
        <v>-6.4456437899944119E-3</v>
      </c>
    </row>
    <row r="2649" spans="5:6" x14ac:dyDescent="0.35">
      <c r="E2649">
        <v>2646</v>
      </c>
      <c r="F2649">
        <f t="shared" ca="1" si="43"/>
        <v>-2.687178865096891E-3</v>
      </c>
    </row>
    <row r="2650" spans="5:6" x14ac:dyDescent="0.35">
      <c r="E2650">
        <v>2647</v>
      </c>
      <c r="F2650">
        <f t="shared" ca="1" si="43"/>
        <v>-2.5183587242515942E-2</v>
      </c>
    </row>
    <row r="2651" spans="5:6" x14ac:dyDescent="0.35">
      <c r="E2651">
        <v>2648</v>
      </c>
      <c r="F2651">
        <f t="shared" ca="1" si="43"/>
        <v>-6.293989910268462E-3</v>
      </c>
    </row>
    <row r="2652" spans="5:6" x14ac:dyDescent="0.35">
      <c r="E2652">
        <v>2649</v>
      </c>
      <c r="F2652">
        <f t="shared" ca="1" si="43"/>
        <v>-3.1362035873517989E-3</v>
      </c>
    </row>
    <row r="2653" spans="5:6" x14ac:dyDescent="0.35">
      <c r="E2653">
        <v>2650</v>
      </c>
      <c r="F2653">
        <f t="shared" ca="1" si="43"/>
        <v>3.9173503030030032E-2</v>
      </c>
    </row>
    <row r="2654" spans="5:6" x14ac:dyDescent="0.35">
      <c r="E2654">
        <v>2651</v>
      </c>
      <c r="F2654">
        <f t="shared" ca="1" si="43"/>
        <v>1.9064707361224779E-2</v>
      </c>
    </row>
    <row r="2655" spans="5:6" x14ac:dyDescent="0.35">
      <c r="E2655">
        <v>2652</v>
      </c>
      <c r="F2655">
        <f t="shared" ca="1" si="43"/>
        <v>1.8377917712504549E-2</v>
      </c>
    </row>
    <row r="2656" spans="5:6" x14ac:dyDescent="0.35">
      <c r="E2656">
        <v>2653</v>
      </c>
      <c r="F2656">
        <f t="shared" ca="1" si="43"/>
        <v>2.9819322750860005E-2</v>
      </c>
    </row>
    <row r="2657" spans="5:6" x14ac:dyDescent="0.35">
      <c r="E2657">
        <v>2654</v>
      </c>
      <c r="F2657">
        <f t="shared" ca="1" si="43"/>
        <v>1.2981340257819128E-2</v>
      </c>
    </row>
    <row r="2658" spans="5:6" x14ac:dyDescent="0.35">
      <c r="E2658">
        <v>2655</v>
      </c>
      <c r="F2658">
        <f t="shared" ca="1" si="43"/>
        <v>1.9226675129641237E-2</v>
      </c>
    </row>
    <row r="2659" spans="5:6" x14ac:dyDescent="0.35">
      <c r="E2659">
        <v>2656</v>
      </c>
      <c r="F2659">
        <f t="shared" ca="1" si="43"/>
        <v>-1.8784589837243832E-3</v>
      </c>
    </row>
    <row r="2660" spans="5:6" x14ac:dyDescent="0.35">
      <c r="E2660">
        <v>2657</v>
      </c>
      <c r="F2660">
        <f t="shared" ca="1" si="43"/>
        <v>1.3685905945222565E-2</v>
      </c>
    </row>
    <row r="2661" spans="5:6" x14ac:dyDescent="0.35">
      <c r="E2661">
        <v>2658</v>
      </c>
      <c r="F2661">
        <f t="shared" ca="1" si="43"/>
        <v>5.3430625233929904E-3</v>
      </c>
    </row>
    <row r="2662" spans="5:6" x14ac:dyDescent="0.35">
      <c r="E2662">
        <v>2659</v>
      </c>
      <c r="F2662">
        <f t="shared" ca="1" si="43"/>
        <v>2.3051669826094565E-2</v>
      </c>
    </row>
    <row r="2663" spans="5:6" x14ac:dyDescent="0.35">
      <c r="E2663">
        <v>2660</v>
      </c>
      <c r="F2663">
        <f t="shared" ca="1" si="43"/>
        <v>-6.9570366343705463E-3</v>
      </c>
    </row>
    <row r="2664" spans="5:6" x14ac:dyDescent="0.35">
      <c r="E2664">
        <v>2661</v>
      </c>
      <c r="F2664">
        <f t="shared" ca="1" si="43"/>
        <v>-1.5492186930104054E-2</v>
      </c>
    </row>
    <row r="2665" spans="5:6" x14ac:dyDescent="0.35">
      <c r="E2665">
        <v>2662</v>
      </c>
      <c r="F2665">
        <f t="shared" ca="1" si="43"/>
        <v>1.8260138799092281E-2</v>
      </c>
    </row>
    <row r="2666" spans="5:6" x14ac:dyDescent="0.35">
      <c r="E2666">
        <v>2663</v>
      </c>
      <c r="F2666">
        <f t="shared" ca="1" si="43"/>
        <v>-8.9150301290027642E-4</v>
      </c>
    </row>
    <row r="2667" spans="5:6" x14ac:dyDescent="0.35">
      <c r="E2667">
        <v>2664</v>
      </c>
      <c r="F2667">
        <f t="shared" ca="1" si="43"/>
        <v>-1.7447025314108647E-2</v>
      </c>
    </row>
    <row r="2668" spans="5:6" x14ac:dyDescent="0.35">
      <c r="E2668">
        <v>2665</v>
      </c>
      <c r="F2668">
        <f t="shared" ca="1" si="43"/>
        <v>1.2193506621283996E-2</v>
      </c>
    </row>
    <row r="2669" spans="5:6" x14ac:dyDescent="0.35">
      <c r="E2669">
        <v>2666</v>
      </c>
      <c r="F2669">
        <f t="shared" ca="1" si="43"/>
        <v>-3.218670858275989E-2</v>
      </c>
    </row>
    <row r="2670" spans="5:6" x14ac:dyDescent="0.35">
      <c r="E2670">
        <v>2667</v>
      </c>
      <c r="F2670">
        <f t="shared" ca="1" si="43"/>
        <v>8.9957519315004755E-3</v>
      </c>
    </row>
    <row r="2671" spans="5:6" x14ac:dyDescent="0.35">
      <c r="E2671">
        <v>2668</v>
      </c>
      <c r="F2671">
        <f t="shared" ca="1" si="43"/>
        <v>9.1023419003779475E-3</v>
      </c>
    </row>
    <row r="2672" spans="5:6" x14ac:dyDescent="0.35">
      <c r="E2672">
        <v>2669</v>
      </c>
      <c r="F2672">
        <f t="shared" ca="1" si="43"/>
        <v>-1.6642204733601222E-2</v>
      </c>
    </row>
    <row r="2673" spans="5:6" x14ac:dyDescent="0.35">
      <c r="E2673">
        <v>2670</v>
      </c>
      <c r="F2673">
        <f t="shared" ca="1" si="43"/>
        <v>2.4257649768920294E-4</v>
      </c>
    </row>
    <row r="2674" spans="5:6" x14ac:dyDescent="0.35">
      <c r="E2674">
        <v>2671</v>
      </c>
      <c r="F2674">
        <f t="shared" ca="1" si="43"/>
        <v>2.9242751549414105E-2</v>
      </c>
    </row>
    <row r="2675" spans="5:6" x14ac:dyDescent="0.35">
      <c r="E2675">
        <v>2672</v>
      </c>
      <c r="F2675">
        <f t="shared" ca="1" si="43"/>
        <v>7.847573757839111E-3</v>
      </c>
    </row>
    <row r="2676" spans="5:6" x14ac:dyDescent="0.35">
      <c r="E2676">
        <v>2673</v>
      </c>
      <c r="F2676">
        <f t="shared" ca="1" si="43"/>
        <v>-1.5016661547947036E-3</v>
      </c>
    </row>
    <row r="2677" spans="5:6" x14ac:dyDescent="0.35">
      <c r="E2677">
        <v>2674</v>
      </c>
      <c r="F2677">
        <f t="shared" ca="1" si="43"/>
        <v>-1.9276760590057673E-2</v>
      </c>
    </row>
    <row r="2678" spans="5:6" x14ac:dyDescent="0.35">
      <c r="E2678">
        <v>2675</v>
      </c>
      <c r="F2678">
        <f t="shared" ca="1" si="43"/>
        <v>6.1167294935865859E-4</v>
      </c>
    </row>
    <row r="2679" spans="5:6" x14ac:dyDescent="0.35">
      <c r="E2679">
        <v>2676</v>
      </c>
      <c r="F2679">
        <f t="shared" ca="1" si="43"/>
        <v>-1.4353188070011534E-2</v>
      </c>
    </row>
    <row r="2680" spans="5:6" x14ac:dyDescent="0.35">
      <c r="E2680">
        <v>2677</v>
      </c>
      <c r="F2680">
        <f t="shared" ca="1" si="43"/>
        <v>-6.834942947935305E-3</v>
      </c>
    </row>
    <row r="2681" spans="5:6" x14ac:dyDescent="0.35">
      <c r="E2681">
        <v>2678</v>
      </c>
      <c r="F2681">
        <f t="shared" ca="1" si="43"/>
        <v>-3.0860134204051964E-5</v>
      </c>
    </row>
    <row r="2682" spans="5:6" x14ac:dyDescent="0.35">
      <c r="E2682">
        <v>2679</v>
      </c>
      <c r="F2682">
        <f t="shared" ca="1" si="43"/>
        <v>3.5897093039027341E-3</v>
      </c>
    </row>
    <row r="2683" spans="5:6" x14ac:dyDescent="0.35">
      <c r="E2683">
        <v>2680</v>
      </c>
      <c r="F2683">
        <f t="shared" ca="1" si="43"/>
        <v>1.4255536223742187E-2</v>
      </c>
    </row>
    <row r="2684" spans="5:6" x14ac:dyDescent="0.35">
      <c r="E2684">
        <v>2681</v>
      </c>
      <c r="F2684">
        <f t="shared" ca="1" si="43"/>
        <v>-2.3892329136274516E-2</v>
      </c>
    </row>
    <row r="2685" spans="5:6" x14ac:dyDescent="0.35">
      <c r="E2685">
        <v>2682</v>
      </c>
      <c r="F2685">
        <f t="shared" ca="1" si="43"/>
        <v>-3.0306359566067951E-2</v>
      </c>
    </row>
    <row r="2686" spans="5:6" x14ac:dyDescent="0.35">
      <c r="E2686">
        <v>2683</v>
      </c>
      <c r="F2686">
        <f t="shared" ca="1" si="43"/>
        <v>-3.0839875288782123E-3</v>
      </c>
    </row>
    <row r="2687" spans="5:6" x14ac:dyDescent="0.35">
      <c r="E2687">
        <v>2684</v>
      </c>
      <c r="F2687">
        <f t="shared" ca="1" si="43"/>
        <v>-2.3004595136947231E-2</v>
      </c>
    </row>
    <row r="2688" spans="5:6" x14ac:dyDescent="0.35">
      <c r="E2688">
        <v>2685</v>
      </c>
      <c r="F2688">
        <f t="shared" ca="1" si="43"/>
        <v>-6.8140271915801045E-3</v>
      </c>
    </row>
    <row r="2689" spans="5:6" x14ac:dyDescent="0.35">
      <c r="E2689">
        <v>2686</v>
      </c>
      <c r="F2689">
        <f t="shared" ca="1" si="43"/>
        <v>-1.9164522215220574E-2</v>
      </c>
    </row>
    <row r="2690" spans="5:6" x14ac:dyDescent="0.35">
      <c r="E2690">
        <v>2687</v>
      </c>
      <c r="F2690">
        <f t="shared" ca="1" si="43"/>
        <v>1.8040400207505091E-2</v>
      </c>
    </row>
    <row r="2691" spans="5:6" x14ac:dyDescent="0.35">
      <c r="E2691">
        <v>2688</v>
      </c>
      <c r="F2691">
        <f t="shared" ca="1" si="43"/>
        <v>-5.601070123359083E-3</v>
      </c>
    </row>
    <row r="2692" spans="5:6" x14ac:dyDescent="0.35">
      <c r="E2692">
        <v>2689</v>
      </c>
      <c r="F2692">
        <f t="shared" ca="1" si="43"/>
        <v>-2.1737432000228964E-2</v>
      </c>
    </row>
    <row r="2693" spans="5:6" x14ac:dyDescent="0.35">
      <c r="E2693">
        <v>2690</v>
      </c>
      <c r="F2693">
        <f t="shared" ref="F2693:F2756" ca="1" si="44">_xlfn.NORM.INV(RAND(),M$6,M$7)</f>
        <v>-1.5110307353506845E-2</v>
      </c>
    </row>
    <row r="2694" spans="5:6" x14ac:dyDescent="0.35">
      <c r="E2694">
        <v>2691</v>
      </c>
      <c r="F2694">
        <f t="shared" ca="1" si="44"/>
        <v>1.9343682810223969E-3</v>
      </c>
    </row>
    <row r="2695" spans="5:6" x14ac:dyDescent="0.35">
      <c r="E2695">
        <v>2692</v>
      </c>
      <c r="F2695">
        <f t="shared" ca="1" si="44"/>
        <v>-5.0729504071395648E-3</v>
      </c>
    </row>
    <row r="2696" spans="5:6" x14ac:dyDescent="0.35">
      <c r="E2696">
        <v>2693</v>
      </c>
      <c r="F2696">
        <f t="shared" ca="1" si="44"/>
        <v>-2.2763777360105888E-2</v>
      </c>
    </row>
    <row r="2697" spans="5:6" x14ac:dyDescent="0.35">
      <c r="E2697">
        <v>2694</v>
      </c>
      <c r="F2697">
        <f t="shared" ca="1" si="44"/>
        <v>-7.7989943489935373E-3</v>
      </c>
    </row>
    <row r="2698" spans="5:6" x14ac:dyDescent="0.35">
      <c r="E2698">
        <v>2695</v>
      </c>
      <c r="F2698">
        <f t="shared" ca="1" si="44"/>
        <v>3.8424435361243533E-3</v>
      </c>
    </row>
    <row r="2699" spans="5:6" x14ac:dyDescent="0.35">
      <c r="E2699">
        <v>2696</v>
      </c>
      <c r="F2699">
        <f t="shared" ca="1" si="44"/>
        <v>1.530667499617157E-3</v>
      </c>
    </row>
    <row r="2700" spans="5:6" x14ac:dyDescent="0.35">
      <c r="E2700">
        <v>2697</v>
      </c>
      <c r="F2700">
        <f t="shared" ca="1" si="44"/>
        <v>-1.0116688572523664E-2</v>
      </c>
    </row>
    <row r="2701" spans="5:6" x14ac:dyDescent="0.35">
      <c r="E2701">
        <v>2698</v>
      </c>
      <c r="F2701">
        <f t="shared" ca="1" si="44"/>
        <v>-2.7464339564159186E-3</v>
      </c>
    </row>
    <row r="2702" spans="5:6" x14ac:dyDescent="0.35">
      <c r="E2702">
        <v>2699</v>
      </c>
      <c r="F2702">
        <f t="shared" ca="1" si="44"/>
        <v>1.8605732249127663E-2</v>
      </c>
    </row>
    <row r="2703" spans="5:6" x14ac:dyDescent="0.35">
      <c r="E2703">
        <v>2700</v>
      </c>
      <c r="F2703">
        <f t="shared" ca="1" si="44"/>
        <v>9.1951847705428347E-3</v>
      </c>
    </row>
    <row r="2704" spans="5:6" x14ac:dyDescent="0.35">
      <c r="E2704">
        <v>2701</v>
      </c>
      <c r="F2704">
        <f t="shared" ca="1" si="44"/>
        <v>-3.5870006683124392E-3</v>
      </c>
    </row>
    <row r="2705" spans="5:6" x14ac:dyDescent="0.35">
      <c r="E2705">
        <v>2702</v>
      </c>
      <c r="F2705">
        <f t="shared" ca="1" si="44"/>
        <v>-5.2308285689589996E-4</v>
      </c>
    </row>
    <row r="2706" spans="5:6" x14ac:dyDescent="0.35">
      <c r="E2706">
        <v>2703</v>
      </c>
      <c r="F2706">
        <f t="shared" ca="1" si="44"/>
        <v>1.0947407043582153E-2</v>
      </c>
    </row>
    <row r="2707" spans="5:6" x14ac:dyDescent="0.35">
      <c r="E2707">
        <v>2704</v>
      </c>
      <c r="F2707">
        <f t="shared" ca="1" si="44"/>
        <v>-2.383669268874786E-2</v>
      </c>
    </row>
    <row r="2708" spans="5:6" x14ac:dyDescent="0.35">
      <c r="E2708">
        <v>2705</v>
      </c>
      <c r="F2708">
        <f t="shared" ca="1" si="44"/>
        <v>-3.9033767664423932E-4</v>
      </c>
    </row>
    <row r="2709" spans="5:6" x14ac:dyDescent="0.35">
      <c r="E2709">
        <v>2706</v>
      </c>
      <c r="F2709">
        <f t="shared" ca="1" si="44"/>
        <v>4.5056577587749627E-3</v>
      </c>
    </row>
    <row r="2710" spans="5:6" x14ac:dyDescent="0.35">
      <c r="E2710">
        <v>2707</v>
      </c>
      <c r="F2710">
        <f t="shared" ca="1" si="44"/>
        <v>8.4396534062994143E-3</v>
      </c>
    </row>
    <row r="2711" spans="5:6" x14ac:dyDescent="0.35">
      <c r="E2711">
        <v>2708</v>
      </c>
      <c r="F2711">
        <f t="shared" ca="1" si="44"/>
        <v>-5.4320523808420998E-3</v>
      </c>
    </row>
    <row r="2712" spans="5:6" x14ac:dyDescent="0.35">
      <c r="E2712">
        <v>2709</v>
      </c>
      <c r="F2712">
        <f t="shared" ca="1" si="44"/>
        <v>-1.0495373607696173E-2</v>
      </c>
    </row>
    <row r="2713" spans="5:6" x14ac:dyDescent="0.35">
      <c r="E2713">
        <v>2710</v>
      </c>
      <c r="F2713">
        <f t="shared" ca="1" si="44"/>
        <v>8.5649052284702907E-3</v>
      </c>
    </row>
    <row r="2714" spans="5:6" x14ac:dyDescent="0.35">
      <c r="E2714">
        <v>2711</v>
      </c>
      <c r="F2714">
        <f t="shared" ca="1" si="44"/>
        <v>-1.1996739301793454E-2</v>
      </c>
    </row>
    <row r="2715" spans="5:6" x14ac:dyDescent="0.35">
      <c r="E2715">
        <v>2712</v>
      </c>
      <c r="F2715">
        <f t="shared" ca="1" si="44"/>
        <v>-7.2892077311365175E-3</v>
      </c>
    </row>
    <row r="2716" spans="5:6" x14ac:dyDescent="0.35">
      <c r="E2716">
        <v>2713</v>
      </c>
      <c r="F2716">
        <f t="shared" ca="1" si="44"/>
        <v>4.7841036985158108E-3</v>
      </c>
    </row>
    <row r="2717" spans="5:6" x14ac:dyDescent="0.35">
      <c r="E2717">
        <v>2714</v>
      </c>
      <c r="F2717">
        <f t="shared" ca="1" si="44"/>
        <v>2.2318752108598625E-3</v>
      </c>
    </row>
    <row r="2718" spans="5:6" x14ac:dyDescent="0.35">
      <c r="E2718">
        <v>2715</v>
      </c>
      <c r="F2718">
        <f t="shared" ca="1" si="44"/>
        <v>6.1532301273794108E-3</v>
      </c>
    </row>
    <row r="2719" spans="5:6" x14ac:dyDescent="0.35">
      <c r="E2719">
        <v>2716</v>
      </c>
      <c r="F2719">
        <f t="shared" ca="1" si="44"/>
        <v>2.4322892243760212E-2</v>
      </c>
    </row>
    <row r="2720" spans="5:6" x14ac:dyDescent="0.35">
      <c r="E2720">
        <v>2717</v>
      </c>
      <c r="F2720">
        <f t="shared" ca="1" si="44"/>
        <v>-1.6771102378542721E-2</v>
      </c>
    </row>
    <row r="2721" spans="5:6" x14ac:dyDescent="0.35">
      <c r="E2721">
        <v>2718</v>
      </c>
      <c r="F2721">
        <f t="shared" ca="1" si="44"/>
        <v>-6.337666266238412E-3</v>
      </c>
    </row>
    <row r="2722" spans="5:6" x14ac:dyDescent="0.35">
      <c r="E2722">
        <v>2719</v>
      </c>
      <c r="F2722">
        <f t="shared" ca="1" si="44"/>
        <v>-1.1948798261049544E-3</v>
      </c>
    </row>
    <row r="2723" spans="5:6" x14ac:dyDescent="0.35">
      <c r="E2723">
        <v>2720</v>
      </c>
      <c r="F2723">
        <f t="shared" ca="1" si="44"/>
        <v>-1.9681875217576323E-2</v>
      </c>
    </row>
    <row r="2724" spans="5:6" x14ac:dyDescent="0.35">
      <c r="E2724">
        <v>2721</v>
      </c>
      <c r="F2724">
        <f t="shared" ca="1" si="44"/>
        <v>-1.0241508322204317E-2</v>
      </c>
    </row>
    <row r="2725" spans="5:6" x14ac:dyDescent="0.35">
      <c r="E2725">
        <v>2722</v>
      </c>
      <c r="F2725">
        <f t="shared" ca="1" si="44"/>
        <v>8.6922763731534427E-3</v>
      </c>
    </row>
    <row r="2726" spans="5:6" x14ac:dyDescent="0.35">
      <c r="E2726">
        <v>2723</v>
      </c>
      <c r="F2726">
        <f t="shared" ca="1" si="44"/>
        <v>-4.6817504420548217E-3</v>
      </c>
    </row>
    <row r="2727" spans="5:6" x14ac:dyDescent="0.35">
      <c r="E2727">
        <v>2724</v>
      </c>
      <c r="F2727">
        <f t="shared" ca="1" si="44"/>
        <v>2.6550622210615531E-2</v>
      </c>
    </row>
    <row r="2728" spans="5:6" x14ac:dyDescent="0.35">
      <c r="E2728">
        <v>2725</v>
      </c>
      <c r="F2728">
        <f t="shared" ca="1" si="44"/>
        <v>1.0688303291085026E-2</v>
      </c>
    </row>
    <row r="2729" spans="5:6" x14ac:dyDescent="0.35">
      <c r="E2729">
        <v>2726</v>
      </c>
      <c r="F2729">
        <f t="shared" ca="1" si="44"/>
        <v>2.223982656735931E-2</v>
      </c>
    </row>
    <row r="2730" spans="5:6" x14ac:dyDescent="0.35">
      <c r="E2730">
        <v>2727</v>
      </c>
      <c r="F2730">
        <f t="shared" ca="1" si="44"/>
        <v>-9.6132075884150688E-3</v>
      </c>
    </row>
    <row r="2731" spans="5:6" x14ac:dyDescent="0.35">
      <c r="E2731">
        <v>2728</v>
      </c>
      <c r="F2731">
        <f t="shared" ca="1" si="44"/>
        <v>1.9699747600369577E-2</v>
      </c>
    </row>
    <row r="2732" spans="5:6" x14ac:dyDescent="0.35">
      <c r="E2732">
        <v>2729</v>
      </c>
      <c r="F2732">
        <f t="shared" ca="1" si="44"/>
        <v>7.9778612724653915E-3</v>
      </c>
    </row>
    <row r="2733" spans="5:6" x14ac:dyDescent="0.35">
      <c r="E2733">
        <v>2730</v>
      </c>
      <c r="F2733">
        <f t="shared" ca="1" si="44"/>
        <v>-1.9139398473788346E-3</v>
      </c>
    </row>
    <row r="2734" spans="5:6" x14ac:dyDescent="0.35">
      <c r="E2734">
        <v>2731</v>
      </c>
      <c r="F2734">
        <f t="shared" ca="1" si="44"/>
        <v>5.1492870294358745E-4</v>
      </c>
    </row>
    <row r="2735" spans="5:6" x14ac:dyDescent="0.35">
      <c r="E2735">
        <v>2732</v>
      </c>
      <c r="F2735">
        <f t="shared" ca="1" si="44"/>
        <v>4.6122800803714327E-4</v>
      </c>
    </row>
    <row r="2736" spans="5:6" x14ac:dyDescent="0.35">
      <c r="E2736">
        <v>2733</v>
      </c>
      <c r="F2736">
        <f t="shared" ca="1" si="44"/>
        <v>2.6838924926267969E-2</v>
      </c>
    </row>
    <row r="2737" spans="5:6" x14ac:dyDescent="0.35">
      <c r="E2737">
        <v>2734</v>
      </c>
      <c r="F2737">
        <f t="shared" ca="1" si="44"/>
        <v>-2.1499174248816613E-2</v>
      </c>
    </row>
    <row r="2738" spans="5:6" x14ac:dyDescent="0.35">
      <c r="E2738">
        <v>2735</v>
      </c>
      <c r="F2738">
        <f t="shared" ca="1" si="44"/>
        <v>3.3725637333622085E-3</v>
      </c>
    </row>
    <row r="2739" spans="5:6" x14ac:dyDescent="0.35">
      <c r="E2739">
        <v>2736</v>
      </c>
      <c r="F2739">
        <f t="shared" ca="1" si="44"/>
        <v>1.8197023136407704E-2</v>
      </c>
    </row>
    <row r="2740" spans="5:6" x14ac:dyDescent="0.35">
      <c r="E2740">
        <v>2737</v>
      </c>
      <c r="F2740">
        <f t="shared" ca="1" si="44"/>
        <v>-1.7832439036055664E-2</v>
      </c>
    </row>
    <row r="2741" spans="5:6" x14ac:dyDescent="0.35">
      <c r="E2741">
        <v>2738</v>
      </c>
      <c r="F2741">
        <f t="shared" ca="1" si="44"/>
        <v>3.4370276815227356E-2</v>
      </c>
    </row>
    <row r="2742" spans="5:6" x14ac:dyDescent="0.35">
      <c r="E2742">
        <v>2739</v>
      </c>
      <c r="F2742">
        <f t="shared" ca="1" si="44"/>
        <v>-1.0957795746523902E-3</v>
      </c>
    </row>
    <row r="2743" spans="5:6" x14ac:dyDescent="0.35">
      <c r="E2743">
        <v>2740</v>
      </c>
      <c r="F2743">
        <f t="shared" ca="1" si="44"/>
        <v>1.7679374532990563E-2</v>
      </c>
    </row>
    <row r="2744" spans="5:6" x14ac:dyDescent="0.35">
      <c r="E2744">
        <v>2741</v>
      </c>
      <c r="F2744">
        <f t="shared" ca="1" si="44"/>
        <v>-9.8048958861714393E-3</v>
      </c>
    </row>
    <row r="2745" spans="5:6" x14ac:dyDescent="0.35">
      <c r="E2745">
        <v>2742</v>
      </c>
      <c r="F2745">
        <f t="shared" ca="1" si="44"/>
        <v>-6.0262601688478639E-3</v>
      </c>
    </row>
    <row r="2746" spans="5:6" x14ac:dyDescent="0.35">
      <c r="E2746">
        <v>2743</v>
      </c>
      <c r="F2746">
        <f t="shared" ca="1" si="44"/>
        <v>1.0613435093518007E-3</v>
      </c>
    </row>
    <row r="2747" spans="5:6" x14ac:dyDescent="0.35">
      <c r="E2747">
        <v>2744</v>
      </c>
      <c r="F2747">
        <f t="shared" ca="1" si="44"/>
        <v>3.3068612777596121E-3</v>
      </c>
    </row>
    <row r="2748" spans="5:6" x14ac:dyDescent="0.35">
      <c r="E2748">
        <v>2745</v>
      </c>
      <c r="F2748">
        <f t="shared" ca="1" si="44"/>
        <v>1.5662873667515446E-2</v>
      </c>
    </row>
    <row r="2749" spans="5:6" x14ac:dyDescent="0.35">
      <c r="E2749">
        <v>2746</v>
      </c>
      <c r="F2749">
        <f t="shared" ca="1" si="44"/>
        <v>-1.3378596590588225E-2</v>
      </c>
    </row>
    <row r="2750" spans="5:6" x14ac:dyDescent="0.35">
      <c r="E2750">
        <v>2747</v>
      </c>
      <c r="F2750">
        <f t="shared" ca="1" si="44"/>
        <v>1.0653801308424474E-2</v>
      </c>
    </row>
    <row r="2751" spans="5:6" x14ac:dyDescent="0.35">
      <c r="E2751">
        <v>2748</v>
      </c>
      <c r="F2751">
        <f t="shared" ca="1" si="44"/>
        <v>-7.8062596062186632E-3</v>
      </c>
    </row>
    <row r="2752" spans="5:6" x14ac:dyDescent="0.35">
      <c r="E2752">
        <v>2749</v>
      </c>
      <c r="F2752">
        <f t="shared" ca="1" si="44"/>
        <v>-8.7779014819797802E-4</v>
      </c>
    </row>
    <row r="2753" spans="5:6" x14ac:dyDescent="0.35">
      <c r="E2753">
        <v>2750</v>
      </c>
      <c r="F2753">
        <f t="shared" ca="1" si="44"/>
        <v>7.5930663146314258E-3</v>
      </c>
    </row>
    <row r="2754" spans="5:6" x14ac:dyDescent="0.35">
      <c r="E2754">
        <v>2751</v>
      </c>
      <c r="F2754">
        <f t="shared" ca="1" si="44"/>
        <v>1.070968344858775E-2</v>
      </c>
    </row>
    <row r="2755" spans="5:6" x14ac:dyDescent="0.35">
      <c r="E2755">
        <v>2752</v>
      </c>
      <c r="F2755">
        <f t="shared" ca="1" si="44"/>
        <v>4.7170748485966659E-3</v>
      </c>
    </row>
    <row r="2756" spans="5:6" x14ac:dyDescent="0.35">
      <c r="E2756">
        <v>2753</v>
      </c>
      <c r="F2756">
        <f t="shared" ca="1" si="44"/>
        <v>-4.780666971173006E-3</v>
      </c>
    </row>
    <row r="2757" spans="5:6" x14ac:dyDescent="0.35">
      <c r="E2757">
        <v>2754</v>
      </c>
      <c r="F2757">
        <f t="shared" ref="F2757:F2820" ca="1" si="45">_xlfn.NORM.INV(RAND(),M$6,M$7)</f>
        <v>-5.0379739657092203E-3</v>
      </c>
    </row>
    <row r="2758" spans="5:6" x14ac:dyDescent="0.35">
      <c r="E2758">
        <v>2755</v>
      </c>
      <c r="F2758">
        <f t="shared" ca="1" si="45"/>
        <v>8.7489327063605179E-3</v>
      </c>
    </row>
    <row r="2759" spans="5:6" x14ac:dyDescent="0.35">
      <c r="E2759">
        <v>2756</v>
      </c>
      <c r="F2759">
        <f t="shared" ca="1" si="45"/>
        <v>6.7028074464859488E-3</v>
      </c>
    </row>
    <row r="2760" spans="5:6" x14ac:dyDescent="0.35">
      <c r="E2760">
        <v>2757</v>
      </c>
      <c r="F2760">
        <f t="shared" ca="1" si="45"/>
        <v>1.1374609552644297E-3</v>
      </c>
    </row>
    <row r="2761" spans="5:6" x14ac:dyDescent="0.35">
      <c r="E2761">
        <v>2758</v>
      </c>
      <c r="F2761">
        <f t="shared" ca="1" si="45"/>
        <v>-2.9892507176559811E-2</v>
      </c>
    </row>
    <row r="2762" spans="5:6" x14ac:dyDescent="0.35">
      <c r="E2762">
        <v>2759</v>
      </c>
      <c r="F2762">
        <f t="shared" ca="1" si="45"/>
        <v>1.9830372281048475E-3</v>
      </c>
    </row>
    <row r="2763" spans="5:6" x14ac:dyDescent="0.35">
      <c r="E2763">
        <v>2760</v>
      </c>
      <c r="F2763">
        <f t="shared" ca="1" si="45"/>
        <v>3.1348553763936859E-3</v>
      </c>
    </row>
    <row r="2764" spans="5:6" x14ac:dyDescent="0.35">
      <c r="E2764">
        <v>2761</v>
      </c>
      <c r="F2764">
        <f t="shared" ca="1" si="45"/>
        <v>1.0908606116305704E-2</v>
      </c>
    </row>
    <row r="2765" spans="5:6" x14ac:dyDescent="0.35">
      <c r="E2765">
        <v>2762</v>
      </c>
      <c r="F2765">
        <f t="shared" ca="1" si="45"/>
        <v>-9.8406304685295185E-3</v>
      </c>
    </row>
    <row r="2766" spans="5:6" x14ac:dyDescent="0.35">
      <c r="E2766">
        <v>2763</v>
      </c>
      <c r="F2766">
        <f t="shared" ca="1" si="45"/>
        <v>1.7469335982308754E-2</v>
      </c>
    </row>
    <row r="2767" spans="5:6" x14ac:dyDescent="0.35">
      <c r="E2767">
        <v>2764</v>
      </c>
      <c r="F2767">
        <f t="shared" ca="1" si="45"/>
        <v>-1.4517402563622734E-2</v>
      </c>
    </row>
    <row r="2768" spans="5:6" x14ac:dyDescent="0.35">
      <c r="E2768">
        <v>2765</v>
      </c>
      <c r="F2768">
        <f t="shared" ca="1" si="45"/>
        <v>1.7359367878640373E-2</v>
      </c>
    </row>
    <row r="2769" spans="5:6" x14ac:dyDescent="0.35">
      <c r="E2769">
        <v>2766</v>
      </c>
      <c r="F2769">
        <f t="shared" ca="1" si="45"/>
        <v>-2.5382769008788993E-2</v>
      </c>
    </row>
    <row r="2770" spans="5:6" x14ac:dyDescent="0.35">
      <c r="E2770">
        <v>2767</v>
      </c>
      <c r="F2770">
        <f t="shared" ca="1" si="45"/>
        <v>1.4546386762387901E-2</v>
      </c>
    </row>
    <row r="2771" spans="5:6" x14ac:dyDescent="0.35">
      <c r="E2771">
        <v>2768</v>
      </c>
      <c r="F2771">
        <f t="shared" ca="1" si="45"/>
        <v>-1.1548642785955935E-2</v>
      </c>
    </row>
    <row r="2772" spans="5:6" x14ac:dyDescent="0.35">
      <c r="E2772">
        <v>2769</v>
      </c>
      <c r="F2772">
        <f t="shared" ca="1" si="45"/>
        <v>1.2780652012977779E-2</v>
      </c>
    </row>
    <row r="2773" spans="5:6" x14ac:dyDescent="0.35">
      <c r="E2773">
        <v>2770</v>
      </c>
      <c r="F2773">
        <f t="shared" ca="1" si="45"/>
        <v>-4.7804780667519402E-3</v>
      </c>
    </row>
    <row r="2774" spans="5:6" x14ac:dyDescent="0.35">
      <c r="E2774">
        <v>2771</v>
      </c>
      <c r="F2774">
        <f t="shared" ca="1" si="45"/>
        <v>-1.157126397963813E-3</v>
      </c>
    </row>
    <row r="2775" spans="5:6" x14ac:dyDescent="0.35">
      <c r="E2775">
        <v>2772</v>
      </c>
      <c r="F2775">
        <f t="shared" ca="1" si="45"/>
        <v>4.3825109270859523E-3</v>
      </c>
    </row>
    <row r="2776" spans="5:6" x14ac:dyDescent="0.35">
      <c r="E2776">
        <v>2773</v>
      </c>
      <c r="F2776">
        <f t="shared" ca="1" si="45"/>
        <v>8.4445022357467862E-3</v>
      </c>
    </row>
    <row r="2777" spans="5:6" x14ac:dyDescent="0.35">
      <c r="E2777">
        <v>2774</v>
      </c>
      <c r="F2777">
        <f t="shared" ca="1" si="45"/>
        <v>-3.3357492217873375E-3</v>
      </c>
    </row>
    <row r="2778" spans="5:6" x14ac:dyDescent="0.35">
      <c r="E2778">
        <v>2775</v>
      </c>
      <c r="F2778">
        <f t="shared" ca="1" si="45"/>
        <v>7.9159567647744591E-3</v>
      </c>
    </row>
    <row r="2779" spans="5:6" x14ac:dyDescent="0.35">
      <c r="E2779">
        <v>2776</v>
      </c>
      <c r="F2779">
        <f t="shared" ca="1" si="45"/>
        <v>-1.5733111652166031E-2</v>
      </c>
    </row>
    <row r="2780" spans="5:6" x14ac:dyDescent="0.35">
      <c r="E2780">
        <v>2777</v>
      </c>
      <c r="F2780">
        <f t="shared" ca="1" si="45"/>
        <v>5.1111779612290464E-4</v>
      </c>
    </row>
    <row r="2781" spans="5:6" x14ac:dyDescent="0.35">
      <c r="E2781">
        <v>2778</v>
      </c>
      <c r="F2781">
        <f t="shared" ca="1" si="45"/>
        <v>-7.7847033910930612E-3</v>
      </c>
    </row>
    <row r="2782" spans="5:6" x14ac:dyDescent="0.35">
      <c r="E2782">
        <v>2779</v>
      </c>
      <c r="F2782">
        <f t="shared" ca="1" si="45"/>
        <v>-2.4121830440101338E-2</v>
      </c>
    </row>
    <row r="2783" spans="5:6" x14ac:dyDescent="0.35">
      <c r="E2783">
        <v>2780</v>
      </c>
      <c r="F2783">
        <f t="shared" ca="1" si="45"/>
        <v>-1.5841238398192063E-2</v>
      </c>
    </row>
    <row r="2784" spans="5:6" x14ac:dyDescent="0.35">
      <c r="E2784">
        <v>2781</v>
      </c>
      <c r="F2784">
        <f t="shared" ca="1" si="45"/>
        <v>-1.0713925694216291E-2</v>
      </c>
    </row>
    <row r="2785" spans="5:6" x14ac:dyDescent="0.35">
      <c r="E2785">
        <v>2782</v>
      </c>
      <c r="F2785">
        <f t="shared" ca="1" si="45"/>
        <v>-2.8827289418778469E-2</v>
      </c>
    </row>
    <row r="2786" spans="5:6" x14ac:dyDescent="0.35">
      <c r="E2786">
        <v>2783</v>
      </c>
      <c r="F2786">
        <f t="shared" ca="1" si="45"/>
        <v>-5.7833502262980667E-3</v>
      </c>
    </row>
    <row r="2787" spans="5:6" x14ac:dyDescent="0.35">
      <c r="E2787">
        <v>2784</v>
      </c>
      <c r="F2787">
        <f t="shared" ca="1" si="45"/>
        <v>-7.0169527333802844E-3</v>
      </c>
    </row>
    <row r="2788" spans="5:6" x14ac:dyDescent="0.35">
      <c r="E2788">
        <v>2785</v>
      </c>
      <c r="F2788">
        <f t="shared" ca="1" si="45"/>
        <v>2.8967288509381431E-4</v>
      </c>
    </row>
    <row r="2789" spans="5:6" x14ac:dyDescent="0.35">
      <c r="E2789">
        <v>2786</v>
      </c>
      <c r="F2789">
        <f t="shared" ca="1" si="45"/>
        <v>2.0151553409948801E-3</v>
      </c>
    </row>
    <row r="2790" spans="5:6" x14ac:dyDescent="0.35">
      <c r="E2790">
        <v>2787</v>
      </c>
      <c r="F2790">
        <f t="shared" ca="1" si="45"/>
        <v>1.2444587782594968E-2</v>
      </c>
    </row>
    <row r="2791" spans="5:6" x14ac:dyDescent="0.35">
      <c r="E2791">
        <v>2788</v>
      </c>
      <c r="F2791">
        <f t="shared" ca="1" si="45"/>
        <v>-1.6166594697887733E-2</v>
      </c>
    </row>
    <row r="2792" spans="5:6" x14ac:dyDescent="0.35">
      <c r="E2792">
        <v>2789</v>
      </c>
      <c r="F2792">
        <f t="shared" ca="1" si="45"/>
        <v>8.2910753955898996E-3</v>
      </c>
    </row>
    <row r="2793" spans="5:6" x14ac:dyDescent="0.35">
      <c r="E2793">
        <v>2790</v>
      </c>
      <c r="F2793">
        <f t="shared" ca="1" si="45"/>
        <v>2.3375125610332552E-2</v>
      </c>
    </row>
    <row r="2794" spans="5:6" x14ac:dyDescent="0.35">
      <c r="E2794">
        <v>2791</v>
      </c>
      <c r="F2794">
        <f t="shared" ca="1" si="45"/>
        <v>-2.4797300925415103E-2</v>
      </c>
    </row>
    <row r="2795" spans="5:6" x14ac:dyDescent="0.35">
      <c r="E2795">
        <v>2792</v>
      </c>
      <c r="F2795">
        <f t="shared" ca="1" si="45"/>
        <v>1.5621995913212113E-2</v>
      </c>
    </row>
    <row r="2796" spans="5:6" x14ac:dyDescent="0.35">
      <c r="E2796">
        <v>2793</v>
      </c>
      <c r="F2796">
        <f t="shared" ca="1" si="45"/>
        <v>1.7236651318593848E-2</v>
      </c>
    </row>
    <row r="2797" spans="5:6" x14ac:dyDescent="0.35">
      <c r="E2797">
        <v>2794</v>
      </c>
      <c r="F2797">
        <f t="shared" ca="1" si="45"/>
        <v>7.5511523227099182E-4</v>
      </c>
    </row>
    <row r="2798" spans="5:6" x14ac:dyDescent="0.35">
      <c r="E2798">
        <v>2795</v>
      </c>
      <c r="F2798">
        <f t="shared" ca="1" si="45"/>
        <v>-3.5990321817126504E-2</v>
      </c>
    </row>
    <row r="2799" spans="5:6" x14ac:dyDescent="0.35">
      <c r="E2799">
        <v>2796</v>
      </c>
      <c r="F2799">
        <f t="shared" ca="1" si="45"/>
        <v>-1.0776953685448242E-2</v>
      </c>
    </row>
    <row r="2800" spans="5:6" x14ac:dyDescent="0.35">
      <c r="E2800">
        <v>2797</v>
      </c>
      <c r="F2800">
        <f t="shared" ca="1" si="45"/>
        <v>6.6273760283621147E-3</v>
      </c>
    </row>
    <row r="2801" spans="5:6" x14ac:dyDescent="0.35">
      <c r="E2801">
        <v>2798</v>
      </c>
      <c r="F2801">
        <f t="shared" ca="1" si="45"/>
        <v>-2.8154368044377379E-3</v>
      </c>
    </row>
    <row r="2802" spans="5:6" x14ac:dyDescent="0.35">
      <c r="E2802">
        <v>2799</v>
      </c>
      <c r="F2802">
        <f t="shared" ca="1" si="45"/>
        <v>8.9347971504255682E-4</v>
      </c>
    </row>
    <row r="2803" spans="5:6" x14ac:dyDescent="0.35">
      <c r="E2803">
        <v>2800</v>
      </c>
      <c r="F2803">
        <f t="shared" ca="1" si="45"/>
        <v>-2.8175838697515034E-4</v>
      </c>
    </row>
    <row r="2804" spans="5:6" x14ac:dyDescent="0.35">
      <c r="E2804">
        <v>2801</v>
      </c>
      <c r="F2804">
        <f t="shared" ca="1" si="45"/>
        <v>-1.2321030343896044E-2</v>
      </c>
    </row>
    <row r="2805" spans="5:6" x14ac:dyDescent="0.35">
      <c r="E2805">
        <v>2802</v>
      </c>
      <c r="F2805">
        <f t="shared" ca="1" si="45"/>
        <v>8.2785701593131936E-3</v>
      </c>
    </row>
    <row r="2806" spans="5:6" x14ac:dyDescent="0.35">
      <c r="E2806">
        <v>2803</v>
      </c>
      <c r="F2806">
        <f t="shared" ca="1" si="45"/>
        <v>2.2167793242379507E-2</v>
      </c>
    </row>
    <row r="2807" spans="5:6" x14ac:dyDescent="0.35">
      <c r="E2807">
        <v>2804</v>
      </c>
      <c r="F2807">
        <f t="shared" ca="1" si="45"/>
        <v>-3.0844526199976855E-2</v>
      </c>
    </row>
    <row r="2808" spans="5:6" x14ac:dyDescent="0.35">
      <c r="E2808">
        <v>2805</v>
      </c>
      <c r="F2808">
        <f t="shared" ca="1" si="45"/>
        <v>-1.4274494225578291E-2</v>
      </c>
    </row>
    <row r="2809" spans="5:6" x14ac:dyDescent="0.35">
      <c r="E2809">
        <v>2806</v>
      </c>
      <c r="F2809">
        <f t="shared" ca="1" si="45"/>
        <v>5.99520571938221E-3</v>
      </c>
    </row>
    <row r="2810" spans="5:6" x14ac:dyDescent="0.35">
      <c r="E2810">
        <v>2807</v>
      </c>
      <c r="F2810">
        <f t="shared" ca="1" si="45"/>
        <v>-3.2645624384233012E-2</v>
      </c>
    </row>
    <row r="2811" spans="5:6" x14ac:dyDescent="0.35">
      <c r="E2811">
        <v>2808</v>
      </c>
      <c r="F2811">
        <f t="shared" ca="1" si="45"/>
        <v>3.1279026103401262E-3</v>
      </c>
    </row>
    <row r="2812" spans="5:6" x14ac:dyDescent="0.35">
      <c r="E2812">
        <v>2809</v>
      </c>
      <c r="F2812">
        <f t="shared" ca="1" si="45"/>
        <v>-5.7154007866446728E-3</v>
      </c>
    </row>
    <row r="2813" spans="5:6" x14ac:dyDescent="0.35">
      <c r="E2813">
        <v>2810</v>
      </c>
      <c r="F2813">
        <f t="shared" ca="1" si="45"/>
        <v>-7.6500276410942907E-3</v>
      </c>
    </row>
    <row r="2814" spans="5:6" x14ac:dyDescent="0.35">
      <c r="E2814">
        <v>2811</v>
      </c>
      <c r="F2814">
        <f t="shared" ca="1" si="45"/>
        <v>-6.7010993521384918E-4</v>
      </c>
    </row>
    <row r="2815" spans="5:6" x14ac:dyDescent="0.35">
      <c r="E2815">
        <v>2812</v>
      </c>
      <c r="F2815">
        <f t="shared" ca="1" si="45"/>
        <v>6.3761007790485227E-3</v>
      </c>
    </row>
    <row r="2816" spans="5:6" x14ac:dyDescent="0.35">
      <c r="E2816">
        <v>2813</v>
      </c>
      <c r="F2816">
        <f t="shared" ca="1" si="45"/>
        <v>2.4699224602903027E-3</v>
      </c>
    </row>
    <row r="2817" spans="5:6" x14ac:dyDescent="0.35">
      <c r="E2817">
        <v>2814</v>
      </c>
      <c r="F2817">
        <f t="shared" ca="1" si="45"/>
        <v>-1.0890743227677007E-2</v>
      </c>
    </row>
    <row r="2818" spans="5:6" x14ac:dyDescent="0.35">
      <c r="E2818">
        <v>2815</v>
      </c>
      <c r="F2818">
        <f t="shared" ca="1" si="45"/>
        <v>-1.5683045927605242E-2</v>
      </c>
    </row>
    <row r="2819" spans="5:6" x14ac:dyDescent="0.35">
      <c r="E2819">
        <v>2816</v>
      </c>
      <c r="F2819">
        <f t="shared" ca="1" si="45"/>
        <v>2.5315666770017826E-3</v>
      </c>
    </row>
    <row r="2820" spans="5:6" x14ac:dyDescent="0.35">
      <c r="E2820">
        <v>2817</v>
      </c>
      <c r="F2820">
        <f t="shared" ca="1" si="45"/>
        <v>2.8329852473574814E-2</v>
      </c>
    </row>
    <row r="2821" spans="5:6" x14ac:dyDescent="0.35">
      <c r="E2821">
        <v>2818</v>
      </c>
      <c r="F2821">
        <f t="shared" ref="F2821:F2884" ca="1" si="46">_xlfn.NORM.INV(RAND(),M$6,M$7)</f>
        <v>-7.0953383433285545E-3</v>
      </c>
    </row>
    <row r="2822" spans="5:6" x14ac:dyDescent="0.35">
      <c r="E2822">
        <v>2819</v>
      </c>
      <c r="F2822">
        <f t="shared" ca="1" si="46"/>
        <v>-3.2689947349217405E-3</v>
      </c>
    </row>
    <row r="2823" spans="5:6" x14ac:dyDescent="0.35">
      <c r="E2823">
        <v>2820</v>
      </c>
      <c r="F2823">
        <f t="shared" ca="1" si="46"/>
        <v>2.7621648831324525E-2</v>
      </c>
    </row>
    <row r="2824" spans="5:6" x14ac:dyDescent="0.35">
      <c r="E2824">
        <v>2821</v>
      </c>
      <c r="F2824">
        <f t="shared" ca="1" si="46"/>
        <v>5.6715478213583033E-3</v>
      </c>
    </row>
    <row r="2825" spans="5:6" x14ac:dyDescent="0.35">
      <c r="E2825">
        <v>2822</v>
      </c>
      <c r="F2825">
        <f t="shared" ca="1" si="46"/>
        <v>1.038076890043854E-2</v>
      </c>
    </row>
    <row r="2826" spans="5:6" x14ac:dyDescent="0.35">
      <c r="E2826">
        <v>2823</v>
      </c>
      <c r="F2826">
        <f t="shared" ca="1" si="46"/>
        <v>-1.4720103771432675E-2</v>
      </c>
    </row>
    <row r="2827" spans="5:6" x14ac:dyDescent="0.35">
      <c r="E2827">
        <v>2824</v>
      </c>
      <c r="F2827">
        <f t="shared" ca="1" si="46"/>
        <v>2.2191944095366428E-2</v>
      </c>
    </row>
    <row r="2828" spans="5:6" x14ac:dyDescent="0.35">
      <c r="E2828">
        <v>2825</v>
      </c>
      <c r="F2828">
        <f t="shared" ca="1" si="46"/>
        <v>-1.8474424755389372E-2</v>
      </c>
    </row>
    <row r="2829" spans="5:6" x14ac:dyDescent="0.35">
      <c r="E2829">
        <v>2826</v>
      </c>
      <c r="F2829">
        <f t="shared" ca="1" si="46"/>
        <v>1.2066285109999931E-2</v>
      </c>
    </row>
    <row r="2830" spans="5:6" x14ac:dyDescent="0.35">
      <c r="E2830">
        <v>2827</v>
      </c>
      <c r="F2830">
        <f t="shared" ca="1" si="46"/>
        <v>1.3007879518091257E-2</v>
      </c>
    </row>
    <row r="2831" spans="5:6" x14ac:dyDescent="0.35">
      <c r="E2831">
        <v>2828</v>
      </c>
      <c r="F2831">
        <f t="shared" ca="1" si="46"/>
        <v>-8.7066192564167564E-3</v>
      </c>
    </row>
    <row r="2832" spans="5:6" x14ac:dyDescent="0.35">
      <c r="E2832">
        <v>2829</v>
      </c>
      <c r="F2832">
        <f t="shared" ca="1" si="46"/>
        <v>2.0073855207782636E-2</v>
      </c>
    </row>
    <row r="2833" spans="5:6" x14ac:dyDescent="0.35">
      <c r="E2833">
        <v>2830</v>
      </c>
      <c r="F2833">
        <f t="shared" ca="1" si="46"/>
        <v>8.4856365389281586E-3</v>
      </c>
    </row>
    <row r="2834" spans="5:6" x14ac:dyDescent="0.35">
      <c r="E2834">
        <v>2831</v>
      </c>
      <c r="F2834">
        <f t="shared" ca="1" si="46"/>
        <v>2.4091234793096314E-2</v>
      </c>
    </row>
    <row r="2835" spans="5:6" x14ac:dyDescent="0.35">
      <c r="E2835">
        <v>2832</v>
      </c>
      <c r="F2835">
        <f t="shared" ca="1" si="46"/>
        <v>2.4613509483513051E-2</v>
      </c>
    </row>
    <row r="2836" spans="5:6" x14ac:dyDescent="0.35">
      <c r="E2836">
        <v>2833</v>
      </c>
      <c r="F2836">
        <f t="shared" ca="1" si="46"/>
        <v>-6.4102423475646333E-3</v>
      </c>
    </row>
    <row r="2837" spans="5:6" x14ac:dyDescent="0.35">
      <c r="E2837">
        <v>2834</v>
      </c>
      <c r="F2837">
        <f t="shared" ca="1" si="46"/>
        <v>-8.4300784116111906E-4</v>
      </c>
    </row>
    <row r="2838" spans="5:6" x14ac:dyDescent="0.35">
      <c r="E2838">
        <v>2835</v>
      </c>
      <c r="F2838">
        <f t="shared" ca="1" si="46"/>
        <v>-2.5171299919623628E-2</v>
      </c>
    </row>
    <row r="2839" spans="5:6" x14ac:dyDescent="0.35">
      <c r="E2839">
        <v>2836</v>
      </c>
      <c r="F2839">
        <f t="shared" ca="1" si="46"/>
        <v>1.8015378083976925E-2</v>
      </c>
    </row>
    <row r="2840" spans="5:6" x14ac:dyDescent="0.35">
      <c r="E2840">
        <v>2837</v>
      </c>
      <c r="F2840">
        <f t="shared" ca="1" si="46"/>
        <v>-1.3636671401622386E-2</v>
      </c>
    </row>
    <row r="2841" spans="5:6" x14ac:dyDescent="0.35">
      <c r="E2841">
        <v>2838</v>
      </c>
      <c r="F2841">
        <f t="shared" ca="1" si="46"/>
        <v>-7.239455697904218E-4</v>
      </c>
    </row>
    <row r="2842" spans="5:6" x14ac:dyDescent="0.35">
      <c r="E2842">
        <v>2839</v>
      </c>
      <c r="F2842">
        <f t="shared" ca="1" si="46"/>
        <v>3.7802658717611816E-3</v>
      </c>
    </row>
    <row r="2843" spans="5:6" x14ac:dyDescent="0.35">
      <c r="E2843">
        <v>2840</v>
      </c>
      <c r="F2843">
        <f t="shared" ca="1" si="46"/>
        <v>1.8682909522565891E-2</v>
      </c>
    </row>
    <row r="2844" spans="5:6" x14ac:dyDescent="0.35">
      <c r="E2844">
        <v>2841</v>
      </c>
      <c r="F2844">
        <f t="shared" ca="1" si="46"/>
        <v>-1.5945517580126155E-2</v>
      </c>
    </row>
    <row r="2845" spans="5:6" x14ac:dyDescent="0.35">
      <c r="E2845">
        <v>2842</v>
      </c>
      <c r="F2845">
        <f t="shared" ca="1" si="46"/>
        <v>-6.5592590427573459E-3</v>
      </c>
    </row>
    <row r="2846" spans="5:6" x14ac:dyDescent="0.35">
      <c r="E2846">
        <v>2843</v>
      </c>
      <c r="F2846">
        <f t="shared" ca="1" si="46"/>
        <v>9.446906444721204E-3</v>
      </c>
    </row>
    <row r="2847" spans="5:6" x14ac:dyDescent="0.35">
      <c r="E2847">
        <v>2844</v>
      </c>
      <c r="F2847">
        <f t="shared" ca="1" si="46"/>
        <v>-1.0942741017005675E-2</v>
      </c>
    </row>
    <row r="2848" spans="5:6" x14ac:dyDescent="0.35">
      <c r="E2848">
        <v>2845</v>
      </c>
      <c r="F2848">
        <f t="shared" ca="1" si="46"/>
        <v>-1.9949577582185799E-2</v>
      </c>
    </row>
    <row r="2849" spans="5:6" x14ac:dyDescent="0.35">
      <c r="E2849">
        <v>2846</v>
      </c>
      <c r="F2849">
        <f t="shared" ca="1" si="46"/>
        <v>-1.6763120051151714E-2</v>
      </c>
    </row>
    <row r="2850" spans="5:6" x14ac:dyDescent="0.35">
      <c r="E2850">
        <v>2847</v>
      </c>
      <c r="F2850">
        <f t="shared" ca="1" si="46"/>
        <v>-2.1837356797207316E-2</v>
      </c>
    </row>
    <row r="2851" spans="5:6" x14ac:dyDescent="0.35">
      <c r="E2851">
        <v>2848</v>
      </c>
      <c r="F2851">
        <f t="shared" ca="1" si="46"/>
        <v>-4.683016186307132E-3</v>
      </c>
    </row>
    <row r="2852" spans="5:6" x14ac:dyDescent="0.35">
      <c r="E2852">
        <v>2849</v>
      </c>
      <c r="F2852">
        <f t="shared" ca="1" si="46"/>
        <v>-3.645910147219442E-3</v>
      </c>
    </row>
    <row r="2853" spans="5:6" x14ac:dyDescent="0.35">
      <c r="E2853">
        <v>2850</v>
      </c>
      <c r="F2853">
        <f t="shared" ca="1" si="46"/>
        <v>-8.9062894356901571E-3</v>
      </c>
    </row>
    <row r="2854" spans="5:6" x14ac:dyDescent="0.35">
      <c r="E2854">
        <v>2851</v>
      </c>
      <c r="F2854">
        <f t="shared" ca="1" si="46"/>
        <v>-2.5234327148085465E-3</v>
      </c>
    </row>
    <row r="2855" spans="5:6" x14ac:dyDescent="0.35">
      <c r="E2855">
        <v>2852</v>
      </c>
      <c r="F2855">
        <f t="shared" ca="1" si="46"/>
        <v>-2.375575327857455E-2</v>
      </c>
    </row>
    <row r="2856" spans="5:6" x14ac:dyDescent="0.35">
      <c r="E2856">
        <v>2853</v>
      </c>
      <c r="F2856">
        <f t="shared" ca="1" si="46"/>
        <v>-1.4380959724476531E-2</v>
      </c>
    </row>
    <row r="2857" spans="5:6" x14ac:dyDescent="0.35">
      <c r="E2857">
        <v>2854</v>
      </c>
      <c r="F2857">
        <f t="shared" ca="1" si="46"/>
        <v>1.3224796684721518E-2</v>
      </c>
    </row>
    <row r="2858" spans="5:6" x14ac:dyDescent="0.35">
      <c r="E2858">
        <v>2855</v>
      </c>
      <c r="F2858">
        <f t="shared" ca="1" si="46"/>
        <v>9.145564633044034E-3</v>
      </c>
    </row>
    <row r="2859" spans="5:6" x14ac:dyDescent="0.35">
      <c r="E2859">
        <v>2856</v>
      </c>
      <c r="F2859">
        <f t="shared" ca="1" si="46"/>
        <v>7.546004186813201E-4</v>
      </c>
    </row>
    <row r="2860" spans="5:6" x14ac:dyDescent="0.35">
      <c r="E2860">
        <v>2857</v>
      </c>
      <c r="F2860">
        <f t="shared" ca="1" si="46"/>
        <v>5.9018703764478963E-3</v>
      </c>
    </row>
    <row r="2861" spans="5:6" x14ac:dyDescent="0.35">
      <c r="E2861">
        <v>2858</v>
      </c>
      <c r="F2861">
        <f t="shared" ca="1" si="46"/>
        <v>4.1453902218661267E-3</v>
      </c>
    </row>
    <row r="2862" spans="5:6" x14ac:dyDescent="0.35">
      <c r="E2862">
        <v>2859</v>
      </c>
      <c r="F2862">
        <f t="shared" ca="1" si="46"/>
        <v>-1.6837814297038945E-2</v>
      </c>
    </row>
    <row r="2863" spans="5:6" x14ac:dyDescent="0.35">
      <c r="E2863">
        <v>2860</v>
      </c>
      <c r="F2863">
        <f t="shared" ca="1" si="46"/>
        <v>3.5126379097105004E-2</v>
      </c>
    </row>
    <row r="2864" spans="5:6" x14ac:dyDescent="0.35">
      <c r="E2864">
        <v>2861</v>
      </c>
      <c r="F2864">
        <f t="shared" ca="1" si="46"/>
        <v>-1.0593237719340145E-2</v>
      </c>
    </row>
    <row r="2865" spans="5:6" x14ac:dyDescent="0.35">
      <c r="E2865">
        <v>2862</v>
      </c>
      <c r="F2865">
        <f t="shared" ca="1" si="46"/>
        <v>-1.2177847217924014E-2</v>
      </c>
    </row>
    <row r="2866" spans="5:6" x14ac:dyDescent="0.35">
      <c r="E2866">
        <v>2863</v>
      </c>
      <c r="F2866">
        <f t="shared" ca="1" si="46"/>
        <v>-2.0499481724227473E-3</v>
      </c>
    </row>
    <row r="2867" spans="5:6" x14ac:dyDescent="0.35">
      <c r="E2867">
        <v>2864</v>
      </c>
      <c r="F2867">
        <f t="shared" ca="1" si="46"/>
        <v>6.7642490792092736E-3</v>
      </c>
    </row>
    <row r="2868" spans="5:6" x14ac:dyDescent="0.35">
      <c r="E2868">
        <v>2865</v>
      </c>
      <c r="F2868">
        <f t="shared" ca="1" si="46"/>
        <v>9.9461788515542125E-3</v>
      </c>
    </row>
    <row r="2869" spans="5:6" x14ac:dyDescent="0.35">
      <c r="E2869">
        <v>2866</v>
      </c>
      <c r="F2869">
        <f t="shared" ca="1" si="46"/>
        <v>1.3982042371923339E-2</v>
      </c>
    </row>
    <row r="2870" spans="5:6" x14ac:dyDescent="0.35">
      <c r="E2870">
        <v>2867</v>
      </c>
      <c r="F2870">
        <f t="shared" ca="1" si="46"/>
        <v>-9.6253247466829162E-3</v>
      </c>
    </row>
    <row r="2871" spans="5:6" x14ac:dyDescent="0.35">
      <c r="E2871">
        <v>2868</v>
      </c>
      <c r="F2871">
        <f t="shared" ca="1" si="46"/>
        <v>3.5100825761061227E-3</v>
      </c>
    </row>
    <row r="2872" spans="5:6" x14ac:dyDescent="0.35">
      <c r="E2872">
        <v>2869</v>
      </c>
      <c r="F2872">
        <f t="shared" ca="1" si="46"/>
        <v>2.6402229686013148E-2</v>
      </c>
    </row>
    <row r="2873" spans="5:6" x14ac:dyDescent="0.35">
      <c r="E2873">
        <v>2870</v>
      </c>
      <c r="F2873">
        <f t="shared" ca="1" si="46"/>
        <v>1.1605828428059082E-2</v>
      </c>
    </row>
    <row r="2874" spans="5:6" x14ac:dyDescent="0.35">
      <c r="E2874">
        <v>2871</v>
      </c>
      <c r="F2874">
        <f t="shared" ca="1" si="46"/>
        <v>1.1182403419301292E-2</v>
      </c>
    </row>
    <row r="2875" spans="5:6" x14ac:dyDescent="0.35">
      <c r="E2875">
        <v>2872</v>
      </c>
      <c r="F2875">
        <f t="shared" ca="1" si="46"/>
        <v>1.8368363883422747E-3</v>
      </c>
    </row>
    <row r="2876" spans="5:6" x14ac:dyDescent="0.35">
      <c r="E2876">
        <v>2873</v>
      </c>
      <c r="F2876">
        <f t="shared" ca="1" si="46"/>
        <v>2.566845493442152E-2</v>
      </c>
    </row>
    <row r="2877" spans="5:6" x14ac:dyDescent="0.35">
      <c r="E2877">
        <v>2874</v>
      </c>
      <c r="F2877">
        <f t="shared" ca="1" si="46"/>
        <v>2.5171669480688597E-2</v>
      </c>
    </row>
    <row r="2878" spans="5:6" x14ac:dyDescent="0.35">
      <c r="E2878">
        <v>2875</v>
      </c>
      <c r="F2878">
        <f t="shared" ca="1" si="46"/>
        <v>3.4651524220261007E-3</v>
      </c>
    </row>
    <row r="2879" spans="5:6" x14ac:dyDescent="0.35">
      <c r="E2879">
        <v>2876</v>
      </c>
      <c r="F2879">
        <f t="shared" ca="1" si="46"/>
        <v>2.2277246175307245E-2</v>
      </c>
    </row>
    <row r="2880" spans="5:6" x14ac:dyDescent="0.35">
      <c r="E2880">
        <v>2877</v>
      </c>
      <c r="F2880">
        <f t="shared" ca="1" si="46"/>
        <v>3.682315398599958E-3</v>
      </c>
    </row>
    <row r="2881" spans="5:6" x14ac:dyDescent="0.35">
      <c r="E2881">
        <v>2878</v>
      </c>
      <c r="F2881">
        <f t="shared" ca="1" si="46"/>
        <v>1.0360649767184709E-2</v>
      </c>
    </row>
    <row r="2882" spans="5:6" x14ac:dyDescent="0.35">
      <c r="E2882">
        <v>2879</v>
      </c>
      <c r="F2882">
        <f t="shared" ca="1" si="46"/>
        <v>-1.5613556028952993E-2</v>
      </c>
    </row>
    <row r="2883" spans="5:6" x14ac:dyDescent="0.35">
      <c r="E2883">
        <v>2880</v>
      </c>
      <c r="F2883">
        <f t="shared" ca="1" si="46"/>
        <v>9.8616239387478467E-3</v>
      </c>
    </row>
    <row r="2884" spans="5:6" x14ac:dyDescent="0.35">
      <c r="E2884">
        <v>2881</v>
      </c>
      <c r="F2884">
        <f t="shared" ca="1" si="46"/>
        <v>-1.4820393685035512E-2</v>
      </c>
    </row>
    <row r="2885" spans="5:6" x14ac:dyDescent="0.35">
      <c r="E2885">
        <v>2882</v>
      </c>
      <c r="F2885">
        <f t="shared" ref="F2885:F2948" ca="1" si="47">_xlfn.NORM.INV(RAND(),M$6,M$7)</f>
        <v>1.1932177213107444E-2</v>
      </c>
    </row>
    <row r="2886" spans="5:6" x14ac:dyDescent="0.35">
      <c r="E2886">
        <v>2883</v>
      </c>
      <c r="F2886">
        <f t="shared" ca="1" si="47"/>
        <v>-3.0731375396409164E-2</v>
      </c>
    </row>
    <row r="2887" spans="5:6" x14ac:dyDescent="0.35">
      <c r="E2887">
        <v>2884</v>
      </c>
      <c r="F2887">
        <f t="shared" ca="1" si="47"/>
        <v>1.5858602035274599E-2</v>
      </c>
    </row>
    <row r="2888" spans="5:6" x14ac:dyDescent="0.35">
      <c r="E2888">
        <v>2885</v>
      </c>
      <c r="F2888">
        <f t="shared" ca="1" si="47"/>
        <v>-4.2087662162673532E-2</v>
      </c>
    </row>
    <row r="2889" spans="5:6" x14ac:dyDescent="0.35">
      <c r="E2889">
        <v>2886</v>
      </c>
      <c r="F2889">
        <f t="shared" ca="1" si="47"/>
        <v>-7.2910157222743121E-3</v>
      </c>
    </row>
    <row r="2890" spans="5:6" x14ac:dyDescent="0.35">
      <c r="E2890">
        <v>2887</v>
      </c>
      <c r="F2890">
        <f t="shared" ca="1" si="47"/>
        <v>1.7276369925461069E-2</v>
      </c>
    </row>
    <row r="2891" spans="5:6" x14ac:dyDescent="0.35">
      <c r="E2891">
        <v>2888</v>
      </c>
      <c r="F2891">
        <f t="shared" ca="1" si="47"/>
        <v>3.3280196235262044E-3</v>
      </c>
    </row>
    <row r="2892" spans="5:6" x14ac:dyDescent="0.35">
      <c r="E2892">
        <v>2889</v>
      </c>
      <c r="F2892">
        <f t="shared" ca="1" si="47"/>
        <v>1.8407852943011751E-2</v>
      </c>
    </row>
    <row r="2893" spans="5:6" x14ac:dyDescent="0.35">
      <c r="E2893">
        <v>2890</v>
      </c>
      <c r="F2893">
        <f t="shared" ca="1" si="47"/>
        <v>-1.3717671744416713E-3</v>
      </c>
    </row>
    <row r="2894" spans="5:6" x14ac:dyDescent="0.35">
      <c r="E2894">
        <v>2891</v>
      </c>
      <c r="F2894">
        <f t="shared" ca="1" si="47"/>
        <v>-2.0864584039943016E-2</v>
      </c>
    </row>
    <row r="2895" spans="5:6" x14ac:dyDescent="0.35">
      <c r="E2895">
        <v>2892</v>
      </c>
      <c r="F2895">
        <f t="shared" ca="1" si="47"/>
        <v>1.3565920906653177E-2</v>
      </c>
    </row>
    <row r="2896" spans="5:6" x14ac:dyDescent="0.35">
      <c r="E2896">
        <v>2893</v>
      </c>
      <c r="F2896">
        <f t="shared" ca="1" si="47"/>
        <v>1.076532519217795E-2</v>
      </c>
    </row>
    <row r="2897" spans="5:6" x14ac:dyDescent="0.35">
      <c r="E2897">
        <v>2894</v>
      </c>
      <c r="F2897">
        <f t="shared" ca="1" si="47"/>
        <v>3.3084120360817411E-3</v>
      </c>
    </row>
    <row r="2898" spans="5:6" x14ac:dyDescent="0.35">
      <c r="E2898">
        <v>2895</v>
      </c>
      <c r="F2898">
        <f t="shared" ca="1" si="47"/>
        <v>-1.0461814590347234E-2</v>
      </c>
    </row>
    <row r="2899" spans="5:6" x14ac:dyDescent="0.35">
      <c r="E2899">
        <v>2896</v>
      </c>
      <c r="F2899">
        <f t="shared" ca="1" si="47"/>
        <v>2.7151483483452664E-3</v>
      </c>
    </row>
    <row r="2900" spans="5:6" x14ac:dyDescent="0.35">
      <c r="E2900">
        <v>2897</v>
      </c>
      <c r="F2900">
        <f t="shared" ca="1" si="47"/>
        <v>1.4980213803436034E-2</v>
      </c>
    </row>
    <row r="2901" spans="5:6" x14ac:dyDescent="0.35">
      <c r="E2901">
        <v>2898</v>
      </c>
      <c r="F2901">
        <f t="shared" ca="1" si="47"/>
        <v>1.6972121732816165E-2</v>
      </c>
    </row>
    <row r="2902" spans="5:6" x14ac:dyDescent="0.35">
      <c r="E2902">
        <v>2899</v>
      </c>
      <c r="F2902">
        <f t="shared" ca="1" si="47"/>
        <v>-3.0375168268129311E-3</v>
      </c>
    </row>
    <row r="2903" spans="5:6" x14ac:dyDescent="0.35">
      <c r="E2903">
        <v>2900</v>
      </c>
      <c r="F2903">
        <f t="shared" ca="1" si="47"/>
        <v>6.7456929323350826E-3</v>
      </c>
    </row>
    <row r="2904" spans="5:6" x14ac:dyDescent="0.35">
      <c r="E2904">
        <v>2901</v>
      </c>
      <c r="F2904">
        <f t="shared" ca="1" si="47"/>
        <v>-1.1737566195338152E-2</v>
      </c>
    </row>
    <row r="2905" spans="5:6" x14ac:dyDescent="0.35">
      <c r="E2905">
        <v>2902</v>
      </c>
      <c r="F2905">
        <f t="shared" ca="1" si="47"/>
        <v>2.4151399085816067E-2</v>
      </c>
    </row>
    <row r="2906" spans="5:6" x14ac:dyDescent="0.35">
      <c r="E2906">
        <v>2903</v>
      </c>
      <c r="F2906">
        <f t="shared" ca="1" si="47"/>
        <v>-1.1441410864375949E-3</v>
      </c>
    </row>
    <row r="2907" spans="5:6" x14ac:dyDescent="0.35">
      <c r="E2907">
        <v>2904</v>
      </c>
      <c r="F2907">
        <f t="shared" ca="1" si="47"/>
        <v>1.7984236652429406E-2</v>
      </c>
    </row>
    <row r="2908" spans="5:6" x14ac:dyDescent="0.35">
      <c r="E2908">
        <v>2905</v>
      </c>
      <c r="F2908">
        <f t="shared" ca="1" si="47"/>
        <v>-5.5647835332292613E-3</v>
      </c>
    </row>
    <row r="2909" spans="5:6" x14ac:dyDescent="0.35">
      <c r="E2909">
        <v>2906</v>
      </c>
      <c r="F2909">
        <f t="shared" ca="1" si="47"/>
        <v>1.6513218180298883E-2</v>
      </c>
    </row>
    <row r="2910" spans="5:6" x14ac:dyDescent="0.35">
      <c r="E2910">
        <v>2907</v>
      </c>
      <c r="F2910">
        <f t="shared" ca="1" si="47"/>
        <v>-1.5473592937635894E-2</v>
      </c>
    </row>
    <row r="2911" spans="5:6" x14ac:dyDescent="0.35">
      <c r="E2911">
        <v>2908</v>
      </c>
      <c r="F2911">
        <f t="shared" ca="1" si="47"/>
        <v>1.9916885042557254E-3</v>
      </c>
    </row>
    <row r="2912" spans="5:6" x14ac:dyDescent="0.35">
      <c r="E2912">
        <v>2909</v>
      </c>
      <c r="F2912">
        <f t="shared" ca="1" si="47"/>
        <v>-2.0429710380745311E-2</v>
      </c>
    </row>
    <row r="2913" spans="5:6" x14ac:dyDescent="0.35">
      <c r="E2913">
        <v>2910</v>
      </c>
      <c r="F2913">
        <f t="shared" ca="1" si="47"/>
        <v>-1.3424970758584434E-2</v>
      </c>
    </row>
    <row r="2914" spans="5:6" x14ac:dyDescent="0.35">
      <c r="E2914">
        <v>2911</v>
      </c>
      <c r="F2914">
        <f t="shared" ca="1" si="47"/>
        <v>-3.7621784541462073E-3</v>
      </c>
    </row>
    <row r="2915" spans="5:6" x14ac:dyDescent="0.35">
      <c r="E2915">
        <v>2912</v>
      </c>
      <c r="F2915">
        <f t="shared" ca="1" si="47"/>
        <v>-9.5410088701942987E-3</v>
      </c>
    </row>
    <row r="2916" spans="5:6" x14ac:dyDescent="0.35">
      <c r="E2916">
        <v>2913</v>
      </c>
      <c r="F2916">
        <f t="shared" ca="1" si="47"/>
        <v>2.4874757232531158E-2</v>
      </c>
    </row>
    <row r="2917" spans="5:6" x14ac:dyDescent="0.35">
      <c r="E2917">
        <v>2914</v>
      </c>
      <c r="F2917">
        <f t="shared" ca="1" si="47"/>
        <v>-7.505804739798486E-3</v>
      </c>
    </row>
    <row r="2918" spans="5:6" x14ac:dyDescent="0.35">
      <c r="E2918">
        <v>2915</v>
      </c>
      <c r="F2918">
        <f t="shared" ca="1" si="47"/>
        <v>1.2143172586537328E-2</v>
      </c>
    </row>
    <row r="2919" spans="5:6" x14ac:dyDescent="0.35">
      <c r="E2919">
        <v>2916</v>
      </c>
      <c r="F2919">
        <f t="shared" ca="1" si="47"/>
        <v>-2.034888108355928E-2</v>
      </c>
    </row>
    <row r="2920" spans="5:6" x14ac:dyDescent="0.35">
      <c r="E2920">
        <v>2917</v>
      </c>
      <c r="F2920">
        <f t="shared" ca="1" si="47"/>
        <v>-1.6854198210534736E-2</v>
      </c>
    </row>
    <row r="2921" spans="5:6" x14ac:dyDescent="0.35">
      <c r="E2921">
        <v>2918</v>
      </c>
      <c r="F2921">
        <f t="shared" ca="1" si="47"/>
        <v>1.0328817708992005E-2</v>
      </c>
    </row>
    <row r="2922" spans="5:6" x14ac:dyDescent="0.35">
      <c r="E2922">
        <v>2919</v>
      </c>
      <c r="F2922">
        <f t="shared" ca="1" si="47"/>
        <v>7.1970344820852603E-3</v>
      </c>
    </row>
    <row r="2923" spans="5:6" x14ac:dyDescent="0.35">
      <c r="E2923">
        <v>2920</v>
      </c>
      <c r="F2923">
        <f t="shared" ca="1" si="47"/>
        <v>1.0917400546099222E-2</v>
      </c>
    </row>
    <row r="2924" spans="5:6" x14ac:dyDescent="0.35">
      <c r="E2924">
        <v>2921</v>
      </c>
      <c r="F2924">
        <f t="shared" ca="1" si="47"/>
        <v>8.9308104157867132E-3</v>
      </c>
    </row>
    <row r="2925" spans="5:6" x14ac:dyDescent="0.35">
      <c r="E2925">
        <v>2922</v>
      </c>
      <c r="F2925">
        <f t="shared" ca="1" si="47"/>
        <v>-4.4364913245185291E-3</v>
      </c>
    </row>
    <row r="2926" spans="5:6" x14ac:dyDescent="0.35">
      <c r="E2926">
        <v>2923</v>
      </c>
      <c r="F2926">
        <f t="shared" ca="1" si="47"/>
        <v>2.0120549622220964E-2</v>
      </c>
    </row>
    <row r="2927" spans="5:6" x14ac:dyDescent="0.35">
      <c r="E2927">
        <v>2924</v>
      </c>
      <c r="F2927">
        <f t="shared" ca="1" si="47"/>
        <v>-7.7566132940354252E-3</v>
      </c>
    </row>
    <row r="2928" spans="5:6" x14ac:dyDescent="0.35">
      <c r="E2928">
        <v>2925</v>
      </c>
      <c r="F2928">
        <f t="shared" ca="1" si="47"/>
        <v>1.5769549702249832E-2</v>
      </c>
    </row>
    <row r="2929" spans="5:6" x14ac:dyDescent="0.35">
      <c r="E2929">
        <v>2926</v>
      </c>
      <c r="F2929">
        <f t="shared" ca="1" si="47"/>
        <v>-2.0628832938459015E-2</v>
      </c>
    </row>
    <row r="2930" spans="5:6" x14ac:dyDescent="0.35">
      <c r="E2930">
        <v>2927</v>
      </c>
      <c r="F2930">
        <f t="shared" ca="1" si="47"/>
        <v>2.197585441062366E-2</v>
      </c>
    </row>
    <row r="2931" spans="5:6" x14ac:dyDescent="0.35">
      <c r="E2931">
        <v>2928</v>
      </c>
      <c r="F2931">
        <f t="shared" ca="1" si="47"/>
        <v>3.9480711852332004E-3</v>
      </c>
    </row>
    <row r="2932" spans="5:6" x14ac:dyDescent="0.35">
      <c r="E2932">
        <v>2929</v>
      </c>
      <c r="F2932">
        <f t="shared" ca="1" si="47"/>
        <v>-3.5270352064701443E-2</v>
      </c>
    </row>
    <row r="2933" spans="5:6" x14ac:dyDescent="0.35">
      <c r="E2933">
        <v>2930</v>
      </c>
      <c r="F2933">
        <f t="shared" ca="1" si="47"/>
        <v>4.651881562528451E-3</v>
      </c>
    </row>
    <row r="2934" spans="5:6" x14ac:dyDescent="0.35">
      <c r="E2934">
        <v>2931</v>
      </c>
      <c r="F2934">
        <f t="shared" ca="1" si="47"/>
        <v>4.2318657879570213E-3</v>
      </c>
    </row>
    <row r="2935" spans="5:6" x14ac:dyDescent="0.35">
      <c r="E2935">
        <v>2932</v>
      </c>
      <c r="F2935">
        <f t="shared" ca="1" si="47"/>
        <v>-7.2291182848918363E-3</v>
      </c>
    </row>
    <row r="2936" spans="5:6" x14ac:dyDescent="0.35">
      <c r="E2936">
        <v>2933</v>
      </c>
      <c r="F2936">
        <f t="shared" ca="1" si="47"/>
        <v>-2.5905088448039154E-2</v>
      </c>
    </row>
    <row r="2937" spans="5:6" x14ac:dyDescent="0.35">
      <c r="E2937">
        <v>2934</v>
      </c>
      <c r="F2937">
        <f t="shared" ca="1" si="47"/>
        <v>4.3026034012052697E-2</v>
      </c>
    </row>
    <row r="2938" spans="5:6" x14ac:dyDescent="0.35">
      <c r="E2938">
        <v>2935</v>
      </c>
      <c r="F2938">
        <f t="shared" ca="1" si="47"/>
        <v>-8.9786992238149194E-3</v>
      </c>
    </row>
    <row r="2939" spans="5:6" x14ac:dyDescent="0.35">
      <c r="E2939">
        <v>2936</v>
      </c>
      <c r="F2939">
        <f t="shared" ca="1" si="47"/>
        <v>3.5115873943820791E-3</v>
      </c>
    </row>
    <row r="2940" spans="5:6" x14ac:dyDescent="0.35">
      <c r="E2940">
        <v>2937</v>
      </c>
      <c r="F2940">
        <f t="shared" ca="1" si="47"/>
        <v>-3.2651773284674585E-2</v>
      </c>
    </row>
    <row r="2941" spans="5:6" x14ac:dyDescent="0.35">
      <c r="E2941">
        <v>2938</v>
      </c>
      <c r="F2941">
        <f t="shared" ca="1" si="47"/>
        <v>1.023813365834903E-2</v>
      </c>
    </row>
    <row r="2942" spans="5:6" x14ac:dyDescent="0.35">
      <c r="E2942">
        <v>2939</v>
      </c>
      <c r="F2942">
        <f t="shared" ca="1" si="47"/>
        <v>-2.0936783614552427E-2</v>
      </c>
    </row>
    <row r="2943" spans="5:6" x14ac:dyDescent="0.35">
      <c r="E2943">
        <v>2940</v>
      </c>
      <c r="F2943">
        <f t="shared" ca="1" si="47"/>
        <v>-1.0267071471421444E-3</v>
      </c>
    </row>
    <row r="2944" spans="5:6" x14ac:dyDescent="0.35">
      <c r="E2944">
        <v>2941</v>
      </c>
      <c r="F2944">
        <f t="shared" ca="1" si="47"/>
        <v>-1.5590709662502339E-2</v>
      </c>
    </row>
    <row r="2945" spans="5:6" x14ac:dyDescent="0.35">
      <c r="E2945">
        <v>2942</v>
      </c>
      <c r="F2945">
        <f t="shared" ca="1" si="47"/>
        <v>1.1118082072101925E-2</v>
      </c>
    </row>
    <row r="2946" spans="5:6" x14ac:dyDescent="0.35">
      <c r="E2946">
        <v>2943</v>
      </c>
      <c r="F2946">
        <f t="shared" ca="1" si="47"/>
        <v>-8.3942929006750587E-4</v>
      </c>
    </row>
    <row r="2947" spans="5:6" x14ac:dyDescent="0.35">
      <c r="E2947">
        <v>2944</v>
      </c>
      <c r="F2947">
        <f t="shared" ca="1" si="47"/>
        <v>-1.2068849733282035E-2</v>
      </c>
    </row>
    <row r="2948" spans="5:6" x14ac:dyDescent="0.35">
      <c r="E2948">
        <v>2945</v>
      </c>
      <c r="F2948">
        <f t="shared" ca="1" si="47"/>
        <v>-1.4507392500834231E-2</v>
      </c>
    </row>
    <row r="2949" spans="5:6" x14ac:dyDescent="0.35">
      <c r="E2949">
        <v>2946</v>
      </c>
      <c r="F2949">
        <f t="shared" ref="F2949:F3012" ca="1" si="48">_xlfn.NORM.INV(RAND(),M$6,M$7)</f>
        <v>-9.5251881018382934E-3</v>
      </c>
    </row>
    <row r="2950" spans="5:6" x14ac:dyDescent="0.35">
      <c r="E2950">
        <v>2947</v>
      </c>
      <c r="F2950">
        <f t="shared" ca="1" si="48"/>
        <v>1.4267613996447796E-2</v>
      </c>
    </row>
    <row r="2951" spans="5:6" x14ac:dyDescent="0.35">
      <c r="E2951">
        <v>2948</v>
      </c>
      <c r="F2951">
        <f t="shared" ca="1" si="48"/>
        <v>-4.8614403485917499E-3</v>
      </c>
    </row>
    <row r="2952" spans="5:6" x14ac:dyDescent="0.35">
      <c r="E2952">
        <v>2949</v>
      </c>
      <c r="F2952">
        <f t="shared" ca="1" si="48"/>
        <v>-5.4751966717792111E-3</v>
      </c>
    </row>
    <row r="2953" spans="5:6" x14ac:dyDescent="0.35">
      <c r="E2953">
        <v>2950</v>
      </c>
      <c r="F2953">
        <f t="shared" ca="1" si="48"/>
        <v>-3.7652449607568769E-3</v>
      </c>
    </row>
    <row r="2954" spans="5:6" x14ac:dyDescent="0.35">
      <c r="E2954">
        <v>2951</v>
      </c>
      <c r="F2954">
        <f t="shared" ca="1" si="48"/>
        <v>3.383671224617163E-3</v>
      </c>
    </row>
    <row r="2955" spans="5:6" x14ac:dyDescent="0.35">
      <c r="E2955">
        <v>2952</v>
      </c>
      <c r="F2955">
        <f t="shared" ca="1" si="48"/>
        <v>8.6690197971367525E-3</v>
      </c>
    </row>
    <row r="2956" spans="5:6" x14ac:dyDescent="0.35">
      <c r="E2956">
        <v>2953</v>
      </c>
      <c r="F2956">
        <f t="shared" ca="1" si="48"/>
        <v>-2.5218149675487297E-2</v>
      </c>
    </row>
    <row r="2957" spans="5:6" x14ac:dyDescent="0.35">
      <c r="E2957">
        <v>2954</v>
      </c>
      <c r="F2957">
        <f t="shared" ca="1" si="48"/>
        <v>5.0525376852244971E-3</v>
      </c>
    </row>
    <row r="2958" spans="5:6" x14ac:dyDescent="0.35">
      <c r="E2958">
        <v>2955</v>
      </c>
      <c r="F2958">
        <f t="shared" ca="1" si="48"/>
        <v>-8.8443640691619734E-3</v>
      </c>
    </row>
    <row r="2959" spans="5:6" x14ac:dyDescent="0.35">
      <c r="E2959">
        <v>2956</v>
      </c>
      <c r="F2959">
        <f t="shared" ca="1" si="48"/>
        <v>2.4283206964247496E-2</v>
      </c>
    </row>
    <row r="2960" spans="5:6" x14ac:dyDescent="0.35">
      <c r="E2960">
        <v>2957</v>
      </c>
      <c r="F2960">
        <f t="shared" ca="1" si="48"/>
        <v>-1.775684274926273E-2</v>
      </c>
    </row>
    <row r="2961" spans="5:6" x14ac:dyDescent="0.35">
      <c r="E2961">
        <v>2958</v>
      </c>
      <c r="F2961">
        <f t="shared" ca="1" si="48"/>
        <v>-2.5068128259868446E-3</v>
      </c>
    </row>
    <row r="2962" spans="5:6" x14ac:dyDescent="0.35">
      <c r="E2962">
        <v>2959</v>
      </c>
      <c r="F2962">
        <f t="shared" ca="1" si="48"/>
        <v>-7.1260251633141107E-3</v>
      </c>
    </row>
    <row r="2963" spans="5:6" x14ac:dyDescent="0.35">
      <c r="E2963">
        <v>2960</v>
      </c>
      <c r="F2963">
        <f t="shared" ca="1" si="48"/>
        <v>3.0997148204694461E-2</v>
      </c>
    </row>
    <row r="2964" spans="5:6" x14ac:dyDescent="0.35">
      <c r="E2964">
        <v>2961</v>
      </c>
      <c r="F2964">
        <f t="shared" ca="1" si="48"/>
        <v>2.1405188652875363E-2</v>
      </c>
    </row>
    <row r="2965" spans="5:6" x14ac:dyDescent="0.35">
      <c r="E2965">
        <v>2962</v>
      </c>
      <c r="F2965">
        <f t="shared" ca="1" si="48"/>
        <v>-5.2775074364225603E-3</v>
      </c>
    </row>
    <row r="2966" spans="5:6" x14ac:dyDescent="0.35">
      <c r="E2966">
        <v>2963</v>
      </c>
      <c r="F2966">
        <f t="shared" ca="1" si="48"/>
        <v>1.1097149386207825E-2</v>
      </c>
    </row>
    <row r="2967" spans="5:6" x14ac:dyDescent="0.35">
      <c r="E2967">
        <v>2964</v>
      </c>
      <c r="F2967">
        <f t="shared" ca="1" si="48"/>
        <v>-2.0063161582951649E-3</v>
      </c>
    </row>
    <row r="2968" spans="5:6" x14ac:dyDescent="0.35">
      <c r="E2968">
        <v>2965</v>
      </c>
      <c r="F2968">
        <f t="shared" ca="1" si="48"/>
        <v>1.8553523605410061E-2</v>
      </c>
    </row>
    <row r="2969" spans="5:6" x14ac:dyDescent="0.35">
      <c r="E2969">
        <v>2966</v>
      </c>
      <c r="F2969">
        <f t="shared" ca="1" si="48"/>
        <v>-5.6264011045452323E-3</v>
      </c>
    </row>
    <row r="2970" spans="5:6" x14ac:dyDescent="0.35">
      <c r="E2970">
        <v>2967</v>
      </c>
      <c r="F2970">
        <f t="shared" ca="1" si="48"/>
        <v>-5.5908752443415248E-3</v>
      </c>
    </row>
    <row r="2971" spans="5:6" x14ac:dyDescent="0.35">
      <c r="E2971">
        <v>2968</v>
      </c>
      <c r="F2971">
        <f t="shared" ca="1" si="48"/>
        <v>1.0314816658879839E-2</v>
      </c>
    </row>
    <row r="2972" spans="5:6" x14ac:dyDescent="0.35">
      <c r="E2972">
        <v>2969</v>
      </c>
      <c r="F2972">
        <f t="shared" ca="1" si="48"/>
        <v>-6.1717744063944265E-3</v>
      </c>
    </row>
    <row r="2973" spans="5:6" x14ac:dyDescent="0.35">
      <c r="E2973">
        <v>2970</v>
      </c>
      <c r="F2973">
        <f t="shared" ca="1" si="48"/>
        <v>-1.9131167605737787E-2</v>
      </c>
    </row>
    <row r="2974" spans="5:6" x14ac:dyDescent="0.35">
      <c r="E2974">
        <v>2971</v>
      </c>
      <c r="F2974">
        <f t="shared" ca="1" si="48"/>
        <v>-7.8048040608523104E-5</v>
      </c>
    </row>
    <row r="2975" spans="5:6" x14ac:dyDescent="0.35">
      <c r="E2975">
        <v>2972</v>
      </c>
      <c r="F2975">
        <f t="shared" ca="1" si="48"/>
        <v>-8.7982806432042593E-3</v>
      </c>
    </row>
    <row r="2976" spans="5:6" x14ac:dyDescent="0.35">
      <c r="E2976">
        <v>2973</v>
      </c>
      <c r="F2976">
        <f t="shared" ca="1" si="48"/>
        <v>-2.1876472649463945E-2</v>
      </c>
    </row>
    <row r="2977" spans="5:6" x14ac:dyDescent="0.35">
      <c r="E2977">
        <v>2974</v>
      </c>
      <c r="F2977">
        <f t="shared" ca="1" si="48"/>
        <v>9.818052260970888E-3</v>
      </c>
    </row>
    <row r="2978" spans="5:6" x14ac:dyDescent="0.35">
      <c r="E2978">
        <v>2975</v>
      </c>
      <c r="F2978">
        <f t="shared" ca="1" si="48"/>
        <v>-8.8664319408669999E-3</v>
      </c>
    </row>
    <row r="2979" spans="5:6" x14ac:dyDescent="0.35">
      <c r="E2979">
        <v>2976</v>
      </c>
      <c r="F2979">
        <f t="shared" ca="1" si="48"/>
        <v>1.0601897703570192E-2</v>
      </c>
    </row>
    <row r="2980" spans="5:6" x14ac:dyDescent="0.35">
      <c r="E2980">
        <v>2977</v>
      </c>
      <c r="F2980">
        <f t="shared" ca="1" si="48"/>
        <v>1.9091741665704315E-3</v>
      </c>
    </row>
    <row r="2981" spans="5:6" x14ac:dyDescent="0.35">
      <c r="E2981">
        <v>2978</v>
      </c>
      <c r="F2981">
        <f t="shared" ca="1" si="48"/>
        <v>5.0603045347907358E-3</v>
      </c>
    </row>
    <row r="2982" spans="5:6" x14ac:dyDescent="0.35">
      <c r="E2982">
        <v>2979</v>
      </c>
      <c r="F2982">
        <f t="shared" ca="1" si="48"/>
        <v>1.7859122400674325E-2</v>
      </c>
    </row>
    <row r="2983" spans="5:6" x14ac:dyDescent="0.35">
      <c r="E2983">
        <v>2980</v>
      </c>
      <c r="F2983">
        <f t="shared" ca="1" si="48"/>
        <v>-7.3857098399044202E-3</v>
      </c>
    </row>
    <row r="2984" spans="5:6" x14ac:dyDescent="0.35">
      <c r="E2984">
        <v>2981</v>
      </c>
      <c r="F2984">
        <f t="shared" ca="1" si="48"/>
        <v>6.0221449923187152E-3</v>
      </c>
    </row>
    <row r="2985" spans="5:6" x14ac:dyDescent="0.35">
      <c r="E2985">
        <v>2982</v>
      </c>
      <c r="F2985">
        <f t="shared" ca="1" si="48"/>
        <v>-8.2050095898113049E-3</v>
      </c>
    </row>
    <row r="2986" spans="5:6" x14ac:dyDescent="0.35">
      <c r="E2986">
        <v>2983</v>
      </c>
      <c r="F2986">
        <f t="shared" ca="1" si="48"/>
        <v>7.5397475637708844E-3</v>
      </c>
    </row>
    <row r="2987" spans="5:6" x14ac:dyDescent="0.35">
      <c r="E2987">
        <v>2984</v>
      </c>
      <c r="F2987">
        <f t="shared" ca="1" si="48"/>
        <v>-5.7435358636423895E-3</v>
      </c>
    </row>
    <row r="2988" spans="5:6" x14ac:dyDescent="0.35">
      <c r="E2988">
        <v>2985</v>
      </c>
      <c r="F2988">
        <f t="shared" ca="1" si="48"/>
        <v>-2.0639120397555371E-2</v>
      </c>
    </row>
    <row r="2989" spans="5:6" x14ac:dyDescent="0.35">
      <c r="E2989">
        <v>2986</v>
      </c>
      <c r="F2989">
        <f t="shared" ca="1" si="48"/>
        <v>-1.4640022411951325E-2</v>
      </c>
    </row>
    <row r="2990" spans="5:6" x14ac:dyDescent="0.35">
      <c r="E2990">
        <v>2987</v>
      </c>
      <c r="F2990">
        <f t="shared" ca="1" si="48"/>
        <v>-4.0302414255907679E-3</v>
      </c>
    </row>
    <row r="2991" spans="5:6" x14ac:dyDescent="0.35">
      <c r="E2991">
        <v>2988</v>
      </c>
      <c r="F2991">
        <f t="shared" ca="1" si="48"/>
        <v>-2.6288990633193642E-3</v>
      </c>
    </row>
    <row r="2992" spans="5:6" x14ac:dyDescent="0.35">
      <c r="E2992">
        <v>2989</v>
      </c>
      <c r="F2992">
        <f t="shared" ca="1" si="48"/>
        <v>-2.2070353151441194E-2</v>
      </c>
    </row>
    <row r="2993" spans="5:6" x14ac:dyDescent="0.35">
      <c r="E2993">
        <v>2990</v>
      </c>
      <c r="F2993">
        <f t="shared" ca="1" si="48"/>
        <v>-2.980856502417765E-3</v>
      </c>
    </row>
    <row r="2994" spans="5:6" x14ac:dyDescent="0.35">
      <c r="E2994">
        <v>2991</v>
      </c>
      <c r="F2994">
        <f t="shared" ca="1" si="48"/>
        <v>1.5905580711285578E-2</v>
      </c>
    </row>
    <row r="2995" spans="5:6" x14ac:dyDescent="0.35">
      <c r="E2995">
        <v>2992</v>
      </c>
      <c r="F2995">
        <f t="shared" ca="1" si="48"/>
        <v>9.7787695065018818E-3</v>
      </c>
    </row>
    <row r="2996" spans="5:6" x14ac:dyDescent="0.35">
      <c r="E2996">
        <v>2993</v>
      </c>
      <c r="F2996">
        <f t="shared" ca="1" si="48"/>
        <v>6.6941645661979651E-3</v>
      </c>
    </row>
    <row r="2997" spans="5:6" x14ac:dyDescent="0.35">
      <c r="E2997">
        <v>2994</v>
      </c>
      <c r="F2997">
        <f t="shared" ca="1" si="48"/>
        <v>-1.747390150137151E-2</v>
      </c>
    </row>
    <row r="2998" spans="5:6" x14ac:dyDescent="0.35">
      <c r="E2998">
        <v>2995</v>
      </c>
      <c r="F2998">
        <f t="shared" ca="1" si="48"/>
        <v>-1.3575850326826053E-2</v>
      </c>
    </row>
    <row r="2999" spans="5:6" x14ac:dyDescent="0.35">
      <c r="E2999">
        <v>2996</v>
      </c>
      <c r="F2999">
        <f t="shared" ca="1" si="48"/>
        <v>1.2376003329522462E-3</v>
      </c>
    </row>
    <row r="3000" spans="5:6" x14ac:dyDescent="0.35">
      <c r="E3000">
        <v>2997</v>
      </c>
      <c r="F3000">
        <f t="shared" ca="1" si="48"/>
        <v>-6.3648016239493061E-3</v>
      </c>
    </row>
    <row r="3001" spans="5:6" x14ac:dyDescent="0.35">
      <c r="E3001">
        <v>2998</v>
      </c>
      <c r="F3001">
        <f t="shared" ca="1" si="48"/>
        <v>-1.7324702885862489E-3</v>
      </c>
    </row>
    <row r="3002" spans="5:6" x14ac:dyDescent="0.35">
      <c r="E3002">
        <v>2999</v>
      </c>
      <c r="F3002">
        <f t="shared" ca="1" si="48"/>
        <v>-9.7284158102798318E-3</v>
      </c>
    </row>
    <row r="3003" spans="5:6" x14ac:dyDescent="0.35">
      <c r="E3003">
        <v>3000</v>
      </c>
      <c r="F3003">
        <f t="shared" ca="1" si="48"/>
        <v>2.7713691581529826E-2</v>
      </c>
    </row>
    <row r="3004" spans="5:6" x14ac:dyDescent="0.35">
      <c r="E3004">
        <v>3001</v>
      </c>
      <c r="F3004">
        <f t="shared" ca="1" si="48"/>
        <v>-1.5111120114712764E-2</v>
      </c>
    </row>
    <row r="3005" spans="5:6" x14ac:dyDescent="0.35">
      <c r="E3005">
        <v>3002</v>
      </c>
      <c r="F3005">
        <f t="shared" ca="1" si="48"/>
        <v>2.5511877571791432E-2</v>
      </c>
    </row>
    <row r="3006" spans="5:6" x14ac:dyDescent="0.35">
      <c r="E3006">
        <v>3003</v>
      </c>
      <c r="F3006">
        <f t="shared" ca="1" si="48"/>
        <v>2.3714341004179056E-2</v>
      </c>
    </row>
    <row r="3007" spans="5:6" x14ac:dyDescent="0.35">
      <c r="E3007">
        <v>3004</v>
      </c>
      <c r="F3007">
        <f t="shared" ca="1" si="48"/>
        <v>-2.0944161576566295E-3</v>
      </c>
    </row>
    <row r="3008" spans="5:6" x14ac:dyDescent="0.35">
      <c r="E3008">
        <v>3005</v>
      </c>
      <c r="F3008">
        <f t="shared" ca="1" si="48"/>
        <v>1.4953438532865567E-2</v>
      </c>
    </row>
    <row r="3009" spans="5:6" x14ac:dyDescent="0.35">
      <c r="E3009">
        <v>3006</v>
      </c>
      <c r="F3009">
        <f t="shared" ca="1" si="48"/>
        <v>-2.5274881614367615E-4</v>
      </c>
    </row>
    <row r="3010" spans="5:6" x14ac:dyDescent="0.35">
      <c r="E3010">
        <v>3007</v>
      </c>
      <c r="F3010">
        <f t="shared" ca="1" si="48"/>
        <v>2.0332352433964553E-2</v>
      </c>
    </row>
    <row r="3011" spans="5:6" x14ac:dyDescent="0.35">
      <c r="E3011">
        <v>3008</v>
      </c>
      <c r="F3011">
        <f t="shared" ca="1" si="48"/>
        <v>1.7514728935558915E-2</v>
      </c>
    </row>
    <row r="3012" spans="5:6" x14ac:dyDescent="0.35">
      <c r="E3012">
        <v>3009</v>
      </c>
      <c r="F3012">
        <f t="shared" ca="1" si="48"/>
        <v>-1.1104469707909482E-2</v>
      </c>
    </row>
    <row r="3013" spans="5:6" x14ac:dyDescent="0.35">
      <c r="E3013">
        <v>3010</v>
      </c>
      <c r="F3013">
        <f t="shared" ref="F3013:F3076" ca="1" si="49">_xlfn.NORM.INV(RAND(),M$6,M$7)</f>
        <v>5.7403637189456158E-4</v>
      </c>
    </row>
    <row r="3014" spans="5:6" x14ac:dyDescent="0.35">
      <c r="E3014">
        <v>3011</v>
      </c>
      <c r="F3014">
        <f t="shared" ca="1" si="49"/>
        <v>1.5021011027077001E-2</v>
      </c>
    </row>
    <row r="3015" spans="5:6" x14ac:dyDescent="0.35">
      <c r="E3015">
        <v>3012</v>
      </c>
      <c r="F3015">
        <f t="shared" ca="1" si="49"/>
        <v>-2.4575412095653747E-2</v>
      </c>
    </row>
    <row r="3016" spans="5:6" x14ac:dyDescent="0.35">
      <c r="E3016">
        <v>3013</v>
      </c>
      <c r="F3016">
        <f t="shared" ca="1" si="49"/>
        <v>1.0784520922187768E-2</v>
      </c>
    </row>
    <row r="3017" spans="5:6" x14ac:dyDescent="0.35">
      <c r="E3017">
        <v>3014</v>
      </c>
      <c r="F3017">
        <f t="shared" ca="1" si="49"/>
        <v>1.5075455710825652E-2</v>
      </c>
    </row>
    <row r="3018" spans="5:6" x14ac:dyDescent="0.35">
      <c r="E3018">
        <v>3015</v>
      </c>
      <c r="F3018">
        <f t="shared" ca="1" si="49"/>
        <v>1.229507021056186E-2</v>
      </c>
    </row>
    <row r="3019" spans="5:6" x14ac:dyDescent="0.35">
      <c r="E3019">
        <v>3016</v>
      </c>
      <c r="F3019">
        <f t="shared" ca="1" si="49"/>
        <v>1.4736440498854792E-2</v>
      </c>
    </row>
    <row r="3020" spans="5:6" x14ac:dyDescent="0.35">
      <c r="E3020">
        <v>3017</v>
      </c>
      <c r="F3020">
        <f t="shared" ca="1" si="49"/>
        <v>9.4691373517907778E-3</v>
      </c>
    </row>
    <row r="3021" spans="5:6" x14ac:dyDescent="0.35">
      <c r="E3021">
        <v>3018</v>
      </c>
      <c r="F3021">
        <f t="shared" ca="1" si="49"/>
        <v>2.6747057067861446E-4</v>
      </c>
    </row>
    <row r="3022" spans="5:6" x14ac:dyDescent="0.35">
      <c r="E3022">
        <v>3019</v>
      </c>
      <c r="F3022">
        <f t="shared" ca="1" si="49"/>
        <v>3.5903776551817611E-2</v>
      </c>
    </row>
    <row r="3023" spans="5:6" x14ac:dyDescent="0.35">
      <c r="E3023">
        <v>3020</v>
      </c>
      <c r="F3023">
        <f t="shared" ca="1" si="49"/>
        <v>-7.9766360620157437E-3</v>
      </c>
    </row>
    <row r="3024" spans="5:6" x14ac:dyDescent="0.35">
      <c r="E3024">
        <v>3021</v>
      </c>
      <c r="F3024">
        <f t="shared" ca="1" si="49"/>
        <v>-1.6673371064814375E-2</v>
      </c>
    </row>
    <row r="3025" spans="5:6" x14ac:dyDescent="0.35">
      <c r="E3025">
        <v>3022</v>
      </c>
      <c r="F3025">
        <f t="shared" ca="1" si="49"/>
        <v>4.9048367657190802E-3</v>
      </c>
    </row>
    <row r="3026" spans="5:6" x14ac:dyDescent="0.35">
      <c r="E3026">
        <v>3023</v>
      </c>
      <c r="F3026">
        <f t="shared" ca="1" si="49"/>
        <v>6.0136852318054927E-3</v>
      </c>
    </row>
    <row r="3027" spans="5:6" x14ac:dyDescent="0.35">
      <c r="E3027">
        <v>3024</v>
      </c>
      <c r="F3027">
        <f t="shared" ca="1" si="49"/>
        <v>4.1415433094981286E-3</v>
      </c>
    </row>
    <row r="3028" spans="5:6" x14ac:dyDescent="0.35">
      <c r="E3028">
        <v>3025</v>
      </c>
      <c r="F3028">
        <f t="shared" ca="1" si="49"/>
        <v>2.1022757800577899E-2</v>
      </c>
    </row>
    <row r="3029" spans="5:6" x14ac:dyDescent="0.35">
      <c r="E3029">
        <v>3026</v>
      </c>
      <c r="F3029">
        <f t="shared" ca="1" si="49"/>
        <v>3.4416554721878397E-3</v>
      </c>
    </row>
    <row r="3030" spans="5:6" x14ac:dyDescent="0.35">
      <c r="E3030">
        <v>3027</v>
      </c>
      <c r="F3030">
        <f t="shared" ca="1" si="49"/>
        <v>-3.9366095710954051E-3</v>
      </c>
    </row>
    <row r="3031" spans="5:6" x14ac:dyDescent="0.35">
      <c r="E3031">
        <v>3028</v>
      </c>
      <c r="F3031">
        <f t="shared" ca="1" si="49"/>
        <v>8.1191869249884665E-3</v>
      </c>
    </row>
    <row r="3032" spans="5:6" x14ac:dyDescent="0.35">
      <c r="E3032">
        <v>3029</v>
      </c>
      <c r="F3032">
        <f t="shared" ca="1" si="49"/>
        <v>3.2607195879766643E-3</v>
      </c>
    </row>
    <row r="3033" spans="5:6" x14ac:dyDescent="0.35">
      <c r="E3033">
        <v>3030</v>
      </c>
      <c r="F3033">
        <f t="shared" ca="1" si="49"/>
        <v>-8.6941210378020072E-3</v>
      </c>
    </row>
    <row r="3034" spans="5:6" x14ac:dyDescent="0.35">
      <c r="E3034">
        <v>3031</v>
      </c>
      <c r="F3034">
        <f t="shared" ca="1" si="49"/>
        <v>3.2492516818584216E-3</v>
      </c>
    </row>
    <row r="3035" spans="5:6" x14ac:dyDescent="0.35">
      <c r="E3035">
        <v>3032</v>
      </c>
      <c r="F3035">
        <f t="shared" ca="1" si="49"/>
        <v>-1.5227400227582066E-2</v>
      </c>
    </row>
    <row r="3036" spans="5:6" x14ac:dyDescent="0.35">
      <c r="E3036">
        <v>3033</v>
      </c>
      <c r="F3036">
        <f t="shared" ca="1" si="49"/>
        <v>3.6334238667031149E-3</v>
      </c>
    </row>
    <row r="3037" spans="5:6" x14ac:dyDescent="0.35">
      <c r="E3037">
        <v>3034</v>
      </c>
      <c r="F3037">
        <f t="shared" ca="1" si="49"/>
        <v>-2.3674654679572767E-3</v>
      </c>
    </row>
    <row r="3038" spans="5:6" x14ac:dyDescent="0.35">
      <c r="E3038">
        <v>3035</v>
      </c>
      <c r="F3038">
        <f t="shared" ca="1" si="49"/>
        <v>-2.5720348866717078E-3</v>
      </c>
    </row>
    <row r="3039" spans="5:6" x14ac:dyDescent="0.35">
      <c r="E3039">
        <v>3036</v>
      </c>
      <c r="F3039">
        <f t="shared" ca="1" si="49"/>
        <v>3.1862328386556703E-3</v>
      </c>
    </row>
    <row r="3040" spans="5:6" x14ac:dyDescent="0.35">
      <c r="E3040">
        <v>3037</v>
      </c>
      <c r="F3040">
        <f t="shared" ca="1" si="49"/>
        <v>-6.5263536901672935E-3</v>
      </c>
    </row>
    <row r="3041" spans="5:6" x14ac:dyDescent="0.35">
      <c r="E3041">
        <v>3038</v>
      </c>
      <c r="F3041">
        <f t="shared" ca="1" si="49"/>
        <v>2.9385299659531711E-4</v>
      </c>
    </row>
    <row r="3042" spans="5:6" x14ac:dyDescent="0.35">
      <c r="E3042">
        <v>3039</v>
      </c>
      <c r="F3042">
        <f t="shared" ca="1" si="49"/>
        <v>5.8300855783928861E-3</v>
      </c>
    </row>
    <row r="3043" spans="5:6" x14ac:dyDescent="0.35">
      <c r="E3043">
        <v>3040</v>
      </c>
      <c r="F3043">
        <f t="shared" ca="1" si="49"/>
        <v>-6.8498702488871037E-3</v>
      </c>
    </row>
    <row r="3044" spans="5:6" x14ac:dyDescent="0.35">
      <c r="E3044">
        <v>3041</v>
      </c>
      <c r="F3044">
        <f t="shared" ca="1" si="49"/>
        <v>-3.6360190453729719E-4</v>
      </c>
    </row>
    <row r="3045" spans="5:6" x14ac:dyDescent="0.35">
      <c r="E3045">
        <v>3042</v>
      </c>
      <c r="F3045">
        <f t="shared" ca="1" si="49"/>
        <v>6.4154972199363253E-3</v>
      </c>
    </row>
    <row r="3046" spans="5:6" x14ac:dyDescent="0.35">
      <c r="E3046">
        <v>3043</v>
      </c>
      <c r="F3046">
        <f t="shared" ca="1" si="49"/>
        <v>-2.3952175329830169E-2</v>
      </c>
    </row>
    <row r="3047" spans="5:6" x14ac:dyDescent="0.35">
      <c r="E3047">
        <v>3044</v>
      </c>
      <c r="F3047">
        <f t="shared" ca="1" si="49"/>
        <v>-4.7320032036422986E-3</v>
      </c>
    </row>
    <row r="3048" spans="5:6" x14ac:dyDescent="0.35">
      <c r="E3048">
        <v>3045</v>
      </c>
      <c r="F3048">
        <f t="shared" ca="1" si="49"/>
        <v>2.0148607808950845E-3</v>
      </c>
    </row>
    <row r="3049" spans="5:6" x14ac:dyDescent="0.35">
      <c r="E3049">
        <v>3046</v>
      </c>
      <c r="F3049">
        <f t="shared" ca="1" si="49"/>
        <v>2.1433254360991826E-2</v>
      </c>
    </row>
    <row r="3050" spans="5:6" x14ac:dyDescent="0.35">
      <c r="E3050">
        <v>3047</v>
      </c>
      <c r="F3050">
        <f t="shared" ca="1" si="49"/>
        <v>1.2896592898797129E-2</v>
      </c>
    </row>
    <row r="3051" spans="5:6" x14ac:dyDescent="0.35">
      <c r="E3051">
        <v>3048</v>
      </c>
      <c r="F3051">
        <f t="shared" ca="1" si="49"/>
        <v>-8.8373048289281299E-3</v>
      </c>
    </row>
    <row r="3052" spans="5:6" x14ac:dyDescent="0.35">
      <c r="E3052">
        <v>3049</v>
      </c>
      <c r="F3052">
        <f t="shared" ca="1" si="49"/>
        <v>3.5004330787115429E-2</v>
      </c>
    </row>
    <row r="3053" spans="5:6" x14ac:dyDescent="0.35">
      <c r="E3053">
        <v>3050</v>
      </c>
      <c r="F3053">
        <f t="shared" ca="1" si="49"/>
        <v>-1.2337128169254903E-2</v>
      </c>
    </row>
    <row r="3054" spans="5:6" x14ac:dyDescent="0.35">
      <c r="E3054">
        <v>3051</v>
      </c>
      <c r="F3054">
        <f t="shared" ca="1" si="49"/>
        <v>8.2303834841800007E-3</v>
      </c>
    </row>
    <row r="3055" spans="5:6" x14ac:dyDescent="0.35">
      <c r="E3055">
        <v>3052</v>
      </c>
      <c r="F3055">
        <f t="shared" ca="1" si="49"/>
        <v>1.7636808506605907E-2</v>
      </c>
    </row>
    <row r="3056" spans="5:6" x14ac:dyDescent="0.35">
      <c r="E3056">
        <v>3053</v>
      </c>
      <c r="F3056">
        <f t="shared" ca="1" si="49"/>
        <v>-1.0678502770001207E-3</v>
      </c>
    </row>
    <row r="3057" spans="5:6" x14ac:dyDescent="0.35">
      <c r="E3057">
        <v>3054</v>
      </c>
      <c r="F3057">
        <f t="shared" ca="1" si="49"/>
        <v>1.4083948389832244E-2</v>
      </c>
    </row>
    <row r="3058" spans="5:6" x14ac:dyDescent="0.35">
      <c r="E3058">
        <v>3055</v>
      </c>
      <c r="F3058">
        <f t="shared" ca="1" si="49"/>
        <v>1.9299436234515035E-3</v>
      </c>
    </row>
    <row r="3059" spans="5:6" x14ac:dyDescent="0.35">
      <c r="E3059">
        <v>3056</v>
      </c>
      <c r="F3059">
        <f t="shared" ca="1" si="49"/>
        <v>1.3678410838639396E-2</v>
      </c>
    </row>
    <row r="3060" spans="5:6" x14ac:dyDescent="0.35">
      <c r="E3060">
        <v>3057</v>
      </c>
      <c r="F3060">
        <f t="shared" ca="1" si="49"/>
        <v>5.4423627258652586E-3</v>
      </c>
    </row>
    <row r="3061" spans="5:6" x14ac:dyDescent="0.35">
      <c r="E3061">
        <v>3058</v>
      </c>
      <c r="F3061">
        <f t="shared" ca="1" si="49"/>
        <v>-4.215263981567516E-3</v>
      </c>
    </row>
    <row r="3062" spans="5:6" x14ac:dyDescent="0.35">
      <c r="E3062">
        <v>3059</v>
      </c>
      <c r="F3062">
        <f t="shared" ca="1" si="49"/>
        <v>-1.3771005747932949E-2</v>
      </c>
    </row>
    <row r="3063" spans="5:6" x14ac:dyDescent="0.35">
      <c r="E3063">
        <v>3060</v>
      </c>
      <c r="F3063">
        <f t="shared" ca="1" si="49"/>
        <v>-2.034974820371209E-2</v>
      </c>
    </row>
    <row r="3064" spans="5:6" x14ac:dyDescent="0.35">
      <c r="E3064">
        <v>3061</v>
      </c>
      <c r="F3064">
        <f t="shared" ca="1" si="49"/>
        <v>-2.2274523060503395E-2</v>
      </c>
    </row>
    <row r="3065" spans="5:6" x14ac:dyDescent="0.35">
      <c r="E3065">
        <v>3062</v>
      </c>
      <c r="F3065">
        <f t="shared" ca="1" si="49"/>
        <v>1.0685672880518967E-2</v>
      </c>
    </row>
    <row r="3066" spans="5:6" x14ac:dyDescent="0.35">
      <c r="E3066">
        <v>3063</v>
      </c>
      <c r="F3066">
        <f t="shared" ca="1" si="49"/>
        <v>1.2659390567248014E-2</v>
      </c>
    </row>
    <row r="3067" spans="5:6" x14ac:dyDescent="0.35">
      <c r="E3067">
        <v>3064</v>
      </c>
      <c r="F3067">
        <f t="shared" ca="1" si="49"/>
        <v>-7.495784516762442E-3</v>
      </c>
    </row>
    <row r="3068" spans="5:6" x14ac:dyDescent="0.35">
      <c r="E3068">
        <v>3065</v>
      </c>
      <c r="F3068">
        <f t="shared" ca="1" si="49"/>
        <v>1.658951637970817E-2</v>
      </c>
    </row>
    <row r="3069" spans="5:6" x14ac:dyDescent="0.35">
      <c r="E3069">
        <v>3066</v>
      </c>
      <c r="F3069">
        <f t="shared" ca="1" si="49"/>
        <v>3.000275237820899E-3</v>
      </c>
    </row>
    <row r="3070" spans="5:6" x14ac:dyDescent="0.35">
      <c r="E3070">
        <v>3067</v>
      </c>
      <c r="F3070">
        <f t="shared" ca="1" si="49"/>
        <v>-2.8574432570796109E-2</v>
      </c>
    </row>
    <row r="3071" spans="5:6" x14ac:dyDescent="0.35">
      <c r="E3071">
        <v>3068</v>
      </c>
      <c r="F3071">
        <f t="shared" ca="1" si="49"/>
        <v>-2.403772008671762E-4</v>
      </c>
    </row>
    <row r="3072" spans="5:6" x14ac:dyDescent="0.35">
      <c r="E3072">
        <v>3069</v>
      </c>
      <c r="F3072">
        <f t="shared" ca="1" si="49"/>
        <v>-4.213741654879883E-3</v>
      </c>
    </row>
    <row r="3073" spans="5:6" x14ac:dyDescent="0.35">
      <c r="E3073">
        <v>3070</v>
      </c>
      <c r="F3073">
        <f t="shared" ca="1" si="49"/>
        <v>2.6229408689939816E-2</v>
      </c>
    </row>
    <row r="3074" spans="5:6" x14ac:dyDescent="0.35">
      <c r="E3074">
        <v>3071</v>
      </c>
      <c r="F3074">
        <f t="shared" ca="1" si="49"/>
        <v>2.779679639357819E-3</v>
      </c>
    </row>
    <row r="3075" spans="5:6" x14ac:dyDescent="0.35">
      <c r="E3075">
        <v>3072</v>
      </c>
      <c r="F3075">
        <f t="shared" ca="1" si="49"/>
        <v>-2.213652066412241E-2</v>
      </c>
    </row>
    <row r="3076" spans="5:6" x14ac:dyDescent="0.35">
      <c r="E3076">
        <v>3073</v>
      </c>
      <c r="F3076">
        <f t="shared" ca="1" si="49"/>
        <v>3.5346672037976129E-3</v>
      </c>
    </row>
    <row r="3077" spans="5:6" x14ac:dyDescent="0.35">
      <c r="E3077">
        <v>3074</v>
      </c>
      <c r="F3077">
        <f t="shared" ref="F3077:F3140" ca="1" si="50">_xlfn.NORM.INV(RAND(),M$6,M$7)</f>
        <v>1.5509868815252837E-4</v>
      </c>
    </row>
    <row r="3078" spans="5:6" x14ac:dyDescent="0.35">
      <c r="E3078">
        <v>3075</v>
      </c>
      <c r="F3078">
        <f t="shared" ca="1" si="50"/>
        <v>2.5966824323263968E-3</v>
      </c>
    </row>
    <row r="3079" spans="5:6" x14ac:dyDescent="0.35">
      <c r="E3079">
        <v>3076</v>
      </c>
      <c r="F3079">
        <f t="shared" ca="1" si="50"/>
        <v>-6.0033093726229126E-3</v>
      </c>
    </row>
    <row r="3080" spans="5:6" x14ac:dyDescent="0.35">
      <c r="E3080">
        <v>3077</v>
      </c>
      <c r="F3080">
        <f t="shared" ca="1" si="50"/>
        <v>3.8552953185714048E-3</v>
      </c>
    </row>
    <row r="3081" spans="5:6" x14ac:dyDescent="0.35">
      <c r="E3081">
        <v>3078</v>
      </c>
      <c r="F3081">
        <f t="shared" ca="1" si="50"/>
        <v>2.5252677035491448E-2</v>
      </c>
    </row>
    <row r="3082" spans="5:6" x14ac:dyDescent="0.35">
      <c r="E3082">
        <v>3079</v>
      </c>
      <c r="F3082">
        <f t="shared" ca="1" si="50"/>
        <v>1.5905094488558849E-3</v>
      </c>
    </row>
    <row r="3083" spans="5:6" x14ac:dyDescent="0.35">
      <c r="E3083">
        <v>3080</v>
      </c>
      <c r="F3083">
        <f t="shared" ca="1" si="50"/>
        <v>-1.6710694964309075E-2</v>
      </c>
    </row>
    <row r="3084" spans="5:6" x14ac:dyDescent="0.35">
      <c r="E3084">
        <v>3081</v>
      </c>
      <c r="F3084">
        <f t="shared" ca="1" si="50"/>
        <v>2.0007253227511068E-2</v>
      </c>
    </row>
    <row r="3085" spans="5:6" x14ac:dyDescent="0.35">
      <c r="E3085">
        <v>3082</v>
      </c>
      <c r="F3085">
        <f t="shared" ca="1" si="50"/>
        <v>-1.2164775245650147E-2</v>
      </c>
    </row>
    <row r="3086" spans="5:6" x14ac:dyDescent="0.35">
      <c r="E3086">
        <v>3083</v>
      </c>
      <c r="F3086">
        <f t="shared" ca="1" si="50"/>
        <v>1.697040637917396E-2</v>
      </c>
    </row>
    <row r="3087" spans="5:6" x14ac:dyDescent="0.35">
      <c r="E3087">
        <v>3084</v>
      </c>
      <c r="F3087">
        <f t="shared" ca="1" si="50"/>
        <v>2.0835809610140338E-2</v>
      </c>
    </row>
    <row r="3088" spans="5:6" x14ac:dyDescent="0.35">
      <c r="E3088">
        <v>3085</v>
      </c>
      <c r="F3088">
        <f t="shared" ca="1" si="50"/>
        <v>8.1052630419097341E-3</v>
      </c>
    </row>
    <row r="3089" spans="5:6" x14ac:dyDescent="0.35">
      <c r="E3089">
        <v>3086</v>
      </c>
      <c r="F3089">
        <f t="shared" ca="1" si="50"/>
        <v>-9.0062692704233026E-3</v>
      </c>
    </row>
    <row r="3090" spans="5:6" x14ac:dyDescent="0.35">
      <c r="E3090">
        <v>3087</v>
      </c>
      <c r="F3090">
        <f t="shared" ca="1" si="50"/>
        <v>5.2943662080473675E-3</v>
      </c>
    </row>
    <row r="3091" spans="5:6" x14ac:dyDescent="0.35">
      <c r="E3091">
        <v>3088</v>
      </c>
      <c r="F3091">
        <f t="shared" ca="1" si="50"/>
        <v>5.0296754840684988E-3</v>
      </c>
    </row>
    <row r="3092" spans="5:6" x14ac:dyDescent="0.35">
      <c r="E3092">
        <v>3089</v>
      </c>
      <c r="F3092">
        <f t="shared" ca="1" si="50"/>
        <v>-7.6188695647971621E-4</v>
      </c>
    </row>
    <row r="3093" spans="5:6" x14ac:dyDescent="0.35">
      <c r="E3093">
        <v>3090</v>
      </c>
      <c r="F3093">
        <f t="shared" ca="1" si="50"/>
        <v>-1.5721008360646264E-2</v>
      </c>
    </row>
    <row r="3094" spans="5:6" x14ac:dyDescent="0.35">
      <c r="E3094">
        <v>3091</v>
      </c>
      <c r="F3094">
        <f t="shared" ca="1" si="50"/>
        <v>-1.5961490140188668E-2</v>
      </c>
    </row>
    <row r="3095" spans="5:6" x14ac:dyDescent="0.35">
      <c r="E3095">
        <v>3092</v>
      </c>
      <c r="F3095">
        <f t="shared" ca="1" si="50"/>
        <v>-9.2072860025661212E-3</v>
      </c>
    </row>
    <row r="3096" spans="5:6" x14ac:dyDescent="0.35">
      <c r="E3096">
        <v>3093</v>
      </c>
      <c r="F3096">
        <f t="shared" ca="1" si="50"/>
        <v>-9.7951571929374114E-3</v>
      </c>
    </row>
    <row r="3097" spans="5:6" x14ac:dyDescent="0.35">
      <c r="E3097">
        <v>3094</v>
      </c>
      <c r="F3097">
        <f t="shared" ca="1" si="50"/>
        <v>1.14973424874729E-2</v>
      </c>
    </row>
    <row r="3098" spans="5:6" x14ac:dyDescent="0.35">
      <c r="E3098">
        <v>3095</v>
      </c>
      <c r="F3098">
        <f t="shared" ca="1" si="50"/>
        <v>2.3208447519169968E-3</v>
      </c>
    </row>
    <row r="3099" spans="5:6" x14ac:dyDescent="0.35">
      <c r="E3099">
        <v>3096</v>
      </c>
      <c r="F3099">
        <f t="shared" ca="1" si="50"/>
        <v>2.2167212814764553E-2</v>
      </c>
    </row>
    <row r="3100" spans="5:6" x14ac:dyDescent="0.35">
      <c r="E3100">
        <v>3097</v>
      </c>
      <c r="F3100">
        <f t="shared" ca="1" si="50"/>
        <v>2.284510897430004E-3</v>
      </c>
    </row>
    <row r="3101" spans="5:6" x14ac:dyDescent="0.35">
      <c r="E3101">
        <v>3098</v>
      </c>
      <c r="F3101">
        <f t="shared" ca="1" si="50"/>
        <v>-1.9950032925761738E-2</v>
      </c>
    </row>
    <row r="3102" spans="5:6" x14ac:dyDescent="0.35">
      <c r="E3102">
        <v>3099</v>
      </c>
      <c r="F3102">
        <f t="shared" ca="1" si="50"/>
        <v>-8.8071429335248499E-4</v>
      </c>
    </row>
    <row r="3103" spans="5:6" x14ac:dyDescent="0.35">
      <c r="E3103">
        <v>3100</v>
      </c>
      <c r="F3103">
        <f t="shared" ca="1" si="50"/>
        <v>-2.151089795730822E-4</v>
      </c>
    </row>
    <row r="3104" spans="5:6" x14ac:dyDescent="0.35">
      <c r="E3104">
        <v>3101</v>
      </c>
      <c r="F3104">
        <f t="shared" ca="1" si="50"/>
        <v>-1.0029087111591081E-2</v>
      </c>
    </row>
    <row r="3105" spans="5:6" x14ac:dyDescent="0.35">
      <c r="E3105">
        <v>3102</v>
      </c>
      <c r="F3105">
        <f t="shared" ca="1" si="50"/>
        <v>-5.4961846540891347E-3</v>
      </c>
    </row>
    <row r="3106" spans="5:6" x14ac:dyDescent="0.35">
      <c r="E3106">
        <v>3103</v>
      </c>
      <c r="F3106">
        <f t="shared" ca="1" si="50"/>
        <v>6.1143475321352543E-3</v>
      </c>
    </row>
    <row r="3107" spans="5:6" x14ac:dyDescent="0.35">
      <c r="E3107">
        <v>3104</v>
      </c>
      <c r="F3107">
        <f t="shared" ca="1" si="50"/>
        <v>6.1801307108136673E-3</v>
      </c>
    </row>
    <row r="3108" spans="5:6" x14ac:dyDescent="0.35">
      <c r="E3108">
        <v>3105</v>
      </c>
      <c r="F3108">
        <f t="shared" ca="1" si="50"/>
        <v>1.3038176683581355E-2</v>
      </c>
    </row>
    <row r="3109" spans="5:6" x14ac:dyDescent="0.35">
      <c r="E3109">
        <v>3106</v>
      </c>
      <c r="F3109">
        <f t="shared" ca="1" si="50"/>
        <v>-9.5710150753734111E-3</v>
      </c>
    </row>
    <row r="3110" spans="5:6" x14ac:dyDescent="0.35">
      <c r="E3110">
        <v>3107</v>
      </c>
      <c r="F3110">
        <f t="shared" ca="1" si="50"/>
        <v>9.8496000283473453E-3</v>
      </c>
    </row>
    <row r="3111" spans="5:6" x14ac:dyDescent="0.35">
      <c r="E3111">
        <v>3108</v>
      </c>
      <c r="F3111">
        <f t="shared" ca="1" si="50"/>
        <v>-1.3390891961732345E-2</v>
      </c>
    </row>
    <row r="3112" spans="5:6" x14ac:dyDescent="0.35">
      <c r="E3112">
        <v>3109</v>
      </c>
      <c r="F3112">
        <f t="shared" ca="1" si="50"/>
        <v>1.7898099501909629E-2</v>
      </c>
    </row>
    <row r="3113" spans="5:6" x14ac:dyDescent="0.35">
      <c r="E3113">
        <v>3110</v>
      </c>
      <c r="F3113">
        <f t="shared" ca="1" si="50"/>
        <v>3.2388375427793749E-2</v>
      </c>
    </row>
    <row r="3114" spans="5:6" x14ac:dyDescent="0.35">
      <c r="E3114">
        <v>3111</v>
      </c>
      <c r="F3114">
        <f t="shared" ca="1" si="50"/>
        <v>1.6380731483718807E-2</v>
      </c>
    </row>
    <row r="3115" spans="5:6" x14ac:dyDescent="0.35">
      <c r="E3115">
        <v>3112</v>
      </c>
      <c r="F3115">
        <f t="shared" ca="1" si="50"/>
        <v>-3.1123669941970657E-2</v>
      </c>
    </row>
    <row r="3116" spans="5:6" x14ac:dyDescent="0.35">
      <c r="E3116">
        <v>3113</v>
      </c>
      <c r="F3116">
        <f t="shared" ca="1" si="50"/>
        <v>-2.631685016522914E-3</v>
      </c>
    </row>
    <row r="3117" spans="5:6" x14ac:dyDescent="0.35">
      <c r="E3117">
        <v>3114</v>
      </c>
      <c r="F3117">
        <f t="shared" ca="1" si="50"/>
        <v>-1.5501479112692874E-2</v>
      </c>
    </row>
    <row r="3118" spans="5:6" x14ac:dyDescent="0.35">
      <c r="E3118">
        <v>3115</v>
      </c>
      <c r="F3118">
        <f t="shared" ca="1" si="50"/>
        <v>2.3609959553478253E-2</v>
      </c>
    </row>
    <row r="3119" spans="5:6" x14ac:dyDescent="0.35">
      <c r="E3119">
        <v>3116</v>
      </c>
      <c r="F3119">
        <f t="shared" ca="1" si="50"/>
        <v>-4.7587929579712513E-3</v>
      </c>
    </row>
    <row r="3120" spans="5:6" x14ac:dyDescent="0.35">
      <c r="E3120">
        <v>3117</v>
      </c>
      <c r="F3120">
        <f t="shared" ca="1" si="50"/>
        <v>-1.1055307403961413E-2</v>
      </c>
    </row>
    <row r="3121" spans="5:6" x14ac:dyDescent="0.35">
      <c r="E3121">
        <v>3118</v>
      </c>
      <c r="F3121">
        <f t="shared" ca="1" si="50"/>
        <v>3.0831269629300918E-3</v>
      </c>
    </row>
    <row r="3122" spans="5:6" x14ac:dyDescent="0.35">
      <c r="E3122">
        <v>3119</v>
      </c>
      <c r="F3122">
        <f t="shared" ca="1" si="50"/>
        <v>-4.7981693872777356E-3</v>
      </c>
    </row>
    <row r="3123" spans="5:6" x14ac:dyDescent="0.35">
      <c r="E3123">
        <v>3120</v>
      </c>
      <c r="F3123">
        <f t="shared" ca="1" si="50"/>
        <v>-1.9051000041206373E-3</v>
      </c>
    </row>
    <row r="3124" spans="5:6" x14ac:dyDescent="0.35">
      <c r="E3124">
        <v>3121</v>
      </c>
      <c r="F3124">
        <f t="shared" ca="1" si="50"/>
        <v>9.0260726795233556E-3</v>
      </c>
    </row>
    <row r="3125" spans="5:6" x14ac:dyDescent="0.35">
      <c r="E3125">
        <v>3122</v>
      </c>
      <c r="F3125">
        <f t="shared" ca="1" si="50"/>
        <v>-5.9915232642571096E-3</v>
      </c>
    </row>
    <row r="3126" spans="5:6" x14ac:dyDescent="0.35">
      <c r="E3126">
        <v>3123</v>
      </c>
      <c r="F3126">
        <f t="shared" ca="1" si="50"/>
        <v>1.4948461326431722E-2</v>
      </c>
    </row>
    <row r="3127" spans="5:6" x14ac:dyDescent="0.35">
      <c r="E3127">
        <v>3124</v>
      </c>
      <c r="F3127">
        <f t="shared" ca="1" si="50"/>
        <v>-1.0286912032650192E-2</v>
      </c>
    </row>
    <row r="3128" spans="5:6" x14ac:dyDescent="0.35">
      <c r="E3128">
        <v>3125</v>
      </c>
      <c r="F3128">
        <f t="shared" ca="1" si="50"/>
        <v>-3.905266403297988E-3</v>
      </c>
    </row>
    <row r="3129" spans="5:6" x14ac:dyDescent="0.35">
      <c r="E3129">
        <v>3126</v>
      </c>
      <c r="F3129">
        <f t="shared" ca="1" si="50"/>
        <v>1.3904668260912313E-2</v>
      </c>
    </row>
    <row r="3130" spans="5:6" x14ac:dyDescent="0.35">
      <c r="E3130">
        <v>3127</v>
      </c>
      <c r="F3130">
        <f t="shared" ca="1" si="50"/>
        <v>-1.6254378314724208E-2</v>
      </c>
    </row>
    <row r="3131" spans="5:6" x14ac:dyDescent="0.35">
      <c r="E3131">
        <v>3128</v>
      </c>
      <c r="F3131">
        <f t="shared" ca="1" si="50"/>
        <v>1.6347735067738341E-2</v>
      </c>
    </row>
    <row r="3132" spans="5:6" x14ac:dyDescent="0.35">
      <c r="E3132">
        <v>3129</v>
      </c>
      <c r="F3132">
        <f t="shared" ca="1" si="50"/>
        <v>3.5744431584932351E-3</v>
      </c>
    </row>
    <row r="3133" spans="5:6" x14ac:dyDescent="0.35">
      <c r="E3133">
        <v>3130</v>
      </c>
      <c r="F3133">
        <f t="shared" ca="1" si="50"/>
        <v>1.0208099939067839E-2</v>
      </c>
    </row>
    <row r="3134" spans="5:6" x14ac:dyDescent="0.35">
      <c r="E3134">
        <v>3131</v>
      </c>
      <c r="F3134">
        <f t="shared" ca="1" si="50"/>
        <v>-1.352442316918059E-2</v>
      </c>
    </row>
    <row r="3135" spans="5:6" x14ac:dyDescent="0.35">
      <c r="E3135">
        <v>3132</v>
      </c>
      <c r="F3135">
        <f t="shared" ca="1" si="50"/>
        <v>1.2936765434506496E-2</v>
      </c>
    </row>
    <row r="3136" spans="5:6" x14ac:dyDescent="0.35">
      <c r="E3136">
        <v>3133</v>
      </c>
      <c r="F3136">
        <f t="shared" ca="1" si="50"/>
        <v>-2.126439050324985E-3</v>
      </c>
    </row>
    <row r="3137" spans="5:6" x14ac:dyDescent="0.35">
      <c r="E3137">
        <v>3134</v>
      </c>
      <c r="F3137">
        <f t="shared" ca="1" si="50"/>
        <v>6.8301297482071897E-3</v>
      </c>
    </row>
    <row r="3138" spans="5:6" x14ac:dyDescent="0.35">
      <c r="E3138">
        <v>3135</v>
      </c>
      <c r="F3138">
        <f t="shared" ca="1" si="50"/>
        <v>-1.3409217930387268E-2</v>
      </c>
    </row>
    <row r="3139" spans="5:6" x14ac:dyDescent="0.35">
      <c r="E3139">
        <v>3136</v>
      </c>
      <c r="F3139">
        <f t="shared" ca="1" si="50"/>
        <v>2.0489642296820713E-2</v>
      </c>
    </row>
    <row r="3140" spans="5:6" x14ac:dyDescent="0.35">
      <c r="E3140">
        <v>3137</v>
      </c>
      <c r="F3140">
        <f t="shared" ca="1" si="50"/>
        <v>2.1635549206393965E-2</v>
      </c>
    </row>
    <row r="3141" spans="5:6" x14ac:dyDescent="0.35">
      <c r="E3141">
        <v>3138</v>
      </c>
      <c r="F3141">
        <f t="shared" ref="F3141:F3204" ca="1" si="51">_xlfn.NORM.INV(RAND(),M$6,M$7)</f>
        <v>5.0433304649441014E-4</v>
      </c>
    </row>
    <row r="3142" spans="5:6" x14ac:dyDescent="0.35">
      <c r="E3142">
        <v>3139</v>
      </c>
      <c r="F3142">
        <f t="shared" ca="1" si="51"/>
        <v>5.2846149787972542E-3</v>
      </c>
    </row>
    <row r="3143" spans="5:6" x14ac:dyDescent="0.35">
      <c r="E3143">
        <v>3140</v>
      </c>
      <c r="F3143">
        <f t="shared" ca="1" si="51"/>
        <v>1.7569092331823088E-2</v>
      </c>
    </row>
    <row r="3144" spans="5:6" x14ac:dyDescent="0.35">
      <c r="E3144">
        <v>3141</v>
      </c>
      <c r="F3144">
        <f t="shared" ca="1" si="51"/>
        <v>-5.3237441197600353E-3</v>
      </c>
    </row>
    <row r="3145" spans="5:6" x14ac:dyDescent="0.35">
      <c r="E3145">
        <v>3142</v>
      </c>
      <c r="F3145">
        <f t="shared" ca="1" si="51"/>
        <v>-5.6471041512366612E-3</v>
      </c>
    </row>
    <row r="3146" spans="5:6" x14ac:dyDescent="0.35">
      <c r="E3146">
        <v>3143</v>
      </c>
      <c r="F3146">
        <f t="shared" ca="1" si="51"/>
        <v>-1.1907547728059213E-2</v>
      </c>
    </row>
    <row r="3147" spans="5:6" x14ac:dyDescent="0.35">
      <c r="E3147">
        <v>3144</v>
      </c>
      <c r="F3147">
        <f t="shared" ca="1" si="51"/>
        <v>1.1616429564767264E-2</v>
      </c>
    </row>
    <row r="3148" spans="5:6" x14ac:dyDescent="0.35">
      <c r="E3148">
        <v>3145</v>
      </c>
      <c r="F3148">
        <f t="shared" ca="1" si="51"/>
        <v>2.5805422043661753E-2</v>
      </c>
    </row>
    <row r="3149" spans="5:6" x14ac:dyDescent="0.35">
      <c r="E3149">
        <v>3146</v>
      </c>
      <c r="F3149">
        <f t="shared" ca="1" si="51"/>
        <v>1.4354569420769504E-2</v>
      </c>
    </row>
    <row r="3150" spans="5:6" x14ac:dyDescent="0.35">
      <c r="E3150">
        <v>3147</v>
      </c>
      <c r="F3150">
        <f t="shared" ca="1" si="51"/>
        <v>1.0873050476826678E-2</v>
      </c>
    </row>
    <row r="3151" spans="5:6" x14ac:dyDescent="0.35">
      <c r="E3151">
        <v>3148</v>
      </c>
      <c r="F3151">
        <f t="shared" ca="1" si="51"/>
        <v>-7.243385902446821E-3</v>
      </c>
    </row>
    <row r="3152" spans="5:6" x14ac:dyDescent="0.35">
      <c r="E3152">
        <v>3149</v>
      </c>
      <c r="F3152">
        <f t="shared" ca="1" si="51"/>
        <v>7.2664341669533537E-4</v>
      </c>
    </row>
    <row r="3153" spans="5:6" x14ac:dyDescent="0.35">
      <c r="E3153">
        <v>3150</v>
      </c>
      <c r="F3153">
        <f t="shared" ca="1" si="51"/>
        <v>6.2144785620692972E-3</v>
      </c>
    </row>
    <row r="3154" spans="5:6" x14ac:dyDescent="0.35">
      <c r="E3154">
        <v>3151</v>
      </c>
      <c r="F3154">
        <f t="shared" ca="1" si="51"/>
        <v>4.4227567375356444E-3</v>
      </c>
    </row>
    <row r="3155" spans="5:6" x14ac:dyDescent="0.35">
      <c r="E3155">
        <v>3152</v>
      </c>
      <c r="F3155">
        <f t="shared" ca="1" si="51"/>
        <v>-1.2878867508861705E-2</v>
      </c>
    </row>
    <row r="3156" spans="5:6" x14ac:dyDescent="0.35">
      <c r="E3156">
        <v>3153</v>
      </c>
      <c r="F3156">
        <f t="shared" ca="1" si="51"/>
        <v>1.1080739980291522E-2</v>
      </c>
    </row>
    <row r="3157" spans="5:6" x14ac:dyDescent="0.35">
      <c r="E3157">
        <v>3154</v>
      </c>
      <c r="F3157">
        <f t="shared" ca="1" si="51"/>
        <v>3.2042664601548108E-2</v>
      </c>
    </row>
    <row r="3158" spans="5:6" x14ac:dyDescent="0.35">
      <c r="E3158">
        <v>3155</v>
      </c>
      <c r="F3158">
        <f t="shared" ca="1" si="51"/>
        <v>-1.6691207758105779E-2</v>
      </c>
    </row>
    <row r="3159" spans="5:6" x14ac:dyDescent="0.35">
      <c r="E3159">
        <v>3156</v>
      </c>
      <c r="F3159">
        <f t="shared" ca="1" si="51"/>
        <v>4.1111197656273435E-5</v>
      </c>
    </row>
    <row r="3160" spans="5:6" x14ac:dyDescent="0.35">
      <c r="E3160">
        <v>3157</v>
      </c>
      <c r="F3160">
        <f t="shared" ca="1" si="51"/>
        <v>-2.7887651328111496E-3</v>
      </c>
    </row>
    <row r="3161" spans="5:6" x14ac:dyDescent="0.35">
      <c r="E3161">
        <v>3158</v>
      </c>
      <c r="F3161">
        <f t="shared" ca="1" si="51"/>
        <v>-1.1905144325896956E-2</v>
      </c>
    </row>
    <row r="3162" spans="5:6" x14ac:dyDescent="0.35">
      <c r="E3162">
        <v>3159</v>
      </c>
      <c r="F3162">
        <f t="shared" ca="1" si="51"/>
        <v>2.2498548824051279E-2</v>
      </c>
    </row>
    <row r="3163" spans="5:6" x14ac:dyDescent="0.35">
      <c r="E3163">
        <v>3160</v>
      </c>
      <c r="F3163">
        <f t="shared" ca="1" si="51"/>
        <v>-5.4868516872236348E-4</v>
      </c>
    </row>
    <row r="3164" spans="5:6" x14ac:dyDescent="0.35">
      <c r="E3164">
        <v>3161</v>
      </c>
      <c r="F3164">
        <f t="shared" ca="1" si="51"/>
        <v>4.5096459339762059E-3</v>
      </c>
    </row>
    <row r="3165" spans="5:6" x14ac:dyDescent="0.35">
      <c r="E3165">
        <v>3162</v>
      </c>
      <c r="F3165">
        <f t="shared" ca="1" si="51"/>
        <v>2.1449440118145428E-2</v>
      </c>
    </row>
    <row r="3166" spans="5:6" x14ac:dyDescent="0.35">
      <c r="E3166">
        <v>3163</v>
      </c>
      <c r="F3166">
        <f t="shared" ca="1" si="51"/>
        <v>2.2401507103218522E-2</v>
      </c>
    </row>
    <row r="3167" spans="5:6" x14ac:dyDescent="0.35">
      <c r="E3167">
        <v>3164</v>
      </c>
      <c r="F3167">
        <f t="shared" ca="1" si="51"/>
        <v>-2.224262202137007E-4</v>
      </c>
    </row>
    <row r="3168" spans="5:6" x14ac:dyDescent="0.35">
      <c r="E3168">
        <v>3165</v>
      </c>
      <c r="F3168">
        <f t="shared" ca="1" si="51"/>
        <v>5.0534094089381299E-3</v>
      </c>
    </row>
    <row r="3169" spans="5:6" x14ac:dyDescent="0.35">
      <c r="E3169">
        <v>3166</v>
      </c>
      <c r="F3169">
        <f t="shared" ca="1" si="51"/>
        <v>-9.6060072776383357E-3</v>
      </c>
    </row>
    <row r="3170" spans="5:6" x14ac:dyDescent="0.35">
      <c r="E3170">
        <v>3167</v>
      </c>
      <c r="F3170">
        <f t="shared" ca="1" si="51"/>
        <v>1.1458389388817604E-2</v>
      </c>
    </row>
    <row r="3171" spans="5:6" x14ac:dyDescent="0.35">
      <c r="E3171">
        <v>3168</v>
      </c>
      <c r="F3171">
        <f t="shared" ca="1" si="51"/>
        <v>-1.9437091985754083E-2</v>
      </c>
    </row>
    <row r="3172" spans="5:6" x14ac:dyDescent="0.35">
      <c r="E3172">
        <v>3169</v>
      </c>
      <c r="F3172">
        <f t="shared" ca="1" si="51"/>
        <v>-5.8299162051623134E-3</v>
      </c>
    </row>
    <row r="3173" spans="5:6" x14ac:dyDescent="0.35">
      <c r="E3173">
        <v>3170</v>
      </c>
      <c r="F3173">
        <f t="shared" ca="1" si="51"/>
        <v>-1.6730484233217637E-2</v>
      </c>
    </row>
    <row r="3174" spans="5:6" x14ac:dyDescent="0.35">
      <c r="E3174">
        <v>3171</v>
      </c>
      <c r="F3174">
        <f t="shared" ca="1" si="51"/>
        <v>5.2718926877539131E-2</v>
      </c>
    </row>
    <row r="3175" spans="5:6" x14ac:dyDescent="0.35">
      <c r="E3175">
        <v>3172</v>
      </c>
      <c r="F3175">
        <f t="shared" ca="1" si="51"/>
        <v>-4.6218472778517955E-3</v>
      </c>
    </row>
    <row r="3176" spans="5:6" x14ac:dyDescent="0.35">
      <c r="E3176">
        <v>3173</v>
      </c>
      <c r="F3176">
        <f t="shared" ca="1" si="51"/>
        <v>4.6468134155339499E-2</v>
      </c>
    </row>
    <row r="3177" spans="5:6" x14ac:dyDescent="0.35">
      <c r="E3177">
        <v>3174</v>
      </c>
      <c r="F3177">
        <f t="shared" ca="1" si="51"/>
        <v>-1.2583183064056957E-2</v>
      </c>
    </row>
    <row r="3178" spans="5:6" x14ac:dyDescent="0.35">
      <c r="E3178">
        <v>3175</v>
      </c>
      <c r="F3178">
        <f t="shared" ca="1" si="51"/>
        <v>2.0747137397492125E-2</v>
      </c>
    </row>
    <row r="3179" spans="5:6" x14ac:dyDescent="0.35">
      <c r="E3179">
        <v>3176</v>
      </c>
      <c r="F3179">
        <f t="shared" ca="1" si="51"/>
        <v>-1.4404700260120359E-2</v>
      </c>
    </row>
    <row r="3180" spans="5:6" x14ac:dyDescent="0.35">
      <c r="E3180">
        <v>3177</v>
      </c>
      <c r="F3180">
        <f t="shared" ca="1" si="51"/>
        <v>7.1647800307113674E-3</v>
      </c>
    </row>
    <row r="3181" spans="5:6" x14ac:dyDescent="0.35">
      <c r="E3181">
        <v>3178</v>
      </c>
      <c r="F3181">
        <f t="shared" ca="1" si="51"/>
        <v>-2.0791328928439459E-3</v>
      </c>
    </row>
    <row r="3182" spans="5:6" x14ac:dyDescent="0.35">
      <c r="E3182">
        <v>3179</v>
      </c>
      <c r="F3182">
        <f t="shared" ca="1" si="51"/>
        <v>9.0583862389320615E-3</v>
      </c>
    </row>
    <row r="3183" spans="5:6" x14ac:dyDescent="0.35">
      <c r="E3183">
        <v>3180</v>
      </c>
      <c r="F3183">
        <f t="shared" ca="1" si="51"/>
        <v>1.0175416103186403E-2</v>
      </c>
    </row>
    <row r="3184" spans="5:6" x14ac:dyDescent="0.35">
      <c r="E3184">
        <v>3181</v>
      </c>
      <c r="F3184">
        <f t="shared" ca="1" si="51"/>
        <v>8.6510720123243647E-3</v>
      </c>
    </row>
    <row r="3185" spans="5:6" x14ac:dyDescent="0.35">
      <c r="E3185">
        <v>3182</v>
      </c>
      <c r="F3185">
        <f t="shared" ca="1" si="51"/>
        <v>-9.0475957500578928E-3</v>
      </c>
    </row>
    <row r="3186" spans="5:6" x14ac:dyDescent="0.35">
      <c r="E3186">
        <v>3183</v>
      </c>
      <c r="F3186">
        <f t="shared" ca="1" si="51"/>
        <v>-1.1993113345315305E-3</v>
      </c>
    </row>
    <row r="3187" spans="5:6" x14ac:dyDescent="0.35">
      <c r="E3187">
        <v>3184</v>
      </c>
      <c r="F3187">
        <f t="shared" ca="1" si="51"/>
        <v>1.3322600440659686E-2</v>
      </c>
    </row>
    <row r="3188" spans="5:6" x14ac:dyDescent="0.35">
      <c r="E3188">
        <v>3185</v>
      </c>
      <c r="F3188">
        <f t="shared" ca="1" si="51"/>
        <v>4.8426426426823165E-3</v>
      </c>
    </row>
    <row r="3189" spans="5:6" x14ac:dyDescent="0.35">
      <c r="E3189">
        <v>3186</v>
      </c>
      <c r="F3189">
        <f t="shared" ca="1" si="51"/>
        <v>8.2619221506045493E-3</v>
      </c>
    </row>
    <row r="3190" spans="5:6" x14ac:dyDescent="0.35">
      <c r="E3190">
        <v>3187</v>
      </c>
      <c r="F3190">
        <f t="shared" ca="1" si="51"/>
        <v>-1.0862389687322586E-2</v>
      </c>
    </row>
    <row r="3191" spans="5:6" x14ac:dyDescent="0.35">
      <c r="E3191">
        <v>3188</v>
      </c>
      <c r="F3191">
        <f t="shared" ca="1" si="51"/>
        <v>-1.0452957993102409E-3</v>
      </c>
    </row>
    <row r="3192" spans="5:6" x14ac:dyDescent="0.35">
      <c r="E3192">
        <v>3189</v>
      </c>
      <c r="F3192">
        <f t="shared" ca="1" si="51"/>
        <v>1.851573844615032E-3</v>
      </c>
    </row>
    <row r="3193" spans="5:6" x14ac:dyDescent="0.35">
      <c r="E3193">
        <v>3190</v>
      </c>
      <c r="F3193">
        <f t="shared" ca="1" si="51"/>
        <v>-1.6000318077424448E-2</v>
      </c>
    </row>
    <row r="3194" spans="5:6" x14ac:dyDescent="0.35">
      <c r="E3194">
        <v>3191</v>
      </c>
      <c r="F3194">
        <f t="shared" ca="1" si="51"/>
        <v>2.5620985691729415E-3</v>
      </c>
    </row>
    <row r="3195" spans="5:6" x14ac:dyDescent="0.35">
      <c r="E3195">
        <v>3192</v>
      </c>
      <c r="F3195">
        <f t="shared" ca="1" si="51"/>
        <v>-1.0018571138687008E-2</v>
      </c>
    </row>
    <row r="3196" spans="5:6" x14ac:dyDescent="0.35">
      <c r="E3196">
        <v>3193</v>
      </c>
      <c r="F3196">
        <f t="shared" ca="1" si="51"/>
        <v>-9.12681631432939E-3</v>
      </c>
    </row>
    <row r="3197" spans="5:6" x14ac:dyDescent="0.35">
      <c r="E3197">
        <v>3194</v>
      </c>
      <c r="F3197">
        <f t="shared" ca="1" si="51"/>
        <v>1.1504892413443974E-2</v>
      </c>
    </row>
    <row r="3198" spans="5:6" x14ac:dyDescent="0.35">
      <c r="E3198">
        <v>3195</v>
      </c>
      <c r="F3198">
        <f t="shared" ca="1" si="51"/>
        <v>2.7576563913189307E-2</v>
      </c>
    </row>
    <row r="3199" spans="5:6" x14ac:dyDescent="0.35">
      <c r="E3199">
        <v>3196</v>
      </c>
      <c r="F3199">
        <f t="shared" ca="1" si="51"/>
        <v>3.3171236296442681E-4</v>
      </c>
    </row>
    <row r="3200" spans="5:6" x14ac:dyDescent="0.35">
      <c r="E3200">
        <v>3197</v>
      </c>
      <c r="F3200">
        <f t="shared" ca="1" si="51"/>
        <v>-2.7966913835134121E-2</v>
      </c>
    </row>
    <row r="3201" spans="5:6" x14ac:dyDescent="0.35">
      <c r="E3201">
        <v>3198</v>
      </c>
      <c r="F3201">
        <f t="shared" ca="1" si="51"/>
        <v>-1.4577933887670034E-2</v>
      </c>
    </row>
    <row r="3202" spans="5:6" x14ac:dyDescent="0.35">
      <c r="E3202">
        <v>3199</v>
      </c>
      <c r="F3202">
        <f t="shared" ca="1" si="51"/>
        <v>8.4054235187378326E-3</v>
      </c>
    </row>
    <row r="3203" spans="5:6" x14ac:dyDescent="0.35">
      <c r="E3203">
        <v>3200</v>
      </c>
      <c r="F3203">
        <f t="shared" ca="1" si="51"/>
        <v>-8.1608306733868523E-3</v>
      </c>
    </row>
    <row r="3204" spans="5:6" x14ac:dyDescent="0.35">
      <c r="E3204">
        <v>3201</v>
      </c>
      <c r="F3204">
        <f t="shared" ca="1" si="51"/>
        <v>3.408105433107894E-3</v>
      </c>
    </row>
    <row r="3205" spans="5:6" x14ac:dyDescent="0.35">
      <c r="E3205">
        <v>3202</v>
      </c>
      <c r="F3205">
        <f t="shared" ref="F3205:F3268" ca="1" si="52">_xlfn.NORM.INV(RAND(),M$6,M$7)</f>
        <v>1.3582811180225689E-2</v>
      </c>
    </row>
    <row r="3206" spans="5:6" x14ac:dyDescent="0.35">
      <c r="E3206">
        <v>3203</v>
      </c>
      <c r="F3206">
        <f t="shared" ca="1" si="52"/>
        <v>-4.0784430164981884E-3</v>
      </c>
    </row>
    <row r="3207" spans="5:6" x14ac:dyDescent="0.35">
      <c r="E3207">
        <v>3204</v>
      </c>
      <c r="F3207">
        <f t="shared" ca="1" si="52"/>
        <v>-1.6124195622716315E-3</v>
      </c>
    </row>
    <row r="3208" spans="5:6" x14ac:dyDescent="0.35">
      <c r="E3208">
        <v>3205</v>
      </c>
      <c r="F3208">
        <f t="shared" ca="1" si="52"/>
        <v>-8.4782114923637186E-3</v>
      </c>
    </row>
    <row r="3209" spans="5:6" x14ac:dyDescent="0.35">
      <c r="E3209">
        <v>3206</v>
      </c>
      <c r="F3209">
        <f t="shared" ca="1" si="52"/>
        <v>-2.5244652044519541E-3</v>
      </c>
    </row>
    <row r="3210" spans="5:6" x14ac:dyDescent="0.35">
      <c r="E3210">
        <v>3207</v>
      </c>
      <c r="F3210">
        <f t="shared" ca="1" si="52"/>
        <v>-8.0665020573840174E-3</v>
      </c>
    </row>
    <row r="3211" spans="5:6" x14ac:dyDescent="0.35">
      <c r="E3211">
        <v>3208</v>
      </c>
      <c r="F3211">
        <f t="shared" ca="1" si="52"/>
        <v>-2.60506768354354E-2</v>
      </c>
    </row>
    <row r="3212" spans="5:6" x14ac:dyDescent="0.35">
      <c r="E3212">
        <v>3209</v>
      </c>
      <c r="F3212">
        <f t="shared" ca="1" si="52"/>
        <v>-1.6257512223239599E-2</v>
      </c>
    </row>
    <row r="3213" spans="5:6" x14ac:dyDescent="0.35">
      <c r="E3213">
        <v>3210</v>
      </c>
      <c r="F3213">
        <f t="shared" ca="1" si="52"/>
        <v>-4.200957533983001E-3</v>
      </c>
    </row>
    <row r="3214" spans="5:6" x14ac:dyDescent="0.35">
      <c r="E3214">
        <v>3211</v>
      </c>
      <c r="F3214">
        <f t="shared" ca="1" si="52"/>
        <v>-2.248167371402392E-2</v>
      </c>
    </row>
    <row r="3215" spans="5:6" x14ac:dyDescent="0.35">
      <c r="E3215">
        <v>3212</v>
      </c>
      <c r="F3215">
        <f t="shared" ca="1" si="52"/>
        <v>-1.3102488756598026E-2</v>
      </c>
    </row>
    <row r="3216" spans="5:6" x14ac:dyDescent="0.35">
      <c r="E3216">
        <v>3213</v>
      </c>
      <c r="F3216">
        <f t="shared" ca="1" si="52"/>
        <v>5.8926530175727066E-3</v>
      </c>
    </row>
    <row r="3217" spans="5:6" x14ac:dyDescent="0.35">
      <c r="E3217">
        <v>3214</v>
      </c>
      <c r="F3217">
        <f t="shared" ca="1" si="52"/>
        <v>-1.0124300391588849E-2</v>
      </c>
    </row>
    <row r="3218" spans="5:6" x14ac:dyDescent="0.35">
      <c r="E3218">
        <v>3215</v>
      </c>
      <c r="F3218">
        <f t="shared" ca="1" si="52"/>
        <v>5.7849586793776936E-3</v>
      </c>
    </row>
    <row r="3219" spans="5:6" x14ac:dyDescent="0.35">
      <c r="E3219">
        <v>3216</v>
      </c>
      <c r="F3219">
        <f t="shared" ca="1" si="52"/>
        <v>-2.0725784794864099E-2</v>
      </c>
    </row>
    <row r="3220" spans="5:6" x14ac:dyDescent="0.35">
      <c r="E3220">
        <v>3217</v>
      </c>
      <c r="F3220">
        <f t="shared" ca="1" si="52"/>
        <v>-1.4001569196906148E-2</v>
      </c>
    </row>
    <row r="3221" spans="5:6" x14ac:dyDescent="0.35">
      <c r="E3221">
        <v>3218</v>
      </c>
      <c r="F3221">
        <f t="shared" ca="1" si="52"/>
        <v>5.6544079561377263E-4</v>
      </c>
    </row>
    <row r="3222" spans="5:6" x14ac:dyDescent="0.35">
      <c r="E3222">
        <v>3219</v>
      </c>
      <c r="F3222">
        <f t="shared" ca="1" si="52"/>
        <v>8.9223344612537232E-3</v>
      </c>
    </row>
    <row r="3223" spans="5:6" x14ac:dyDescent="0.35">
      <c r="E3223">
        <v>3220</v>
      </c>
      <c r="F3223">
        <f t="shared" ca="1" si="52"/>
        <v>-1.6092104670772898E-2</v>
      </c>
    </row>
    <row r="3224" spans="5:6" x14ac:dyDescent="0.35">
      <c r="E3224">
        <v>3221</v>
      </c>
      <c r="F3224">
        <f t="shared" ca="1" si="52"/>
        <v>-6.3422463356362525E-3</v>
      </c>
    </row>
    <row r="3225" spans="5:6" x14ac:dyDescent="0.35">
      <c r="E3225">
        <v>3222</v>
      </c>
      <c r="F3225">
        <f t="shared" ca="1" si="52"/>
        <v>-5.9482843971454622E-3</v>
      </c>
    </row>
    <row r="3226" spans="5:6" x14ac:dyDescent="0.35">
      <c r="E3226">
        <v>3223</v>
      </c>
      <c r="F3226">
        <f t="shared" ca="1" si="52"/>
        <v>-4.2197242198747792E-3</v>
      </c>
    </row>
    <row r="3227" spans="5:6" x14ac:dyDescent="0.35">
      <c r="E3227">
        <v>3224</v>
      </c>
      <c r="F3227">
        <f t="shared" ca="1" si="52"/>
        <v>4.1605378465172059E-2</v>
      </c>
    </row>
    <row r="3228" spans="5:6" x14ac:dyDescent="0.35">
      <c r="E3228">
        <v>3225</v>
      </c>
      <c r="F3228">
        <f t="shared" ca="1" si="52"/>
        <v>-1.6288348172608502E-3</v>
      </c>
    </row>
    <row r="3229" spans="5:6" x14ac:dyDescent="0.35">
      <c r="E3229">
        <v>3226</v>
      </c>
      <c r="F3229">
        <f t="shared" ca="1" si="52"/>
        <v>4.5087679888050677E-3</v>
      </c>
    </row>
    <row r="3230" spans="5:6" x14ac:dyDescent="0.35">
      <c r="E3230">
        <v>3227</v>
      </c>
      <c r="F3230">
        <f t="shared" ca="1" si="52"/>
        <v>2.3604703313685745E-2</v>
      </c>
    </row>
    <row r="3231" spans="5:6" x14ac:dyDescent="0.35">
      <c r="E3231">
        <v>3228</v>
      </c>
      <c r="F3231">
        <f t="shared" ca="1" si="52"/>
        <v>9.9431382703122299E-3</v>
      </c>
    </row>
    <row r="3232" spans="5:6" x14ac:dyDescent="0.35">
      <c r="E3232">
        <v>3229</v>
      </c>
      <c r="F3232">
        <f t="shared" ca="1" si="52"/>
        <v>-2.6761673972609347E-2</v>
      </c>
    </row>
    <row r="3233" spans="5:6" x14ac:dyDescent="0.35">
      <c r="E3233">
        <v>3230</v>
      </c>
      <c r="F3233">
        <f t="shared" ca="1" si="52"/>
        <v>3.7890212858134051E-3</v>
      </c>
    </row>
    <row r="3234" spans="5:6" x14ac:dyDescent="0.35">
      <c r="E3234">
        <v>3231</v>
      </c>
      <c r="F3234">
        <f t="shared" ca="1" si="52"/>
        <v>-2.6282728412061366E-2</v>
      </c>
    </row>
    <row r="3235" spans="5:6" x14ac:dyDescent="0.35">
      <c r="E3235">
        <v>3232</v>
      </c>
      <c r="F3235">
        <f t="shared" ca="1" si="52"/>
        <v>3.1181237736059774E-3</v>
      </c>
    </row>
    <row r="3236" spans="5:6" x14ac:dyDescent="0.35">
      <c r="E3236">
        <v>3233</v>
      </c>
      <c r="F3236">
        <f t="shared" ca="1" si="52"/>
        <v>3.840766899982047E-3</v>
      </c>
    </row>
    <row r="3237" spans="5:6" x14ac:dyDescent="0.35">
      <c r="E3237">
        <v>3234</v>
      </c>
      <c r="F3237">
        <f t="shared" ca="1" si="52"/>
        <v>-3.3877056511141873E-3</v>
      </c>
    </row>
    <row r="3238" spans="5:6" x14ac:dyDescent="0.35">
      <c r="E3238">
        <v>3235</v>
      </c>
      <c r="F3238">
        <f t="shared" ca="1" si="52"/>
        <v>1.0076220676827488E-3</v>
      </c>
    </row>
    <row r="3239" spans="5:6" x14ac:dyDescent="0.35">
      <c r="E3239">
        <v>3236</v>
      </c>
      <c r="F3239">
        <f t="shared" ca="1" si="52"/>
        <v>-1.0602632795370189E-2</v>
      </c>
    </row>
    <row r="3240" spans="5:6" x14ac:dyDescent="0.35">
      <c r="E3240">
        <v>3237</v>
      </c>
      <c r="F3240">
        <f t="shared" ca="1" si="52"/>
        <v>1.1838283895554661E-2</v>
      </c>
    </row>
    <row r="3241" spans="5:6" x14ac:dyDescent="0.35">
      <c r="E3241">
        <v>3238</v>
      </c>
      <c r="F3241">
        <f t="shared" ca="1" si="52"/>
        <v>1.5793205835588124E-2</v>
      </c>
    </row>
    <row r="3242" spans="5:6" x14ac:dyDescent="0.35">
      <c r="E3242">
        <v>3239</v>
      </c>
      <c r="F3242">
        <f t="shared" ca="1" si="52"/>
        <v>1.4253093250192835E-2</v>
      </c>
    </row>
    <row r="3243" spans="5:6" x14ac:dyDescent="0.35">
      <c r="E3243">
        <v>3240</v>
      </c>
      <c r="F3243">
        <f t="shared" ca="1" si="52"/>
        <v>1.4983234631921669E-2</v>
      </c>
    </row>
    <row r="3244" spans="5:6" x14ac:dyDescent="0.35">
      <c r="E3244">
        <v>3241</v>
      </c>
      <c r="F3244">
        <f t="shared" ca="1" si="52"/>
        <v>2.4691092415188897E-3</v>
      </c>
    </row>
    <row r="3245" spans="5:6" x14ac:dyDescent="0.35">
      <c r="E3245">
        <v>3242</v>
      </c>
      <c r="F3245">
        <f t="shared" ca="1" si="52"/>
        <v>1.6519004186318645E-2</v>
      </c>
    </row>
    <row r="3246" spans="5:6" x14ac:dyDescent="0.35">
      <c r="E3246">
        <v>3243</v>
      </c>
      <c r="F3246">
        <f t="shared" ca="1" si="52"/>
        <v>1.2051189530602054E-2</v>
      </c>
    </row>
    <row r="3247" spans="5:6" x14ac:dyDescent="0.35">
      <c r="E3247">
        <v>3244</v>
      </c>
      <c r="F3247">
        <f t="shared" ca="1" si="52"/>
        <v>7.3988520890763297E-3</v>
      </c>
    </row>
    <row r="3248" spans="5:6" x14ac:dyDescent="0.35">
      <c r="E3248">
        <v>3245</v>
      </c>
      <c r="F3248">
        <f t="shared" ca="1" si="52"/>
        <v>-1.9924976274224487E-2</v>
      </c>
    </row>
    <row r="3249" spans="5:6" x14ac:dyDescent="0.35">
      <c r="E3249">
        <v>3246</v>
      </c>
      <c r="F3249">
        <f t="shared" ca="1" si="52"/>
        <v>2.1610968636461554E-3</v>
      </c>
    </row>
    <row r="3250" spans="5:6" x14ac:dyDescent="0.35">
      <c r="E3250">
        <v>3247</v>
      </c>
      <c r="F3250">
        <f t="shared" ca="1" si="52"/>
        <v>4.0396235188948316E-3</v>
      </c>
    </row>
    <row r="3251" spans="5:6" x14ac:dyDescent="0.35">
      <c r="E3251">
        <v>3248</v>
      </c>
      <c r="F3251">
        <f t="shared" ca="1" si="52"/>
        <v>-2.0808922338087488E-3</v>
      </c>
    </row>
    <row r="3252" spans="5:6" x14ac:dyDescent="0.35">
      <c r="E3252">
        <v>3249</v>
      </c>
      <c r="F3252">
        <f t="shared" ca="1" si="52"/>
        <v>-9.7485948645722308E-3</v>
      </c>
    </row>
    <row r="3253" spans="5:6" x14ac:dyDescent="0.35">
      <c r="E3253">
        <v>3250</v>
      </c>
      <c r="F3253">
        <f t="shared" ca="1" si="52"/>
        <v>-2.8051785611673923E-2</v>
      </c>
    </row>
    <row r="3254" spans="5:6" x14ac:dyDescent="0.35">
      <c r="E3254">
        <v>3251</v>
      </c>
      <c r="F3254">
        <f t="shared" ca="1" si="52"/>
        <v>2.4410773143065861E-2</v>
      </c>
    </row>
    <row r="3255" spans="5:6" x14ac:dyDescent="0.35">
      <c r="E3255">
        <v>3252</v>
      </c>
      <c r="F3255">
        <f t="shared" ca="1" si="52"/>
        <v>-5.0764051127267533E-3</v>
      </c>
    </row>
    <row r="3256" spans="5:6" x14ac:dyDescent="0.35">
      <c r="E3256">
        <v>3253</v>
      </c>
      <c r="F3256">
        <f t="shared" ca="1" si="52"/>
        <v>7.2445019532272762E-3</v>
      </c>
    </row>
    <row r="3257" spans="5:6" x14ac:dyDescent="0.35">
      <c r="E3257">
        <v>3254</v>
      </c>
      <c r="F3257">
        <f t="shared" ca="1" si="52"/>
        <v>1.1904072608019812E-3</v>
      </c>
    </row>
    <row r="3258" spans="5:6" x14ac:dyDescent="0.35">
      <c r="E3258">
        <v>3255</v>
      </c>
      <c r="F3258">
        <f t="shared" ca="1" si="52"/>
        <v>-1.4853251088039605E-2</v>
      </c>
    </row>
    <row r="3259" spans="5:6" x14ac:dyDescent="0.35">
      <c r="E3259">
        <v>3256</v>
      </c>
      <c r="F3259">
        <f t="shared" ca="1" si="52"/>
        <v>2.3291776615163073E-2</v>
      </c>
    </row>
    <row r="3260" spans="5:6" x14ac:dyDescent="0.35">
      <c r="E3260">
        <v>3257</v>
      </c>
      <c r="F3260">
        <f t="shared" ca="1" si="52"/>
        <v>-1.0594444959735088E-2</v>
      </c>
    </row>
    <row r="3261" spans="5:6" x14ac:dyDescent="0.35">
      <c r="E3261">
        <v>3258</v>
      </c>
      <c r="F3261">
        <f t="shared" ca="1" si="52"/>
        <v>-1.7474322449101454E-2</v>
      </c>
    </row>
    <row r="3262" spans="5:6" x14ac:dyDescent="0.35">
      <c r="E3262">
        <v>3259</v>
      </c>
      <c r="F3262">
        <f t="shared" ca="1" si="52"/>
        <v>2.6850423215788537E-3</v>
      </c>
    </row>
    <row r="3263" spans="5:6" x14ac:dyDescent="0.35">
      <c r="E3263">
        <v>3260</v>
      </c>
      <c r="F3263">
        <f t="shared" ca="1" si="52"/>
        <v>-9.0049989637859401E-3</v>
      </c>
    </row>
    <row r="3264" spans="5:6" x14ac:dyDescent="0.35">
      <c r="E3264">
        <v>3261</v>
      </c>
      <c r="F3264">
        <f t="shared" ca="1" si="52"/>
        <v>1.5773925808784398E-2</v>
      </c>
    </row>
    <row r="3265" spans="5:6" x14ac:dyDescent="0.35">
      <c r="E3265">
        <v>3262</v>
      </c>
      <c r="F3265">
        <f t="shared" ca="1" si="52"/>
        <v>-2.2319450707096861E-2</v>
      </c>
    </row>
    <row r="3266" spans="5:6" x14ac:dyDescent="0.35">
      <c r="E3266">
        <v>3263</v>
      </c>
      <c r="F3266">
        <f t="shared" ca="1" si="52"/>
        <v>1.0465909653901703E-2</v>
      </c>
    </row>
    <row r="3267" spans="5:6" x14ac:dyDescent="0.35">
      <c r="E3267">
        <v>3264</v>
      </c>
      <c r="F3267">
        <f t="shared" ca="1" si="52"/>
        <v>1.6382714689231286E-2</v>
      </c>
    </row>
    <row r="3268" spans="5:6" x14ac:dyDescent="0.35">
      <c r="E3268">
        <v>3265</v>
      </c>
      <c r="F3268">
        <f t="shared" ca="1" si="52"/>
        <v>7.0327711672419687E-3</v>
      </c>
    </row>
    <row r="3269" spans="5:6" x14ac:dyDescent="0.35">
      <c r="E3269">
        <v>3266</v>
      </c>
      <c r="F3269">
        <f t="shared" ref="F3269:F3332" ca="1" si="53">_xlfn.NORM.INV(RAND(),M$6,M$7)</f>
        <v>3.0809902484157012E-3</v>
      </c>
    </row>
    <row r="3270" spans="5:6" x14ac:dyDescent="0.35">
      <c r="E3270">
        <v>3267</v>
      </c>
      <c r="F3270">
        <f t="shared" ca="1" si="53"/>
        <v>-1.216555457932909E-2</v>
      </c>
    </row>
    <row r="3271" spans="5:6" x14ac:dyDescent="0.35">
      <c r="E3271">
        <v>3268</v>
      </c>
      <c r="F3271">
        <f t="shared" ca="1" si="53"/>
        <v>4.3980842489567155E-3</v>
      </c>
    </row>
    <row r="3272" spans="5:6" x14ac:dyDescent="0.35">
      <c r="E3272">
        <v>3269</v>
      </c>
      <c r="F3272">
        <f t="shared" ca="1" si="53"/>
        <v>2.5427971214701081E-3</v>
      </c>
    </row>
    <row r="3273" spans="5:6" x14ac:dyDescent="0.35">
      <c r="E3273">
        <v>3270</v>
      </c>
      <c r="F3273">
        <f t="shared" ca="1" si="53"/>
        <v>2.1453346084932899E-2</v>
      </c>
    </row>
    <row r="3274" spans="5:6" x14ac:dyDescent="0.35">
      <c r="E3274">
        <v>3271</v>
      </c>
      <c r="F3274">
        <f t="shared" ca="1" si="53"/>
        <v>2.4174211882969285E-2</v>
      </c>
    </row>
    <row r="3275" spans="5:6" x14ac:dyDescent="0.35">
      <c r="E3275">
        <v>3272</v>
      </c>
      <c r="F3275">
        <f t="shared" ca="1" si="53"/>
        <v>-2.2933368917553692E-2</v>
      </c>
    </row>
    <row r="3276" spans="5:6" x14ac:dyDescent="0.35">
      <c r="E3276">
        <v>3273</v>
      </c>
      <c r="F3276">
        <f t="shared" ca="1" si="53"/>
        <v>-5.8306365331728853E-3</v>
      </c>
    </row>
    <row r="3277" spans="5:6" x14ac:dyDescent="0.35">
      <c r="E3277">
        <v>3274</v>
      </c>
      <c r="F3277">
        <f t="shared" ca="1" si="53"/>
        <v>-1.5031028041158259E-2</v>
      </c>
    </row>
    <row r="3278" spans="5:6" x14ac:dyDescent="0.35">
      <c r="E3278">
        <v>3275</v>
      </c>
      <c r="F3278">
        <f t="shared" ca="1" si="53"/>
        <v>-2.4050398233284538E-2</v>
      </c>
    </row>
    <row r="3279" spans="5:6" x14ac:dyDescent="0.35">
      <c r="E3279">
        <v>3276</v>
      </c>
      <c r="F3279">
        <f t="shared" ca="1" si="53"/>
        <v>2.2538785618152424E-2</v>
      </c>
    </row>
    <row r="3280" spans="5:6" x14ac:dyDescent="0.35">
      <c r="E3280">
        <v>3277</v>
      </c>
      <c r="F3280">
        <f t="shared" ca="1" si="53"/>
        <v>4.0588124154476322E-3</v>
      </c>
    </row>
    <row r="3281" spans="5:6" x14ac:dyDescent="0.35">
      <c r="E3281">
        <v>3278</v>
      </c>
      <c r="F3281">
        <f t="shared" ca="1" si="53"/>
        <v>1.3643835769257283E-2</v>
      </c>
    </row>
    <row r="3282" spans="5:6" x14ac:dyDescent="0.35">
      <c r="E3282">
        <v>3279</v>
      </c>
      <c r="F3282">
        <f t="shared" ca="1" si="53"/>
        <v>-2.3491997154518895E-2</v>
      </c>
    </row>
    <row r="3283" spans="5:6" x14ac:dyDescent="0.35">
      <c r="E3283">
        <v>3280</v>
      </c>
      <c r="F3283">
        <f t="shared" ca="1" si="53"/>
        <v>-4.7544663992976424E-3</v>
      </c>
    </row>
    <row r="3284" spans="5:6" x14ac:dyDescent="0.35">
      <c r="E3284">
        <v>3281</v>
      </c>
      <c r="F3284">
        <f t="shared" ca="1" si="53"/>
        <v>-7.5980493638042081E-3</v>
      </c>
    </row>
    <row r="3285" spans="5:6" x14ac:dyDescent="0.35">
      <c r="E3285">
        <v>3282</v>
      </c>
      <c r="F3285">
        <f t="shared" ca="1" si="53"/>
        <v>-2.0201466420617799E-2</v>
      </c>
    </row>
    <row r="3286" spans="5:6" x14ac:dyDescent="0.35">
      <c r="E3286">
        <v>3283</v>
      </c>
      <c r="F3286">
        <f t="shared" ca="1" si="53"/>
        <v>-4.9190972316583209E-3</v>
      </c>
    </row>
    <row r="3287" spans="5:6" x14ac:dyDescent="0.35">
      <c r="E3287">
        <v>3284</v>
      </c>
      <c r="F3287">
        <f t="shared" ca="1" si="53"/>
        <v>-1.34849280562642E-2</v>
      </c>
    </row>
    <row r="3288" spans="5:6" x14ac:dyDescent="0.35">
      <c r="E3288">
        <v>3285</v>
      </c>
      <c r="F3288">
        <f t="shared" ca="1" si="53"/>
        <v>-1.6997483412777644E-3</v>
      </c>
    </row>
    <row r="3289" spans="5:6" x14ac:dyDescent="0.35">
      <c r="E3289">
        <v>3286</v>
      </c>
      <c r="F3289">
        <f t="shared" ca="1" si="53"/>
        <v>7.4985899884502209E-3</v>
      </c>
    </row>
    <row r="3290" spans="5:6" x14ac:dyDescent="0.35">
      <c r="E3290">
        <v>3287</v>
      </c>
      <c r="F3290">
        <f t="shared" ca="1" si="53"/>
        <v>-8.9116443662505627E-4</v>
      </c>
    </row>
    <row r="3291" spans="5:6" x14ac:dyDescent="0.35">
      <c r="E3291">
        <v>3288</v>
      </c>
      <c r="F3291">
        <f t="shared" ca="1" si="53"/>
        <v>-2.6181352682792965E-3</v>
      </c>
    </row>
    <row r="3292" spans="5:6" x14ac:dyDescent="0.35">
      <c r="E3292">
        <v>3289</v>
      </c>
      <c r="F3292">
        <f t="shared" ca="1" si="53"/>
        <v>-4.5896644736316723E-3</v>
      </c>
    </row>
    <row r="3293" spans="5:6" x14ac:dyDescent="0.35">
      <c r="E3293">
        <v>3290</v>
      </c>
      <c r="F3293">
        <f t="shared" ca="1" si="53"/>
        <v>-7.707588005650164E-3</v>
      </c>
    </row>
    <row r="3294" spans="5:6" x14ac:dyDescent="0.35">
      <c r="E3294">
        <v>3291</v>
      </c>
      <c r="F3294">
        <f t="shared" ca="1" si="53"/>
        <v>3.5828320916718079E-3</v>
      </c>
    </row>
    <row r="3295" spans="5:6" x14ac:dyDescent="0.35">
      <c r="E3295">
        <v>3292</v>
      </c>
      <c r="F3295">
        <f t="shared" ca="1" si="53"/>
        <v>-1.1340805715631436E-3</v>
      </c>
    </row>
    <row r="3296" spans="5:6" x14ac:dyDescent="0.35">
      <c r="E3296">
        <v>3293</v>
      </c>
      <c r="F3296">
        <f t="shared" ca="1" si="53"/>
        <v>-1.9637314906071207E-3</v>
      </c>
    </row>
    <row r="3297" spans="5:6" x14ac:dyDescent="0.35">
      <c r="E3297">
        <v>3294</v>
      </c>
      <c r="F3297">
        <f t="shared" ca="1" si="53"/>
        <v>-2.7623167733273894E-2</v>
      </c>
    </row>
    <row r="3298" spans="5:6" x14ac:dyDescent="0.35">
      <c r="E3298">
        <v>3295</v>
      </c>
      <c r="F3298">
        <f t="shared" ca="1" si="53"/>
        <v>-2.2964992648966516E-2</v>
      </c>
    </row>
    <row r="3299" spans="5:6" x14ac:dyDescent="0.35">
      <c r="E3299">
        <v>3296</v>
      </c>
      <c r="F3299">
        <f t="shared" ca="1" si="53"/>
        <v>2.9346279617179526E-2</v>
      </c>
    </row>
    <row r="3300" spans="5:6" x14ac:dyDescent="0.35">
      <c r="E3300">
        <v>3297</v>
      </c>
      <c r="F3300">
        <f t="shared" ca="1" si="53"/>
        <v>-2.4887364345376754E-3</v>
      </c>
    </row>
    <row r="3301" spans="5:6" x14ac:dyDescent="0.35">
      <c r="E3301">
        <v>3298</v>
      </c>
      <c r="F3301">
        <f t="shared" ca="1" si="53"/>
        <v>1.5694173337622918E-2</v>
      </c>
    </row>
    <row r="3302" spans="5:6" x14ac:dyDescent="0.35">
      <c r="E3302">
        <v>3299</v>
      </c>
      <c r="F3302">
        <f t="shared" ca="1" si="53"/>
        <v>-9.9595716426953314E-3</v>
      </c>
    </row>
    <row r="3303" spans="5:6" x14ac:dyDescent="0.35">
      <c r="E3303">
        <v>3300</v>
      </c>
      <c r="F3303">
        <f t="shared" ca="1" si="53"/>
        <v>-7.9298459607100458E-3</v>
      </c>
    </row>
    <row r="3304" spans="5:6" x14ac:dyDescent="0.35">
      <c r="E3304">
        <v>3301</v>
      </c>
      <c r="F3304">
        <f t="shared" ca="1" si="53"/>
        <v>-7.0233499694722732E-3</v>
      </c>
    </row>
    <row r="3305" spans="5:6" x14ac:dyDescent="0.35">
      <c r="E3305">
        <v>3302</v>
      </c>
      <c r="F3305">
        <f t="shared" ca="1" si="53"/>
        <v>-4.4675150211008667E-3</v>
      </c>
    </row>
    <row r="3306" spans="5:6" x14ac:dyDescent="0.35">
      <c r="E3306">
        <v>3303</v>
      </c>
      <c r="F3306">
        <f t="shared" ca="1" si="53"/>
        <v>-6.10289775450949E-3</v>
      </c>
    </row>
    <row r="3307" spans="5:6" x14ac:dyDescent="0.35">
      <c r="E3307">
        <v>3304</v>
      </c>
      <c r="F3307">
        <f t="shared" ca="1" si="53"/>
        <v>-7.3829395493423865E-3</v>
      </c>
    </row>
    <row r="3308" spans="5:6" x14ac:dyDescent="0.35">
      <c r="E3308">
        <v>3305</v>
      </c>
      <c r="F3308">
        <f t="shared" ca="1" si="53"/>
        <v>-5.7462754321849019E-3</v>
      </c>
    </row>
    <row r="3309" spans="5:6" x14ac:dyDescent="0.35">
      <c r="E3309">
        <v>3306</v>
      </c>
      <c r="F3309">
        <f t="shared" ca="1" si="53"/>
        <v>-2.3928496730485169E-2</v>
      </c>
    </row>
    <row r="3310" spans="5:6" x14ac:dyDescent="0.35">
      <c r="E3310">
        <v>3307</v>
      </c>
      <c r="F3310">
        <f t="shared" ca="1" si="53"/>
        <v>2.7620925791381156E-2</v>
      </c>
    </row>
    <row r="3311" spans="5:6" x14ac:dyDescent="0.35">
      <c r="E3311">
        <v>3308</v>
      </c>
      <c r="F3311">
        <f t="shared" ca="1" si="53"/>
        <v>1.1717777383342329E-3</v>
      </c>
    </row>
    <row r="3312" spans="5:6" x14ac:dyDescent="0.35">
      <c r="E3312">
        <v>3309</v>
      </c>
      <c r="F3312">
        <f t="shared" ca="1" si="53"/>
        <v>-2.2958508964594407E-2</v>
      </c>
    </row>
    <row r="3313" spans="5:6" x14ac:dyDescent="0.35">
      <c r="E3313">
        <v>3310</v>
      </c>
      <c r="F3313">
        <f t="shared" ca="1" si="53"/>
        <v>-1.4067622305446293E-2</v>
      </c>
    </row>
    <row r="3314" spans="5:6" x14ac:dyDescent="0.35">
      <c r="E3314">
        <v>3311</v>
      </c>
      <c r="F3314">
        <f t="shared" ca="1" si="53"/>
        <v>2.5473026608665215E-2</v>
      </c>
    </row>
    <row r="3315" spans="5:6" x14ac:dyDescent="0.35">
      <c r="E3315">
        <v>3312</v>
      </c>
      <c r="F3315">
        <f t="shared" ca="1" si="53"/>
        <v>6.6196212757730711E-3</v>
      </c>
    </row>
    <row r="3316" spans="5:6" x14ac:dyDescent="0.35">
      <c r="E3316">
        <v>3313</v>
      </c>
      <c r="F3316">
        <f t="shared" ca="1" si="53"/>
        <v>-9.0777975379433256E-4</v>
      </c>
    </row>
    <row r="3317" spans="5:6" x14ac:dyDescent="0.35">
      <c r="E3317">
        <v>3314</v>
      </c>
      <c r="F3317">
        <f t="shared" ca="1" si="53"/>
        <v>-1.7351011844015697E-3</v>
      </c>
    </row>
    <row r="3318" spans="5:6" x14ac:dyDescent="0.35">
      <c r="E3318">
        <v>3315</v>
      </c>
      <c r="F3318">
        <f t="shared" ca="1" si="53"/>
        <v>-1.2459277003016024E-2</v>
      </c>
    </row>
    <row r="3319" spans="5:6" x14ac:dyDescent="0.35">
      <c r="E3319">
        <v>3316</v>
      </c>
      <c r="F3319">
        <f t="shared" ca="1" si="53"/>
        <v>1.1940947727582847E-2</v>
      </c>
    </row>
    <row r="3320" spans="5:6" x14ac:dyDescent="0.35">
      <c r="E3320">
        <v>3317</v>
      </c>
      <c r="F3320">
        <f t="shared" ca="1" si="53"/>
        <v>9.691317254568255E-4</v>
      </c>
    </row>
    <row r="3321" spans="5:6" x14ac:dyDescent="0.35">
      <c r="E3321">
        <v>3318</v>
      </c>
      <c r="F3321">
        <f t="shared" ca="1" si="53"/>
        <v>3.7601045676792029E-3</v>
      </c>
    </row>
    <row r="3322" spans="5:6" x14ac:dyDescent="0.35">
      <c r="E3322">
        <v>3319</v>
      </c>
      <c r="F3322">
        <f t="shared" ca="1" si="53"/>
        <v>-9.4260906137379492E-3</v>
      </c>
    </row>
    <row r="3323" spans="5:6" x14ac:dyDescent="0.35">
      <c r="E3323">
        <v>3320</v>
      </c>
      <c r="F3323">
        <f t="shared" ca="1" si="53"/>
        <v>-1.1332099471002915E-2</v>
      </c>
    </row>
    <row r="3324" spans="5:6" x14ac:dyDescent="0.35">
      <c r="E3324">
        <v>3321</v>
      </c>
      <c r="F3324">
        <f t="shared" ca="1" si="53"/>
        <v>-2.8350432586815018E-3</v>
      </c>
    </row>
    <row r="3325" spans="5:6" x14ac:dyDescent="0.35">
      <c r="E3325">
        <v>3322</v>
      </c>
      <c r="F3325">
        <f t="shared" ca="1" si="53"/>
        <v>2.4245488924307672E-3</v>
      </c>
    </row>
    <row r="3326" spans="5:6" x14ac:dyDescent="0.35">
      <c r="E3326">
        <v>3323</v>
      </c>
      <c r="F3326">
        <f t="shared" ca="1" si="53"/>
        <v>2.4026275339322164E-2</v>
      </c>
    </row>
    <row r="3327" spans="5:6" x14ac:dyDescent="0.35">
      <c r="E3327">
        <v>3324</v>
      </c>
      <c r="F3327">
        <f t="shared" ca="1" si="53"/>
        <v>7.3589620379732406E-4</v>
      </c>
    </row>
    <row r="3328" spans="5:6" x14ac:dyDescent="0.35">
      <c r="E3328">
        <v>3325</v>
      </c>
      <c r="F3328">
        <f t="shared" ca="1" si="53"/>
        <v>-6.6462554825448914E-3</v>
      </c>
    </row>
    <row r="3329" spans="5:6" x14ac:dyDescent="0.35">
      <c r="E3329">
        <v>3326</v>
      </c>
      <c r="F3329">
        <f t="shared" ca="1" si="53"/>
        <v>2.8369420332359757E-2</v>
      </c>
    </row>
    <row r="3330" spans="5:6" x14ac:dyDescent="0.35">
      <c r="E3330">
        <v>3327</v>
      </c>
      <c r="F3330">
        <f t="shared" ca="1" si="53"/>
        <v>3.6210032388896814E-2</v>
      </c>
    </row>
    <row r="3331" spans="5:6" x14ac:dyDescent="0.35">
      <c r="E3331">
        <v>3328</v>
      </c>
      <c r="F3331">
        <f t="shared" ca="1" si="53"/>
        <v>-2.7315874496216279E-3</v>
      </c>
    </row>
    <row r="3332" spans="5:6" x14ac:dyDescent="0.35">
      <c r="E3332">
        <v>3329</v>
      </c>
      <c r="F3332">
        <f t="shared" ca="1" si="53"/>
        <v>-7.615026062479411E-3</v>
      </c>
    </row>
    <row r="3333" spans="5:6" x14ac:dyDescent="0.35">
      <c r="E3333">
        <v>3330</v>
      </c>
      <c r="F3333">
        <f t="shared" ref="F3333:F3396" ca="1" si="54">_xlfn.NORM.INV(RAND(),M$6,M$7)</f>
        <v>-1.103371194410168E-3</v>
      </c>
    </row>
    <row r="3334" spans="5:6" x14ac:dyDescent="0.35">
      <c r="E3334">
        <v>3331</v>
      </c>
      <c r="F3334">
        <f t="shared" ca="1" si="54"/>
        <v>-2.337182096015088E-3</v>
      </c>
    </row>
    <row r="3335" spans="5:6" x14ac:dyDescent="0.35">
      <c r="E3335">
        <v>3332</v>
      </c>
      <c r="F3335">
        <f t="shared" ca="1" si="54"/>
        <v>5.5488779433426616E-3</v>
      </c>
    </row>
    <row r="3336" spans="5:6" x14ac:dyDescent="0.35">
      <c r="E3336">
        <v>3333</v>
      </c>
      <c r="F3336">
        <f t="shared" ca="1" si="54"/>
        <v>-8.9024261766990197E-3</v>
      </c>
    </row>
    <row r="3337" spans="5:6" x14ac:dyDescent="0.35">
      <c r="E3337">
        <v>3334</v>
      </c>
      <c r="F3337">
        <f t="shared" ca="1" si="54"/>
        <v>2.7087593791823641E-2</v>
      </c>
    </row>
    <row r="3338" spans="5:6" x14ac:dyDescent="0.35">
      <c r="E3338">
        <v>3335</v>
      </c>
      <c r="F3338">
        <f t="shared" ca="1" si="54"/>
        <v>3.4555655168456392E-2</v>
      </c>
    </row>
    <row r="3339" spans="5:6" x14ac:dyDescent="0.35">
      <c r="E3339">
        <v>3336</v>
      </c>
      <c r="F3339">
        <f t="shared" ca="1" si="54"/>
        <v>7.7111566765908487E-3</v>
      </c>
    </row>
    <row r="3340" spans="5:6" x14ac:dyDescent="0.35">
      <c r="E3340">
        <v>3337</v>
      </c>
      <c r="F3340">
        <f t="shared" ca="1" si="54"/>
        <v>-6.0728868851340012E-3</v>
      </c>
    </row>
    <row r="3341" spans="5:6" x14ac:dyDescent="0.35">
      <c r="E3341">
        <v>3338</v>
      </c>
      <c r="F3341">
        <f t="shared" ca="1" si="54"/>
        <v>1.8008136173593384E-2</v>
      </c>
    </row>
    <row r="3342" spans="5:6" x14ac:dyDescent="0.35">
      <c r="E3342">
        <v>3339</v>
      </c>
      <c r="F3342">
        <f t="shared" ca="1" si="54"/>
        <v>4.5394636832811214E-3</v>
      </c>
    </row>
    <row r="3343" spans="5:6" x14ac:dyDescent="0.35">
      <c r="E3343">
        <v>3340</v>
      </c>
      <c r="F3343">
        <f t="shared" ca="1" si="54"/>
        <v>-1.853708171843917E-2</v>
      </c>
    </row>
    <row r="3344" spans="5:6" x14ac:dyDescent="0.35">
      <c r="E3344">
        <v>3341</v>
      </c>
      <c r="F3344">
        <f t="shared" ca="1" si="54"/>
        <v>-5.444385254729435E-3</v>
      </c>
    </row>
    <row r="3345" spans="5:6" x14ac:dyDescent="0.35">
      <c r="E3345">
        <v>3342</v>
      </c>
      <c r="F3345">
        <f t="shared" ca="1" si="54"/>
        <v>-1.3609359776557634E-2</v>
      </c>
    </row>
    <row r="3346" spans="5:6" x14ac:dyDescent="0.35">
      <c r="E3346">
        <v>3343</v>
      </c>
      <c r="F3346">
        <f t="shared" ca="1" si="54"/>
        <v>1.2312194861776872E-2</v>
      </c>
    </row>
    <row r="3347" spans="5:6" x14ac:dyDescent="0.35">
      <c r="E3347">
        <v>3344</v>
      </c>
      <c r="F3347">
        <f t="shared" ca="1" si="54"/>
        <v>-1.0163726339305323E-2</v>
      </c>
    </row>
    <row r="3348" spans="5:6" x14ac:dyDescent="0.35">
      <c r="E3348">
        <v>3345</v>
      </c>
      <c r="F3348">
        <f t="shared" ca="1" si="54"/>
        <v>2.2689850456956238E-2</v>
      </c>
    </row>
    <row r="3349" spans="5:6" x14ac:dyDescent="0.35">
      <c r="E3349">
        <v>3346</v>
      </c>
      <c r="F3349">
        <f t="shared" ca="1" si="54"/>
        <v>2.1120780054360844E-2</v>
      </c>
    </row>
    <row r="3350" spans="5:6" x14ac:dyDescent="0.35">
      <c r="E3350">
        <v>3347</v>
      </c>
      <c r="F3350">
        <f t="shared" ca="1" si="54"/>
        <v>3.2241567009621771E-4</v>
      </c>
    </row>
    <row r="3351" spans="5:6" x14ac:dyDescent="0.35">
      <c r="E3351">
        <v>3348</v>
      </c>
      <c r="F3351">
        <f t="shared" ca="1" si="54"/>
        <v>-7.5012546313334167E-3</v>
      </c>
    </row>
    <row r="3352" spans="5:6" x14ac:dyDescent="0.35">
      <c r="E3352">
        <v>3349</v>
      </c>
      <c r="F3352">
        <f t="shared" ca="1" si="54"/>
        <v>-8.4163203843787347E-4</v>
      </c>
    </row>
    <row r="3353" spans="5:6" x14ac:dyDescent="0.35">
      <c r="E3353">
        <v>3350</v>
      </c>
      <c r="F3353">
        <f t="shared" ca="1" si="54"/>
        <v>-6.5393356348070085E-3</v>
      </c>
    </row>
    <row r="3354" spans="5:6" x14ac:dyDescent="0.35">
      <c r="E3354">
        <v>3351</v>
      </c>
      <c r="F3354">
        <f t="shared" ca="1" si="54"/>
        <v>6.388016790413723E-3</v>
      </c>
    </row>
    <row r="3355" spans="5:6" x14ac:dyDescent="0.35">
      <c r="E3355">
        <v>3352</v>
      </c>
      <c r="F3355">
        <f t="shared" ca="1" si="54"/>
        <v>-2.4224602091302411E-2</v>
      </c>
    </row>
    <row r="3356" spans="5:6" x14ac:dyDescent="0.35">
      <c r="E3356">
        <v>3353</v>
      </c>
      <c r="F3356">
        <f t="shared" ca="1" si="54"/>
        <v>1.5056079846460761E-2</v>
      </c>
    </row>
    <row r="3357" spans="5:6" x14ac:dyDescent="0.35">
      <c r="E3357">
        <v>3354</v>
      </c>
      <c r="F3357">
        <f t="shared" ca="1" si="54"/>
        <v>1.1610218911267618E-4</v>
      </c>
    </row>
    <row r="3358" spans="5:6" x14ac:dyDescent="0.35">
      <c r="E3358">
        <v>3355</v>
      </c>
      <c r="F3358">
        <f t="shared" ca="1" si="54"/>
        <v>-1.6280917483421999E-2</v>
      </c>
    </row>
    <row r="3359" spans="5:6" x14ac:dyDescent="0.35">
      <c r="E3359">
        <v>3356</v>
      </c>
      <c r="F3359">
        <f t="shared" ca="1" si="54"/>
        <v>1.3258131363243296E-5</v>
      </c>
    </row>
    <row r="3360" spans="5:6" x14ac:dyDescent="0.35">
      <c r="E3360">
        <v>3357</v>
      </c>
      <c r="F3360">
        <f t="shared" ca="1" si="54"/>
        <v>1.9222525836771209E-2</v>
      </c>
    </row>
    <row r="3361" spans="5:6" x14ac:dyDescent="0.35">
      <c r="E3361">
        <v>3358</v>
      </c>
      <c r="F3361">
        <f t="shared" ca="1" si="54"/>
        <v>4.506953784232169E-3</v>
      </c>
    </row>
    <row r="3362" spans="5:6" x14ac:dyDescent="0.35">
      <c r="E3362">
        <v>3359</v>
      </c>
      <c r="F3362">
        <f t="shared" ca="1" si="54"/>
        <v>-1.0916776354094983E-3</v>
      </c>
    </row>
    <row r="3363" spans="5:6" x14ac:dyDescent="0.35">
      <c r="E3363">
        <v>3360</v>
      </c>
      <c r="F3363">
        <f t="shared" ca="1" si="54"/>
        <v>1.6509825139746217E-2</v>
      </c>
    </row>
    <row r="3364" spans="5:6" x14ac:dyDescent="0.35">
      <c r="E3364">
        <v>3361</v>
      </c>
      <c r="F3364">
        <f t="shared" ca="1" si="54"/>
        <v>-6.8115985316315819E-3</v>
      </c>
    </row>
    <row r="3365" spans="5:6" x14ac:dyDescent="0.35">
      <c r="E3365">
        <v>3362</v>
      </c>
      <c r="F3365">
        <f t="shared" ca="1" si="54"/>
        <v>-9.0950073785163606E-4</v>
      </c>
    </row>
    <row r="3366" spans="5:6" x14ac:dyDescent="0.35">
      <c r="E3366">
        <v>3363</v>
      </c>
      <c r="F3366">
        <f t="shared" ca="1" si="54"/>
        <v>-1.4416710311710656E-3</v>
      </c>
    </row>
    <row r="3367" spans="5:6" x14ac:dyDescent="0.35">
      <c r="E3367">
        <v>3364</v>
      </c>
      <c r="F3367">
        <f t="shared" ca="1" si="54"/>
        <v>-3.2259211269982328E-3</v>
      </c>
    </row>
    <row r="3368" spans="5:6" x14ac:dyDescent="0.35">
      <c r="E3368">
        <v>3365</v>
      </c>
      <c r="F3368">
        <f t="shared" ca="1" si="54"/>
        <v>6.1805091775509946E-3</v>
      </c>
    </row>
    <row r="3369" spans="5:6" x14ac:dyDescent="0.35">
      <c r="E3369">
        <v>3366</v>
      </c>
      <c r="F3369">
        <f t="shared" ca="1" si="54"/>
        <v>-1.2498842985635389E-2</v>
      </c>
    </row>
    <row r="3370" spans="5:6" x14ac:dyDescent="0.35">
      <c r="E3370">
        <v>3367</v>
      </c>
      <c r="F3370">
        <f t="shared" ca="1" si="54"/>
        <v>-6.9553291190929739E-3</v>
      </c>
    </row>
    <row r="3371" spans="5:6" x14ac:dyDescent="0.35">
      <c r="E3371">
        <v>3368</v>
      </c>
      <c r="F3371">
        <f t="shared" ca="1" si="54"/>
        <v>2.558330762726101E-2</v>
      </c>
    </row>
    <row r="3372" spans="5:6" x14ac:dyDescent="0.35">
      <c r="E3372">
        <v>3369</v>
      </c>
      <c r="F3372">
        <f t="shared" ca="1" si="54"/>
        <v>3.1524412271907794E-3</v>
      </c>
    </row>
    <row r="3373" spans="5:6" x14ac:dyDescent="0.35">
      <c r="E3373">
        <v>3370</v>
      </c>
      <c r="F3373">
        <f t="shared" ca="1" si="54"/>
        <v>1.8173806361155537E-2</v>
      </c>
    </row>
    <row r="3374" spans="5:6" x14ac:dyDescent="0.35">
      <c r="E3374">
        <v>3371</v>
      </c>
      <c r="F3374">
        <f t="shared" ca="1" si="54"/>
        <v>1.5467188327860549E-2</v>
      </c>
    </row>
    <row r="3375" spans="5:6" x14ac:dyDescent="0.35">
      <c r="E3375">
        <v>3372</v>
      </c>
      <c r="F3375">
        <f t="shared" ca="1" si="54"/>
        <v>-2.4360059188936189E-2</v>
      </c>
    </row>
    <row r="3376" spans="5:6" x14ac:dyDescent="0.35">
      <c r="E3376">
        <v>3373</v>
      </c>
      <c r="F3376">
        <f t="shared" ca="1" si="54"/>
        <v>-2.3270347069241881E-4</v>
      </c>
    </row>
    <row r="3377" spans="5:6" x14ac:dyDescent="0.35">
      <c r="E3377">
        <v>3374</v>
      </c>
      <c r="F3377">
        <f t="shared" ca="1" si="54"/>
        <v>-1.8950721432741076E-2</v>
      </c>
    </row>
    <row r="3378" spans="5:6" x14ac:dyDescent="0.35">
      <c r="E3378">
        <v>3375</v>
      </c>
      <c r="F3378">
        <f t="shared" ca="1" si="54"/>
        <v>-7.8090983747720472E-3</v>
      </c>
    </row>
    <row r="3379" spans="5:6" x14ac:dyDescent="0.35">
      <c r="E3379">
        <v>3376</v>
      </c>
      <c r="F3379">
        <f t="shared" ca="1" si="54"/>
        <v>-8.287115358391375E-3</v>
      </c>
    </row>
    <row r="3380" spans="5:6" x14ac:dyDescent="0.35">
      <c r="E3380">
        <v>3377</v>
      </c>
      <c r="F3380">
        <f t="shared" ca="1" si="54"/>
        <v>-1.3930989423941852E-2</v>
      </c>
    </row>
    <row r="3381" spans="5:6" x14ac:dyDescent="0.35">
      <c r="E3381">
        <v>3378</v>
      </c>
      <c r="F3381">
        <f t="shared" ca="1" si="54"/>
        <v>2.9835534567866882E-3</v>
      </c>
    </row>
    <row r="3382" spans="5:6" x14ac:dyDescent="0.35">
      <c r="E3382">
        <v>3379</v>
      </c>
      <c r="F3382">
        <f t="shared" ca="1" si="54"/>
        <v>-1.4746732271200689E-4</v>
      </c>
    </row>
    <row r="3383" spans="5:6" x14ac:dyDescent="0.35">
      <c r="E3383">
        <v>3380</v>
      </c>
      <c r="F3383">
        <f t="shared" ca="1" si="54"/>
        <v>-1.5215523267321693E-3</v>
      </c>
    </row>
    <row r="3384" spans="5:6" x14ac:dyDescent="0.35">
      <c r="E3384">
        <v>3381</v>
      </c>
      <c r="F3384">
        <f t="shared" ca="1" si="54"/>
        <v>1.3936240637670169E-2</v>
      </c>
    </row>
    <row r="3385" spans="5:6" x14ac:dyDescent="0.35">
      <c r="E3385">
        <v>3382</v>
      </c>
      <c r="F3385">
        <f t="shared" ca="1" si="54"/>
        <v>1.5845962853103276E-3</v>
      </c>
    </row>
    <row r="3386" spans="5:6" x14ac:dyDescent="0.35">
      <c r="E3386">
        <v>3383</v>
      </c>
      <c r="F3386">
        <f t="shared" ca="1" si="54"/>
        <v>-1.2262593629289135E-2</v>
      </c>
    </row>
    <row r="3387" spans="5:6" x14ac:dyDescent="0.35">
      <c r="E3387">
        <v>3384</v>
      </c>
      <c r="F3387">
        <f t="shared" ca="1" si="54"/>
        <v>1.0810613960715813E-2</v>
      </c>
    </row>
    <row r="3388" spans="5:6" x14ac:dyDescent="0.35">
      <c r="E3388">
        <v>3385</v>
      </c>
      <c r="F3388">
        <f t="shared" ca="1" si="54"/>
        <v>-2.3995431341500952E-3</v>
      </c>
    </row>
    <row r="3389" spans="5:6" x14ac:dyDescent="0.35">
      <c r="E3389">
        <v>3386</v>
      </c>
      <c r="F3389">
        <f t="shared" ca="1" si="54"/>
        <v>2.1915884744313836E-2</v>
      </c>
    </row>
    <row r="3390" spans="5:6" x14ac:dyDescent="0.35">
      <c r="E3390">
        <v>3387</v>
      </c>
      <c r="F3390">
        <f t="shared" ca="1" si="54"/>
        <v>9.9678396734048571E-6</v>
      </c>
    </row>
    <row r="3391" spans="5:6" x14ac:dyDescent="0.35">
      <c r="E3391">
        <v>3388</v>
      </c>
      <c r="F3391">
        <f t="shared" ca="1" si="54"/>
        <v>-1.2692546763386133E-2</v>
      </c>
    </row>
    <row r="3392" spans="5:6" x14ac:dyDescent="0.35">
      <c r="E3392">
        <v>3389</v>
      </c>
      <c r="F3392">
        <f t="shared" ca="1" si="54"/>
        <v>-1.4348396653275083E-2</v>
      </c>
    </row>
    <row r="3393" spans="5:6" x14ac:dyDescent="0.35">
      <c r="E3393">
        <v>3390</v>
      </c>
      <c r="F3393">
        <f t="shared" ca="1" si="54"/>
        <v>-1.2475517296240527E-2</v>
      </c>
    </row>
    <row r="3394" spans="5:6" x14ac:dyDescent="0.35">
      <c r="E3394">
        <v>3391</v>
      </c>
      <c r="F3394">
        <f t="shared" ca="1" si="54"/>
        <v>-9.7425462281635223E-5</v>
      </c>
    </row>
    <row r="3395" spans="5:6" x14ac:dyDescent="0.35">
      <c r="E3395">
        <v>3392</v>
      </c>
      <c r="F3395">
        <f t="shared" ca="1" si="54"/>
        <v>-5.8153080307133441E-3</v>
      </c>
    </row>
    <row r="3396" spans="5:6" x14ac:dyDescent="0.35">
      <c r="E3396">
        <v>3393</v>
      </c>
      <c r="F3396">
        <f t="shared" ca="1" si="54"/>
        <v>-1.8504906011228551E-2</v>
      </c>
    </row>
    <row r="3397" spans="5:6" x14ac:dyDescent="0.35">
      <c r="E3397">
        <v>3394</v>
      </c>
      <c r="F3397">
        <f t="shared" ref="F3397:F3460" ca="1" si="55">_xlfn.NORM.INV(RAND(),M$6,M$7)</f>
        <v>1.9560904687105267E-3</v>
      </c>
    </row>
    <row r="3398" spans="5:6" x14ac:dyDescent="0.35">
      <c r="E3398">
        <v>3395</v>
      </c>
      <c r="F3398">
        <f t="shared" ca="1" si="55"/>
        <v>-4.5858726667386846E-3</v>
      </c>
    </row>
    <row r="3399" spans="5:6" x14ac:dyDescent="0.35">
      <c r="E3399">
        <v>3396</v>
      </c>
      <c r="F3399">
        <f t="shared" ca="1" si="55"/>
        <v>-4.5568010517487052E-3</v>
      </c>
    </row>
    <row r="3400" spans="5:6" x14ac:dyDescent="0.35">
      <c r="E3400">
        <v>3397</v>
      </c>
      <c r="F3400">
        <f t="shared" ca="1" si="55"/>
        <v>-6.5269587394641416E-4</v>
      </c>
    </row>
    <row r="3401" spans="5:6" x14ac:dyDescent="0.35">
      <c r="E3401">
        <v>3398</v>
      </c>
      <c r="F3401">
        <f t="shared" ca="1" si="55"/>
        <v>1.0255656542303586E-2</v>
      </c>
    </row>
    <row r="3402" spans="5:6" x14ac:dyDescent="0.35">
      <c r="E3402">
        <v>3399</v>
      </c>
      <c r="F3402">
        <f t="shared" ca="1" si="55"/>
        <v>6.955151528865792E-3</v>
      </c>
    </row>
    <row r="3403" spans="5:6" x14ac:dyDescent="0.35">
      <c r="E3403">
        <v>3400</v>
      </c>
      <c r="F3403">
        <f t="shared" ca="1" si="55"/>
        <v>-1.8584443531094143E-2</v>
      </c>
    </row>
    <row r="3404" spans="5:6" x14ac:dyDescent="0.35">
      <c r="E3404">
        <v>3401</v>
      </c>
      <c r="F3404">
        <f t="shared" ca="1" si="55"/>
        <v>1.3684467886302129E-3</v>
      </c>
    </row>
    <row r="3405" spans="5:6" x14ac:dyDescent="0.35">
      <c r="E3405">
        <v>3402</v>
      </c>
      <c r="F3405">
        <f t="shared" ca="1" si="55"/>
        <v>6.8198483946689502E-3</v>
      </c>
    </row>
    <row r="3406" spans="5:6" x14ac:dyDescent="0.35">
      <c r="E3406">
        <v>3403</v>
      </c>
      <c r="F3406">
        <f t="shared" ca="1" si="55"/>
        <v>3.2204230031036396E-2</v>
      </c>
    </row>
    <row r="3407" spans="5:6" x14ac:dyDescent="0.35">
      <c r="E3407">
        <v>3404</v>
      </c>
      <c r="F3407">
        <f t="shared" ca="1" si="55"/>
        <v>-1.2005309249957402E-2</v>
      </c>
    </row>
    <row r="3408" spans="5:6" x14ac:dyDescent="0.35">
      <c r="E3408">
        <v>3405</v>
      </c>
      <c r="F3408">
        <f t="shared" ca="1" si="55"/>
        <v>-3.8981015335024264E-3</v>
      </c>
    </row>
    <row r="3409" spans="5:6" x14ac:dyDescent="0.35">
      <c r="E3409">
        <v>3406</v>
      </c>
      <c r="F3409">
        <f t="shared" ca="1" si="55"/>
        <v>2.2178552158721707E-3</v>
      </c>
    </row>
    <row r="3410" spans="5:6" x14ac:dyDescent="0.35">
      <c r="E3410">
        <v>3407</v>
      </c>
      <c r="F3410">
        <f t="shared" ca="1" si="55"/>
        <v>3.2073145330240903E-3</v>
      </c>
    </row>
    <row r="3411" spans="5:6" x14ac:dyDescent="0.35">
      <c r="E3411">
        <v>3408</v>
      </c>
      <c r="F3411">
        <f t="shared" ca="1" si="55"/>
        <v>7.8666869268939916E-3</v>
      </c>
    </row>
    <row r="3412" spans="5:6" x14ac:dyDescent="0.35">
      <c r="E3412">
        <v>3409</v>
      </c>
      <c r="F3412">
        <f t="shared" ca="1" si="55"/>
        <v>8.9998605825509243E-3</v>
      </c>
    </row>
    <row r="3413" spans="5:6" x14ac:dyDescent="0.35">
      <c r="E3413">
        <v>3410</v>
      </c>
      <c r="F3413">
        <f t="shared" ca="1" si="55"/>
        <v>4.2501372577156867E-3</v>
      </c>
    </row>
    <row r="3414" spans="5:6" x14ac:dyDescent="0.35">
      <c r="E3414">
        <v>3411</v>
      </c>
      <c r="F3414">
        <f t="shared" ca="1" si="55"/>
        <v>-1.7255373213024769E-3</v>
      </c>
    </row>
    <row r="3415" spans="5:6" x14ac:dyDescent="0.35">
      <c r="E3415">
        <v>3412</v>
      </c>
      <c r="F3415">
        <f t="shared" ca="1" si="55"/>
        <v>2.036011364782141E-2</v>
      </c>
    </row>
    <row r="3416" spans="5:6" x14ac:dyDescent="0.35">
      <c r="E3416">
        <v>3413</v>
      </c>
      <c r="F3416">
        <f t="shared" ca="1" si="55"/>
        <v>3.9881737612097318E-3</v>
      </c>
    </row>
    <row r="3417" spans="5:6" x14ac:dyDescent="0.35">
      <c r="E3417">
        <v>3414</v>
      </c>
      <c r="F3417">
        <f t="shared" ca="1" si="55"/>
        <v>-4.8019186789108907E-3</v>
      </c>
    </row>
    <row r="3418" spans="5:6" x14ac:dyDescent="0.35">
      <c r="E3418">
        <v>3415</v>
      </c>
      <c r="F3418">
        <f t="shared" ca="1" si="55"/>
        <v>2.025863872727793E-3</v>
      </c>
    </row>
    <row r="3419" spans="5:6" x14ac:dyDescent="0.35">
      <c r="E3419">
        <v>3416</v>
      </c>
      <c r="F3419">
        <f t="shared" ca="1" si="55"/>
        <v>-7.7816749002777939E-3</v>
      </c>
    </row>
    <row r="3420" spans="5:6" x14ac:dyDescent="0.35">
      <c r="E3420">
        <v>3417</v>
      </c>
      <c r="F3420">
        <f t="shared" ca="1" si="55"/>
        <v>-2.2907342508527422E-3</v>
      </c>
    </row>
    <row r="3421" spans="5:6" x14ac:dyDescent="0.35">
      <c r="E3421">
        <v>3418</v>
      </c>
      <c r="F3421">
        <f t="shared" ca="1" si="55"/>
        <v>5.340455409953801E-3</v>
      </c>
    </row>
    <row r="3422" spans="5:6" x14ac:dyDescent="0.35">
      <c r="E3422">
        <v>3419</v>
      </c>
      <c r="F3422">
        <f t="shared" ca="1" si="55"/>
        <v>-6.5114964305146164E-3</v>
      </c>
    </row>
    <row r="3423" spans="5:6" x14ac:dyDescent="0.35">
      <c r="E3423">
        <v>3420</v>
      </c>
      <c r="F3423">
        <f t="shared" ca="1" si="55"/>
        <v>-4.1129435584112608E-3</v>
      </c>
    </row>
    <row r="3424" spans="5:6" x14ac:dyDescent="0.35">
      <c r="E3424">
        <v>3421</v>
      </c>
      <c r="F3424">
        <f t="shared" ca="1" si="55"/>
        <v>-8.3545823083118597E-3</v>
      </c>
    </row>
    <row r="3425" spans="5:6" x14ac:dyDescent="0.35">
      <c r="E3425">
        <v>3422</v>
      </c>
      <c r="F3425">
        <f t="shared" ca="1" si="55"/>
        <v>-1.0571053722157966E-2</v>
      </c>
    </row>
    <row r="3426" spans="5:6" x14ac:dyDescent="0.35">
      <c r="E3426">
        <v>3423</v>
      </c>
      <c r="F3426">
        <f t="shared" ca="1" si="55"/>
        <v>1.2991677212662702E-2</v>
      </c>
    </row>
    <row r="3427" spans="5:6" x14ac:dyDescent="0.35">
      <c r="E3427">
        <v>3424</v>
      </c>
      <c r="F3427">
        <f t="shared" ca="1" si="55"/>
        <v>1.6121052358680867E-2</v>
      </c>
    </row>
    <row r="3428" spans="5:6" x14ac:dyDescent="0.35">
      <c r="E3428">
        <v>3425</v>
      </c>
      <c r="F3428">
        <f t="shared" ca="1" si="55"/>
        <v>-9.7647596853405838E-4</v>
      </c>
    </row>
    <row r="3429" spans="5:6" x14ac:dyDescent="0.35">
      <c r="E3429">
        <v>3426</v>
      </c>
      <c r="F3429">
        <f t="shared" ca="1" si="55"/>
        <v>-1.9125130297476575E-2</v>
      </c>
    </row>
    <row r="3430" spans="5:6" x14ac:dyDescent="0.35">
      <c r="E3430">
        <v>3427</v>
      </c>
      <c r="F3430">
        <f t="shared" ca="1" si="55"/>
        <v>1.1011630421023044E-2</v>
      </c>
    </row>
    <row r="3431" spans="5:6" x14ac:dyDescent="0.35">
      <c r="E3431">
        <v>3428</v>
      </c>
      <c r="F3431">
        <f t="shared" ca="1" si="55"/>
        <v>-4.719660224928166E-3</v>
      </c>
    </row>
    <row r="3432" spans="5:6" x14ac:dyDescent="0.35">
      <c r="E3432">
        <v>3429</v>
      </c>
      <c r="F3432">
        <f t="shared" ca="1" si="55"/>
        <v>-1.1964780720518852E-2</v>
      </c>
    </row>
    <row r="3433" spans="5:6" x14ac:dyDescent="0.35">
      <c r="E3433">
        <v>3430</v>
      </c>
      <c r="F3433">
        <f t="shared" ca="1" si="55"/>
        <v>-1.6994803713340664E-2</v>
      </c>
    </row>
    <row r="3434" spans="5:6" x14ac:dyDescent="0.35">
      <c r="E3434">
        <v>3431</v>
      </c>
      <c r="F3434">
        <f t="shared" ca="1" si="55"/>
        <v>1.1931453021897338E-2</v>
      </c>
    </row>
    <row r="3435" spans="5:6" x14ac:dyDescent="0.35">
      <c r="E3435">
        <v>3432</v>
      </c>
      <c r="F3435">
        <f t="shared" ca="1" si="55"/>
        <v>-2.6443623170951457E-2</v>
      </c>
    </row>
    <row r="3436" spans="5:6" x14ac:dyDescent="0.35">
      <c r="E3436">
        <v>3433</v>
      </c>
      <c r="F3436">
        <f t="shared" ca="1" si="55"/>
        <v>-1.6100504338514492E-2</v>
      </c>
    </row>
    <row r="3437" spans="5:6" x14ac:dyDescent="0.35">
      <c r="E3437">
        <v>3434</v>
      </c>
      <c r="F3437">
        <f t="shared" ca="1" si="55"/>
        <v>1.3765382166167444E-2</v>
      </c>
    </row>
    <row r="3438" spans="5:6" x14ac:dyDescent="0.35">
      <c r="E3438">
        <v>3435</v>
      </c>
      <c r="F3438">
        <f t="shared" ca="1" si="55"/>
        <v>-2.6697299698688132E-2</v>
      </c>
    </row>
    <row r="3439" spans="5:6" x14ac:dyDescent="0.35">
      <c r="E3439">
        <v>3436</v>
      </c>
      <c r="F3439">
        <f t="shared" ca="1" si="55"/>
        <v>3.9726729614078847E-3</v>
      </c>
    </row>
    <row r="3440" spans="5:6" x14ac:dyDescent="0.35">
      <c r="E3440">
        <v>3437</v>
      </c>
      <c r="F3440">
        <f t="shared" ca="1" si="55"/>
        <v>1.8016613561363019E-2</v>
      </c>
    </row>
    <row r="3441" spans="5:6" x14ac:dyDescent="0.35">
      <c r="E3441">
        <v>3438</v>
      </c>
      <c r="F3441">
        <f t="shared" ca="1" si="55"/>
        <v>1.4838324231614141E-2</v>
      </c>
    </row>
    <row r="3442" spans="5:6" x14ac:dyDescent="0.35">
      <c r="E3442">
        <v>3439</v>
      </c>
      <c r="F3442">
        <f t="shared" ca="1" si="55"/>
        <v>-1.0826696396500987E-2</v>
      </c>
    </row>
    <row r="3443" spans="5:6" x14ac:dyDescent="0.35">
      <c r="E3443">
        <v>3440</v>
      </c>
      <c r="F3443">
        <f t="shared" ca="1" si="55"/>
        <v>3.4191656948650846E-4</v>
      </c>
    </row>
    <row r="3444" spans="5:6" x14ac:dyDescent="0.35">
      <c r="E3444">
        <v>3441</v>
      </c>
      <c r="F3444">
        <f t="shared" ca="1" si="55"/>
        <v>1.8599889642338507E-3</v>
      </c>
    </row>
    <row r="3445" spans="5:6" x14ac:dyDescent="0.35">
      <c r="E3445">
        <v>3442</v>
      </c>
      <c r="F3445">
        <f t="shared" ca="1" si="55"/>
        <v>-3.0254720252368927E-2</v>
      </c>
    </row>
    <row r="3446" spans="5:6" x14ac:dyDescent="0.35">
      <c r="E3446">
        <v>3443</v>
      </c>
      <c r="F3446">
        <f t="shared" ca="1" si="55"/>
        <v>4.1428300634223987E-2</v>
      </c>
    </row>
    <row r="3447" spans="5:6" x14ac:dyDescent="0.35">
      <c r="E3447">
        <v>3444</v>
      </c>
      <c r="F3447">
        <f t="shared" ca="1" si="55"/>
        <v>2.22213128115996E-2</v>
      </c>
    </row>
    <row r="3448" spans="5:6" x14ac:dyDescent="0.35">
      <c r="E3448">
        <v>3445</v>
      </c>
      <c r="F3448">
        <f t="shared" ca="1" si="55"/>
        <v>6.2669478614937662E-3</v>
      </c>
    </row>
    <row r="3449" spans="5:6" x14ac:dyDescent="0.35">
      <c r="E3449">
        <v>3446</v>
      </c>
      <c r="F3449">
        <f t="shared" ca="1" si="55"/>
        <v>-2.3500213754212543E-3</v>
      </c>
    </row>
    <row r="3450" spans="5:6" x14ac:dyDescent="0.35">
      <c r="E3450">
        <v>3447</v>
      </c>
      <c r="F3450">
        <f t="shared" ca="1" si="55"/>
        <v>7.794580878303572E-3</v>
      </c>
    </row>
    <row r="3451" spans="5:6" x14ac:dyDescent="0.35">
      <c r="E3451">
        <v>3448</v>
      </c>
      <c r="F3451">
        <f t="shared" ca="1" si="55"/>
        <v>7.6739219099270016E-4</v>
      </c>
    </row>
    <row r="3452" spans="5:6" x14ac:dyDescent="0.35">
      <c r="E3452">
        <v>3449</v>
      </c>
      <c r="F3452">
        <f t="shared" ca="1" si="55"/>
        <v>8.9773491012074321E-3</v>
      </c>
    </row>
    <row r="3453" spans="5:6" x14ac:dyDescent="0.35">
      <c r="E3453">
        <v>3450</v>
      </c>
      <c r="F3453">
        <f t="shared" ca="1" si="55"/>
        <v>-1.0970265911633414E-3</v>
      </c>
    </row>
    <row r="3454" spans="5:6" x14ac:dyDescent="0.35">
      <c r="E3454">
        <v>3451</v>
      </c>
      <c r="F3454">
        <f t="shared" ca="1" si="55"/>
        <v>-1.7526008533608688E-2</v>
      </c>
    </row>
    <row r="3455" spans="5:6" x14ac:dyDescent="0.35">
      <c r="E3455">
        <v>3452</v>
      </c>
      <c r="F3455">
        <f t="shared" ca="1" si="55"/>
        <v>1.3703710910008176E-4</v>
      </c>
    </row>
    <row r="3456" spans="5:6" x14ac:dyDescent="0.35">
      <c r="E3456">
        <v>3453</v>
      </c>
      <c r="F3456">
        <f t="shared" ca="1" si="55"/>
        <v>1.5782780227276475E-2</v>
      </c>
    </row>
    <row r="3457" spans="5:6" x14ac:dyDescent="0.35">
      <c r="E3457">
        <v>3454</v>
      </c>
      <c r="F3457">
        <f t="shared" ca="1" si="55"/>
        <v>3.851447456580052E-3</v>
      </c>
    </row>
    <row r="3458" spans="5:6" x14ac:dyDescent="0.35">
      <c r="E3458">
        <v>3455</v>
      </c>
      <c r="F3458">
        <f t="shared" ca="1" si="55"/>
        <v>-9.3748453104652244E-4</v>
      </c>
    </row>
    <row r="3459" spans="5:6" x14ac:dyDescent="0.35">
      <c r="E3459">
        <v>3456</v>
      </c>
      <c r="F3459">
        <f t="shared" ca="1" si="55"/>
        <v>-1.6271117148152366E-3</v>
      </c>
    </row>
    <row r="3460" spans="5:6" x14ac:dyDescent="0.35">
      <c r="E3460">
        <v>3457</v>
      </c>
      <c r="F3460">
        <f t="shared" ca="1" si="55"/>
        <v>9.2542808301667116E-3</v>
      </c>
    </row>
    <row r="3461" spans="5:6" x14ac:dyDescent="0.35">
      <c r="E3461">
        <v>3458</v>
      </c>
      <c r="F3461">
        <f t="shared" ref="F3461:F3524" ca="1" si="56">_xlfn.NORM.INV(RAND(),M$6,M$7)</f>
        <v>-2.0801363843666668E-2</v>
      </c>
    </row>
    <row r="3462" spans="5:6" x14ac:dyDescent="0.35">
      <c r="E3462">
        <v>3459</v>
      </c>
      <c r="F3462">
        <f t="shared" ca="1" si="56"/>
        <v>2.995289865620155E-2</v>
      </c>
    </row>
    <row r="3463" spans="5:6" x14ac:dyDescent="0.35">
      <c r="E3463">
        <v>3460</v>
      </c>
      <c r="F3463">
        <f t="shared" ca="1" si="56"/>
        <v>1.4735837279954435E-2</v>
      </c>
    </row>
    <row r="3464" spans="5:6" x14ac:dyDescent="0.35">
      <c r="E3464">
        <v>3461</v>
      </c>
      <c r="F3464">
        <f t="shared" ca="1" si="56"/>
        <v>5.8985871115714806E-3</v>
      </c>
    </row>
    <row r="3465" spans="5:6" x14ac:dyDescent="0.35">
      <c r="E3465">
        <v>3462</v>
      </c>
      <c r="F3465">
        <f t="shared" ca="1" si="56"/>
        <v>5.5331569648339055E-3</v>
      </c>
    </row>
    <row r="3466" spans="5:6" x14ac:dyDescent="0.35">
      <c r="E3466">
        <v>3463</v>
      </c>
      <c r="F3466">
        <f t="shared" ca="1" si="56"/>
        <v>-8.8844483591409614E-3</v>
      </c>
    </row>
    <row r="3467" spans="5:6" x14ac:dyDescent="0.35">
      <c r="E3467">
        <v>3464</v>
      </c>
      <c r="F3467">
        <f t="shared" ca="1" si="56"/>
        <v>-1.21372689190392E-2</v>
      </c>
    </row>
    <row r="3468" spans="5:6" x14ac:dyDescent="0.35">
      <c r="E3468">
        <v>3465</v>
      </c>
      <c r="F3468">
        <f t="shared" ca="1" si="56"/>
        <v>1.1576570611121707E-2</v>
      </c>
    </row>
    <row r="3469" spans="5:6" x14ac:dyDescent="0.35">
      <c r="E3469">
        <v>3466</v>
      </c>
      <c r="F3469">
        <f t="shared" ca="1" si="56"/>
        <v>1.2365148233475304E-2</v>
      </c>
    </row>
    <row r="3470" spans="5:6" x14ac:dyDescent="0.35">
      <c r="E3470">
        <v>3467</v>
      </c>
      <c r="F3470">
        <f t="shared" ca="1" si="56"/>
        <v>8.3154485241111863E-3</v>
      </c>
    </row>
    <row r="3471" spans="5:6" x14ac:dyDescent="0.35">
      <c r="E3471">
        <v>3468</v>
      </c>
      <c r="F3471">
        <f t="shared" ca="1" si="56"/>
        <v>3.7972845983512554E-2</v>
      </c>
    </row>
    <row r="3472" spans="5:6" x14ac:dyDescent="0.35">
      <c r="E3472">
        <v>3469</v>
      </c>
      <c r="F3472">
        <f t="shared" ca="1" si="56"/>
        <v>-1.6429166280936968E-3</v>
      </c>
    </row>
    <row r="3473" spans="5:6" x14ac:dyDescent="0.35">
      <c r="E3473">
        <v>3470</v>
      </c>
      <c r="F3473">
        <f t="shared" ca="1" si="56"/>
        <v>-2.9045546135359611E-2</v>
      </c>
    </row>
    <row r="3474" spans="5:6" x14ac:dyDescent="0.35">
      <c r="E3474">
        <v>3471</v>
      </c>
      <c r="F3474">
        <f t="shared" ca="1" si="56"/>
        <v>2.1315797085356275E-2</v>
      </c>
    </row>
    <row r="3475" spans="5:6" x14ac:dyDescent="0.35">
      <c r="E3475">
        <v>3472</v>
      </c>
      <c r="F3475">
        <f t="shared" ca="1" si="56"/>
        <v>-1.6738585145388108E-2</v>
      </c>
    </row>
    <row r="3476" spans="5:6" x14ac:dyDescent="0.35">
      <c r="E3476">
        <v>3473</v>
      </c>
      <c r="F3476">
        <f t="shared" ca="1" si="56"/>
        <v>-1.5695038752608807E-2</v>
      </c>
    </row>
    <row r="3477" spans="5:6" x14ac:dyDescent="0.35">
      <c r="E3477">
        <v>3474</v>
      </c>
      <c r="F3477">
        <f t="shared" ca="1" si="56"/>
        <v>-1.3146805778454328E-2</v>
      </c>
    </row>
    <row r="3478" spans="5:6" x14ac:dyDescent="0.35">
      <c r="E3478">
        <v>3475</v>
      </c>
      <c r="F3478">
        <f t="shared" ca="1" si="56"/>
        <v>-1.1230571486839829E-2</v>
      </c>
    </row>
    <row r="3479" spans="5:6" x14ac:dyDescent="0.35">
      <c r="E3479">
        <v>3476</v>
      </c>
      <c r="F3479">
        <f t="shared" ca="1" si="56"/>
        <v>-7.3964670582054278E-3</v>
      </c>
    </row>
    <row r="3480" spans="5:6" x14ac:dyDescent="0.35">
      <c r="E3480">
        <v>3477</v>
      </c>
      <c r="F3480">
        <f t="shared" ca="1" si="56"/>
        <v>-6.5390074541488707E-3</v>
      </c>
    </row>
    <row r="3481" spans="5:6" x14ac:dyDescent="0.35">
      <c r="E3481">
        <v>3478</v>
      </c>
      <c r="F3481">
        <f t="shared" ca="1" si="56"/>
        <v>3.1071652041639317E-3</v>
      </c>
    </row>
    <row r="3482" spans="5:6" x14ac:dyDescent="0.35">
      <c r="E3482">
        <v>3479</v>
      </c>
      <c r="F3482">
        <f t="shared" ca="1" si="56"/>
        <v>9.2965828579861017E-3</v>
      </c>
    </row>
    <row r="3483" spans="5:6" x14ac:dyDescent="0.35">
      <c r="E3483">
        <v>3480</v>
      </c>
      <c r="F3483">
        <f t="shared" ca="1" si="56"/>
        <v>2.1096049870734921E-3</v>
      </c>
    </row>
    <row r="3484" spans="5:6" x14ac:dyDescent="0.35">
      <c r="E3484">
        <v>3481</v>
      </c>
      <c r="F3484">
        <f t="shared" ca="1" si="56"/>
        <v>-2.7367081259725588E-3</v>
      </c>
    </row>
    <row r="3485" spans="5:6" x14ac:dyDescent="0.35">
      <c r="E3485">
        <v>3482</v>
      </c>
      <c r="F3485">
        <f t="shared" ca="1" si="56"/>
        <v>-3.4490512838980273E-3</v>
      </c>
    </row>
    <row r="3486" spans="5:6" x14ac:dyDescent="0.35">
      <c r="E3486">
        <v>3483</v>
      </c>
      <c r="F3486">
        <f t="shared" ca="1" si="56"/>
        <v>-1.9079535506311179E-2</v>
      </c>
    </row>
    <row r="3487" spans="5:6" x14ac:dyDescent="0.35">
      <c r="E3487">
        <v>3484</v>
      </c>
      <c r="F3487">
        <f t="shared" ca="1" si="56"/>
        <v>8.6074792480292763E-4</v>
      </c>
    </row>
    <row r="3488" spans="5:6" x14ac:dyDescent="0.35">
      <c r="E3488">
        <v>3485</v>
      </c>
      <c r="F3488">
        <f t="shared" ca="1" si="56"/>
        <v>8.0061570197224371E-3</v>
      </c>
    </row>
    <row r="3489" spans="5:6" x14ac:dyDescent="0.35">
      <c r="E3489">
        <v>3486</v>
      </c>
      <c r="F3489">
        <f t="shared" ca="1" si="56"/>
        <v>-2.6441187759313495E-2</v>
      </c>
    </row>
    <row r="3490" spans="5:6" x14ac:dyDescent="0.35">
      <c r="E3490">
        <v>3487</v>
      </c>
      <c r="F3490">
        <f t="shared" ca="1" si="56"/>
        <v>-3.5384652370965977E-3</v>
      </c>
    </row>
    <row r="3491" spans="5:6" x14ac:dyDescent="0.35">
      <c r="E3491">
        <v>3488</v>
      </c>
      <c r="F3491">
        <f t="shared" ca="1" si="56"/>
        <v>-9.1043591863280929E-3</v>
      </c>
    </row>
    <row r="3492" spans="5:6" x14ac:dyDescent="0.35">
      <c r="E3492">
        <v>3489</v>
      </c>
      <c r="F3492">
        <f t="shared" ca="1" si="56"/>
        <v>-3.1600673408559263E-3</v>
      </c>
    </row>
    <row r="3493" spans="5:6" x14ac:dyDescent="0.35">
      <c r="E3493">
        <v>3490</v>
      </c>
      <c r="F3493">
        <f t="shared" ca="1" si="56"/>
        <v>8.3786455921226917E-4</v>
      </c>
    </row>
    <row r="3494" spans="5:6" x14ac:dyDescent="0.35">
      <c r="E3494">
        <v>3491</v>
      </c>
      <c r="F3494">
        <f t="shared" ca="1" si="56"/>
        <v>9.7154849550619999E-3</v>
      </c>
    </row>
    <row r="3495" spans="5:6" x14ac:dyDescent="0.35">
      <c r="E3495">
        <v>3492</v>
      </c>
      <c r="F3495">
        <f t="shared" ca="1" si="56"/>
        <v>-5.7251152889184649E-3</v>
      </c>
    </row>
    <row r="3496" spans="5:6" x14ac:dyDescent="0.35">
      <c r="E3496">
        <v>3493</v>
      </c>
      <c r="F3496">
        <f t="shared" ca="1" si="56"/>
        <v>-7.605665785585497E-3</v>
      </c>
    </row>
    <row r="3497" spans="5:6" x14ac:dyDescent="0.35">
      <c r="E3497">
        <v>3494</v>
      </c>
      <c r="F3497">
        <f t="shared" ca="1" si="56"/>
        <v>7.8995550985828215E-3</v>
      </c>
    </row>
    <row r="3498" spans="5:6" x14ac:dyDescent="0.35">
      <c r="E3498">
        <v>3495</v>
      </c>
      <c r="F3498">
        <f t="shared" ca="1" si="56"/>
        <v>2.0285740120057513E-2</v>
      </c>
    </row>
    <row r="3499" spans="5:6" x14ac:dyDescent="0.35">
      <c r="E3499">
        <v>3496</v>
      </c>
      <c r="F3499">
        <f t="shared" ca="1" si="56"/>
        <v>2.9088255319998479E-2</v>
      </c>
    </row>
    <row r="3500" spans="5:6" x14ac:dyDescent="0.35">
      <c r="E3500">
        <v>3497</v>
      </c>
      <c r="F3500">
        <f t="shared" ca="1" si="56"/>
        <v>-3.6933998844141801E-2</v>
      </c>
    </row>
    <row r="3501" spans="5:6" x14ac:dyDescent="0.35">
      <c r="E3501">
        <v>3498</v>
      </c>
      <c r="F3501">
        <f t="shared" ca="1" si="56"/>
        <v>-1.3212004753872977E-2</v>
      </c>
    </row>
    <row r="3502" spans="5:6" x14ac:dyDescent="0.35">
      <c r="E3502">
        <v>3499</v>
      </c>
      <c r="F3502">
        <f t="shared" ca="1" si="56"/>
        <v>-8.6063914613903458E-3</v>
      </c>
    </row>
    <row r="3503" spans="5:6" x14ac:dyDescent="0.35">
      <c r="E3503">
        <v>3500</v>
      </c>
      <c r="F3503">
        <f t="shared" ca="1" si="56"/>
        <v>1.6313042728819615E-3</v>
      </c>
    </row>
    <row r="3504" spans="5:6" x14ac:dyDescent="0.35">
      <c r="E3504">
        <v>3501</v>
      </c>
      <c r="F3504">
        <f t="shared" ca="1" si="56"/>
        <v>-1.649091690503772E-2</v>
      </c>
    </row>
    <row r="3505" spans="5:6" x14ac:dyDescent="0.35">
      <c r="E3505">
        <v>3502</v>
      </c>
      <c r="F3505">
        <f t="shared" ca="1" si="56"/>
        <v>1.1515231206843519E-2</v>
      </c>
    </row>
    <row r="3506" spans="5:6" x14ac:dyDescent="0.35">
      <c r="E3506">
        <v>3503</v>
      </c>
      <c r="F3506">
        <f t="shared" ca="1" si="56"/>
        <v>-3.660321031133576E-3</v>
      </c>
    </row>
    <row r="3507" spans="5:6" x14ac:dyDescent="0.35">
      <c r="E3507">
        <v>3504</v>
      </c>
      <c r="F3507">
        <f t="shared" ca="1" si="56"/>
        <v>3.8675097897836888E-3</v>
      </c>
    </row>
    <row r="3508" spans="5:6" x14ac:dyDescent="0.35">
      <c r="E3508">
        <v>3505</v>
      </c>
      <c r="F3508">
        <f t="shared" ca="1" si="56"/>
        <v>-1.4457344676007107E-2</v>
      </c>
    </row>
    <row r="3509" spans="5:6" x14ac:dyDescent="0.35">
      <c r="E3509">
        <v>3506</v>
      </c>
      <c r="F3509">
        <f t="shared" ca="1" si="56"/>
        <v>1.0506122007197957E-2</v>
      </c>
    </row>
    <row r="3510" spans="5:6" x14ac:dyDescent="0.35">
      <c r="E3510">
        <v>3507</v>
      </c>
      <c r="F3510">
        <f t="shared" ca="1" si="56"/>
        <v>-9.040207097187709E-3</v>
      </c>
    </row>
    <row r="3511" spans="5:6" x14ac:dyDescent="0.35">
      <c r="E3511">
        <v>3508</v>
      </c>
      <c r="F3511">
        <f t="shared" ca="1" si="56"/>
        <v>8.9600011015719284E-3</v>
      </c>
    </row>
    <row r="3512" spans="5:6" x14ac:dyDescent="0.35">
      <c r="E3512">
        <v>3509</v>
      </c>
      <c r="F3512">
        <f t="shared" ca="1" si="56"/>
        <v>1.0821203609114611E-2</v>
      </c>
    </row>
    <row r="3513" spans="5:6" x14ac:dyDescent="0.35">
      <c r="E3513">
        <v>3510</v>
      </c>
      <c r="F3513">
        <f t="shared" ca="1" si="56"/>
        <v>1.8763551298382086E-2</v>
      </c>
    </row>
    <row r="3514" spans="5:6" x14ac:dyDescent="0.35">
      <c r="E3514">
        <v>3511</v>
      </c>
      <c r="F3514">
        <f t="shared" ca="1" si="56"/>
        <v>1.6462109103772771E-2</v>
      </c>
    </row>
    <row r="3515" spans="5:6" x14ac:dyDescent="0.35">
      <c r="E3515">
        <v>3512</v>
      </c>
      <c r="F3515">
        <f t="shared" ca="1" si="56"/>
        <v>-1.8687671733383739E-3</v>
      </c>
    </row>
    <row r="3516" spans="5:6" x14ac:dyDescent="0.35">
      <c r="E3516">
        <v>3513</v>
      </c>
      <c r="F3516">
        <f t="shared" ca="1" si="56"/>
        <v>4.7339475087008189E-3</v>
      </c>
    </row>
    <row r="3517" spans="5:6" x14ac:dyDescent="0.35">
      <c r="E3517">
        <v>3514</v>
      </c>
      <c r="F3517">
        <f t="shared" ca="1" si="56"/>
        <v>1.4773886970461765E-2</v>
      </c>
    </row>
    <row r="3518" spans="5:6" x14ac:dyDescent="0.35">
      <c r="E3518">
        <v>3515</v>
      </c>
      <c r="F3518">
        <f t="shared" ca="1" si="56"/>
        <v>-1.0444003650207289E-2</v>
      </c>
    </row>
    <row r="3519" spans="5:6" x14ac:dyDescent="0.35">
      <c r="E3519">
        <v>3516</v>
      </c>
      <c r="F3519">
        <f t="shared" ca="1" si="56"/>
        <v>-9.2579236823277077E-3</v>
      </c>
    </row>
    <row r="3520" spans="5:6" x14ac:dyDescent="0.35">
      <c r="E3520">
        <v>3517</v>
      </c>
      <c r="F3520">
        <f t="shared" ca="1" si="56"/>
        <v>-7.3198208169644404E-4</v>
      </c>
    </row>
    <row r="3521" spans="5:6" x14ac:dyDescent="0.35">
      <c r="E3521">
        <v>3518</v>
      </c>
      <c r="F3521">
        <f t="shared" ca="1" si="56"/>
        <v>2.9322762209804815E-3</v>
      </c>
    </row>
    <row r="3522" spans="5:6" x14ac:dyDescent="0.35">
      <c r="E3522">
        <v>3519</v>
      </c>
      <c r="F3522">
        <f t="shared" ca="1" si="56"/>
        <v>1.9415435362934993E-2</v>
      </c>
    </row>
    <row r="3523" spans="5:6" x14ac:dyDescent="0.35">
      <c r="E3523">
        <v>3520</v>
      </c>
      <c r="F3523">
        <f t="shared" ca="1" si="56"/>
        <v>1.5063702361088586E-2</v>
      </c>
    </row>
    <row r="3524" spans="5:6" x14ac:dyDescent="0.35">
      <c r="E3524">
        <v>3521</v>
      </c>
      <c r="F3524">
        <f t="shared" ca="1" si="56"/>
        <v>-1.1506786679153098E-2</v>
      </c>
    </row>
    <row r="3525" spans="5:6" x14ac:dyDescent="0.35">
      <c r="E3525">
        <v>3522</v>
      </c>
      <c r="F3525">
        <f t="shared" ref="F3525:F3588" ca="1" si="57">_xlfn.NORM.INV(RAND(),M$6,M$7)</f>
        <v>-3.6674419190241723E-3</v>
      </c>
    </row>
    <row r="3526" spans="5:6" x14ac:dyDescent="0.35">
      <c r="E3526">
        <v>3523</v>
      </c>
      <c r="F3526">
        <f t="shared" ca="1" si="57"/>
        <v>-7.5553002679155899E-3</v>
      </c>
    </row>
    <row r="3527" spans="5:6" x14ac:dyDescent="0.35">
      <c r="E3527">
        <v>3524</v>
      </c>
      <c r="F3527">
        <f t="shared" ca="1" si="57"/>
        <v>7.305185846627836E-3</v>
      </c>
    </row>
    <row r="3528" spans="5:6" x14ac:dyDescent="0.35">
      <c r="E3528">
        <v>3525</v>
      </c>
      <c r="F3528">
        <f t="shared" ca="1" si="57"/>
        <v>1.1906157445371742E-2</v>
      </c>
    </row>
    <row r="3529" spans="5:6" x14ac:dyDescent="0.35">
      <c r="E3529">
        <v>3526</v>
      </c>
      <c r="F3529">
        <f t="shared" ca="1" si="57"/>
        <v>-1.408440868399947E-2</v>
      </c>
    </row>
    <row r="3530" spans="5:6" x14ac:dyDescent="0.35">
      <c r="E3530">
        <v>3527</v>
      </c>
      <c r="F3530">
        <f t="shared" ca="1" si="57"/>
        <v>7.9352857292245161E-3</v>
      </c>
    </row>
    <row r="3531" spans="5:6" x14ac:dyDescent="0.35">
      <c r="E3531">
        <v>3528</v>
      </c>
      <c r="F3531">
        <f t="shared" ca="1" si="57"/>
        <v>2.6267810816947703E-2</v>
      </c>
    </row>
    <row r="3532" spans="5:6" x14ac:dyDescent="0.35">
      <c r="E3532">
        <v>3529</v>
      </c>
      <c r="F3532">
        <f t="shared" ca="1" si="57"/>
        <v>-1.0872060415405513E-2</v>
      </c>
    </row>
    <row r="3533" spans="5:6" x14ac:dyDescent="0.35">
      <c r="E3533">
        <v>3530</v>
      </c>
      <c r="F3533">
        <f t="shared" ca="1" si="57"/>
        <v>8.9205657057716704E-3</v>
      </c>
    </row>
    <row r="3534" spans="5:6" x14ac:dyDescent="0.35">
      <c r="E3534">
        <v>3531</v>
      </c>
      <c r="F3534">
        <f t="shared" ca="1" si="57"/>
        <v>-3.4464931092630352E-5</v>
      </c>
    </row>
    <row r="3535" spans="5:6" x14ac:dyDescent="0.35">
      <c r="E3535">
        <v>3532</v>
      </c>
      <c r="F3535">
        <f t="shared" ca="1" si="57"/>
        <v>6.9804581805479595E-3</v>
      </c>
    </row>
    <row r="3536" spans="5:6" x14ac:dyDescent="0.35">
      <c r="E3536">
        <v>3533</v>
      </c>
      <c r="F3536">
        <f t="shared" ca="1" si="57"/>
        <v>1.7214389235536641E-3</v>
      </c>
    </row>
    <row r="3537" spans="5:6" x14ac:dyDescent="0.35">
      <c r="E3537">
        <v>3534</v>
      </c>
      <c r="F3537">
        <f t="shared" ca="1" si="57"/>
        <v>2.5874406544691763E-2</v>
      </c>
    </row>
    <row r="3538" spans="5:6" x14ac:dyDescent="0.35">
      <c r="E3538">
        <v>3535</v>
      </c>
      <c r="F3538">
        <f t="shared" ca="1" si="57"/>
        <v>-1.4617462565727121E-2</v>
      </c>
    </row>
    <row r="3539" spans="5:6" x14ac:dyDescent="0.35">
      <c r="E3539">
        <v>3536</v>
      </c>
      <c r="F3539">
        <f t="shared" ca="1" si="57"/>
        <v>1.9539987370362066E-2</v>
      </c>
    </row>
    <row r="3540" spans="5:6" x14ac:dyDescent="0.35">
      <c r="E3540">
        <v>3537</v>
      </c>
      <c r="F3540">
        <f t="shared" ca="1" si="57"/>
        <v>4.7385699947905306E-2</v>
      </c>
    </row>
    <row r="3541" spans="5:6" x14ac:dyDescent="0.35">
      <c r="E3541">
        <v>3538</v>
      </c>
      <c r="F3541">
        <f t="shared" ca="1" si="57"/>
        <v>-1.1659061215463021E-2</v>
      </c>
    </row>
    <row r="3542" spans="5:6" x14ac:dyDescent="0.35">
      <c r="E3542">
        <v>3539</v>
      </c>
      <c r="F3542">
        <f t="shared" ca="1" si="57"/>
        <v>-9.9509988875732727E-3</v>
      </c>
    </row>
    <row r="3543" spans="5:6" x14ac:dyDescent="0.35">
      <c r="E3543">
        <v>3540</v>
      </c>
      <c r="F3543">
        <f t="shared" ca="1" si="57"/>
        <v>1.4897670362621006E-2</v>
      </c>
    </row>
    <row r="3544" spans="5:6" x14ac:dyDescent="0.35">
      <c r="E3544">
        <v>3541</v>
      </c>
      <c r="F3544">
        <f t="shared" ca="1" si="57"/>
        <v>-1.9551730257850269E-2</v>
      </c>
    </row>
    <row r="3545" spans="5:6" x14ac:dyDescent="0.35">
      <c r="E3545">
        <v>3542</v>
      </c>
      <c r="F3545">
        <f t="shared" ca="1" si="57"/>
        <v>3.0462592884970479E-2</v>
      </c>
    </row>
    <row r="3546" spans="5:6" x14ac:dyDescent="0.35">
      <c r="E3546">
        <v>3543</v>
      </c>
      <c r="F3546">
        <f t="shared" ca="1" si="57"/>
        <v>1.0600495287725418E-2</v>
      </c>
    </row>
    <row r="3547" spans="5:6" x14ac:dyDescent="0.35">
      <c r="E3547">
        <v>3544</v>
      </c>
      <c r="F3547">
        <f t="shared" ca="1" si="57"/>
        <v>5.2712558929426934E-4</v>
      </c>
    </row>
    <row r="3548" spans="5:6" x14ac:dyDescent="0.35">
      <c r="E3548">
        <v>3545</v>
      </c>
      <c r="F3548">
        <f t="shared" ca="1" si="57"/>
        <v>-1.2663004223465424E-2</v>
      </c>
    </row>
    <row r="3549" spans="5:6" x14ac:dyDescent="0.35">
      <c r="E3549">
        <v>3546</v>
      </c>
      <c r="F3549">
        <f t="shared" ca="1" si="57"/>
        <v>8.6949687247414916E-3</v>
      </c>
    </row>
    <row r="3550" spans="5:6" x14ac:dyDescent="0.35">
      <c r="E3550">
        <v>3547</v>
      </c>
      <c r="F3550">
        <f t="shared" ca="1" si="57"/>
        <v>2.9963384819649701E-2</v>
      </c>
    </row>
    <row r="3551" spans="5:6" x14ac:dyDescent="0.35">
      <c r="E3551">
        <v>3548</v>
      </c>
      <c r="F3551">
        <f t="shared" ca="1" si="57"/>
        <v>1.4746313304351468E-3</v>
      </c>
    </row>
    <row r="3552" spans="5:6" x14ac:dyDescent="0.35">
      <c r="E3552">
        <v>3549</v>
      </c>
      <c r="F3552">
        <f t="shared" ca="1" si="57"/>
        <v>-1.6560423020170689E-2</v>
      </c>
    </row>
    <row r="3553" spans="5:6" x14ac:dyDescent="0.35">
      <c r="E3553">
        <v>3550</v>
      </c>
      <c r="F3553">
        <f t="shared" ca="1" si="57"/>
        <v>-1.3322524462916027E-2</v>
      </c>
    </row>
    <row r="3554" spans="5:6" x14ac:dyDescent="0.35">
      <c r="E3554">
        <v>3551</v>
      </c>
      <c r="F3554">
        <f t="shared" ca="1" si="57"/>
        <v>-1.9632062950352445E-2</v>
      </c>
    </row>
    <row r="3555" spans="5:6" x14ac:dyDescent="0.35">
      <c r="E3555">
        <v>3552</v>
      </c>
      <c r="F3555">
        <f t="shared" ca="1" si="57"/>
        <v>-2.7521498534094021E-2</v>
      </c>
    </row>
    <row r="3556" spans="5:6" x14ac:dyDescent="0.35">
      <c r="E3556">
        <v>3553</v>
      </c>
      <c r="F3556">
        <f t="shared" ca="1" si="57"/>
        <v>-6.1337582550918335E-4</v>
      </c>
    </row>
    <row r="3557" spans="5:6" x14ac:dyDescent="0.35">
      <c r="E3557">
        <v>3554</v>
      </c>
      <c r="F3557">
        <f t="shared" ca="1" si="57"/>
        <v>6.3922934028517106E-3</v>
      </c>
    </row>
    <row r="3558" spans="5:6" x14ac:dyDescent="0.35">
      <c r="E3558">
        <v>3555</v>
      </c>
      <c r="F3558">
        <f t="shared" ca="1" si="57"/>
        <v>1.3950575016753614E-2</v>
      </c>
    </row>
    <row r="3559" spans="5:6" x14ac:dyDescent="0.35">
      <c r="E3559">
        <v>3556</v>
      </c>
      <c r="F3559">
        <f t="shared" ca="1" si="57"/>
        <v>-1.8761687882284149E-3</v>
      </c>
    </row>
    <row r="3560" spans="5:6" x14ac:dyDescent="0.35">
      <c r="E3560">
        <v>3557</v>
      </c>
      <c r="F3560">
        <f t="shared" ca="1" si="57"/>
        <v>1.1264114749044332E-2</v>
      </c>
    </row>
    <row r="3561" spans="5:6" x14ac:dyDescent="0.35">
      <c r="E3561">
        <v>3558</v>
      </c>
      <c r="F3561">
        <f t="shared" ca="1" si="57"/>
        <v>1.5930286764979318E-2</v>
      </c>
    </row>
    <row r="3562" spans="5:6" x14ac:dyDescent="0.35">
      <c r="E3562">
        <v>3559</v>
      </c>
      <c r="F3562">
        <f t="shared" ca="1" si="57"/>
        <v>-1.6235335185571947E-2</v>
      </c>
    </row>
    <row r="3563" spans="5:6" x14ac:dyDescent="0.35">
      <c r="E3563">
        <v>3560</v>
      </c>
      <c r="F3563">
        <f t="shared" ca="1" si="57"/>
        <v>7.118391471710785E-3</v>
      </c>
    </row>
    <row r="3564" spans="5:6" x14ac:dyDescent="0.35">
      <c r="E3564">
        <v>3561</v>
      </c>
      <c r="F3564">
        <f t="shared" ca="1" si="57"/>
        <v>1.0944785516265685E-2</v>
      </c>
    </row>
    <row r="3565" spans="5:6" x14ac:dyDescent="0.35">
      <c r="E3565">
        <v>3562</v>
      </c>
      <c r="F3565">
        <f t="shared" ca="1" si="57"/>
        <v>1.0460954755181912E-2</v>
      </c>
    </row>
    <row r="3566" spans="5:6" x14ac:dyDescent="0.35">
      <c r="E3566">
        <v>3563</v>
      </c>
      <c r="F3566">
        <f t="shared" ca="1" si="57"/>
        <v>1.2559186285245718E-2</v>
      </c>
    </row>
    <row r="3567" spans="5:6" x14ac:dyDescent="0.35">
      <c r="E3567">
        <v>3564</v>
      </c>
      <c r="F3567">
        <f t="shared" ca="1" si="57"/>
        <v>1.8830045971516579E-2</v>
      </c>
    </row>
    <row r="3568" spans="5:6" x14ac:dyDescent="0.35">
      <c r="E3568">
        <v>3565</v>
      </c>
      <c r="F3568">
        <f t="shared" ca="1" si="57"/>
        <v>-3.4622136788068753E-3</v>
      </c>
    </row>
    <row r="3569" spans="5:6" x14ac:dyDescent="0.35">
      <c r="E3569">
        <v>3566</v>
      </c>
      <c r="F3569">
        <f t="shared" ca="1" si="57"/>
        <v>9.3406005571981046E-3</v>
      </c>
    </row>
    <row r="3570" spans="5:6" x14ac:dyDescent="0.35">
      <c r="E3570">
        <v>3567</v>
      </c>
      <c r="F3570">
        <f t="shared" ca="1" si="57"/>
        <v>1.9699062403840509E-2</v>
      </c>
    </row>
    <row r="3571" spans="5:6" x14ac:dyDescent="0.35">
      <c r="E3571">
        <v>3568</v>
      </c>
      <c r="F3571">
        <f t="shared" ca="1" si="57"/>
        <v>-1.5418528883245526E-2</v>
      </c>
    </row>
    <row r="3572" spans="5:6" x14ac:dyDescent="0.35">
      <c r="E3572">
        <v>3569</v>
      </c>
      <c r="F3572">
        <f t="shared" ca="1" si="57"/>
        <v>7.0403555693647106E-3</v>
      </c>
    </row>
    <row r="3573" spans="5:6" x14ac:dyDescent="0.35">
      <c r="E3573">
        <v>3570</v>
      </c>
      <c r="F3573">
        <f t="shared" ca="1" si="57"/>
        <v>-7.6425869265619277E-3</v>
      </c>
    </row>
    <row r="3574" spans="5:6" x14ac:dyDescent="0.35">
      <c r="E3574">
        <v>3571</v>
      </c>
      <c r="F3574">
        <f t="shared" ca="1" si="57"/>
        <v>-8.8370892376459335E-3</v>
      </c>
    </row>
    <row r="3575" spans="5:6" x14ac:dyDescent="0.35">
      <c r="E3575">
        <v>3572</v>
      </c>
      <c r="F3575">
        <f t="shared" ca="1" si="57"/>
        <v>8.7238901110228539E-3</v>
      </c>
    </row>
    <row r="3576" spans="5:6" x14ac:dyDescent="0.35">
      <c r="E3576">
        <v>3573</v>
      </c>
      <c r="F3576">
        <f t="shared" ca="1" si="57"/>
        <v>1.8237622625263482E-2</v>
      </c>
    </row>
    <row r="3577" spans="5:6" x14ac:dyDescent="0.35">
      <c r="E3577">
        <v>3574</v>
      </c>
      <c r="F3577">
        <f t="shared" ca="1" si="57"/>
        <v>3.2369576162879781E-3</v>
      </c>
    </row>
    <row r="3578" spans="5:6" x14ac:dyDescent="0.35">
      <c r="E3578">
        <v>3575</v>
      </c>
      <c r="F3578">
        <f t="shared" ca="1" si="57"/>
        <v>-1.4589240485625762E-2</v>
      </c>
    </row>
    <row r="3579" spans="5:6" x14ac:dyDescent="0.35">
      <c r="E3579">
        <v>3576</v>
      </c>
      <c r="F3579">
        <f t="shared" ca="1" si="57"/>
        <v>-1.1258016137641913E-2</v>
      </c>
    </row>
    <row r="3580" spans="5:6" x14ac:dyDescent="0.35">
      <c r="E3580">
        <v>3577</v>
      </c>
      <c r="F3580">
        <f t="shared" ca="1" si="57"/>
        <v>1.7397831725907947E-2</v>
      </c>
    </row>
    <row r="3581" spans="5:6" x14ac:dyDescent="0.35">
      <c r="E3581">
        <v>3578</v>
      </c>
      <c r="F3581">
        <f t="shared" ca="1" si="57"/>
        <v>3.364674334531091E-3</v>
      </c>
    </row>
    <row r="3582" spans="5:6" x14ac:dyDescent="0.35">
      <c r="E3582">
        <v>3579</v>
      </c>
      <c r="F3582">
        <f t="shared" ca="1" si="57"/>
        <v>2.0650654949410086E-2</v>
      </c>
    </row>
    <row r="3583" spans="5:6" x14ac:dyDescent="0.35">
      <c r="E3583">
        <v>3580</v>
      </c>
      <c r="F3583">
        <f t="shared" ca="1" si="57"/>
        <v>9.1788036664082681E-3</v>
      </c>
    </row>
    <row r="3584" spans="5:6" x14ac:dyDescent="0.35">
      <c r="E3584">
        <v>3581</v>
      </c>
      <c r="F3584">
        <f t="shared" ca="1" si="57"/>
        <v>-1.6480207294574539E-2</v>
      </c>
    </row>
    <row r="3585" spans="5:6" x14ac:dyDescent="0.35">
      <c r="E3585">
        <v>3582</v>
      </c>
      <c r="F3585">
        <f t="shared" ca="1" si="57"/>
        <v>2.1604418622974297E-2</v>
      </c>
    </row>
    <row r="3586" spans="5:6" x14ac:dyDescent="0.35">
      <c r="E3586">
        <v>3583</v>
      </c>
      <c r="F3586">
        <f t="shared" ca="1" si="57"/>
        <v>-8.374339655441914E-3</v>
      </c>
    </row>
    <row r="3587" spans="5:6" x14ac:dyDescent="0.35">
      <c r="E3587">
        <v>3584</v>
      </c>
      <c r="F3587">
        <f t="shared" ca="1" si="57"/>
        <v>-6.4583688003672047E-3</v>
      </c>
    </row>
    <row r="3588" spans="5:6" x14ac:dyDescent="0.35">
      <c r="E3588">
        <v>3585</v>
      </c>
      <c r="F3588">
        <f t="shared" ca="1" si="57"/>
        <v>9.6093067494993512E-3</v>
      </c>
    </row>
    <row r="3589" spans="5:6" x14ac:dyDescent="0.35">
      <c r="E3589">
        <v>3586</v>
      </c>
      <c r="F3589">
        <f t="shared" ref="F3589:F3652" ca="1" si="58">_xlfn.NORM.INV(RAND(),M$6,M$7)</f>
        <v>-4.4178352166811777E-2</v>
      </c>
    </row>
    <row r="3590" spans="5:6" x14ac:dyDescent="0.35">
      <c r="E3590">
        <v>3587</v>
      </c>
      <c r="F3590">
        <f t="shared" ca="1" si="58"/>
        <v>-2.9148476753807804E-2</v>
      </c>
    </row>
    <row r="3591" spans="5:6" x14ac:dyDescent="0.35">
      <c r="E3591">
        <v>3588</v>
      </c>
      <c r="F3591">
        <f t="shared" ca="1" si="58"/>
        <v>2.4529566411099692E-2</v>
      </c>
    </row>
    <row r="3592" spans="5:6" x14ac:dyDescent="0.35">
      <c r="E3592">
        <v>3589</v>
      </c>
      <c r="F3592">
        <f t="shared" ca="1" si="58"/>
        <v>-7.0556718734271261E-3</v>
      </c>
    </row>
    <row r="3593" spans="5:6" x14ac:dyDescent="0.35">
      <c r="E3593">
        <v>3590</v>
      </c>
      <c r="F3593">
        <f t="shared" ca="1" si="58"/>
        <v>1.5587015390712437E-2</v>
      </c>
    </row>
    <row r="3594" spans="5:6" x14ac:dyDescent="0.35">
      <c r="E3594">
        <v>3591</v>
      </c>
      <c r="F3594">
        <f t="shared" ca="1" si="58"/>
        <v>2.5033455298111695E-2</v>
      </c>
    </row>
    <row r="3595" spans="5:6" x14ac:dyDescent="0.35">
      <c r="E3595">
        <v>3592</v>
      </c>
      <c r="F3595">
        <f t="shared" ca="1" si="58"/>
        <v>-4.0527475569203039E-3</v>
      </c>
    </row>
    <row r="3596" spans="5:6" x14ac:dyDescent="0.35">
      <c r="E3596">
        <v>3593</v>
      </c>
      <c r="F3596">
        <f t="shared" ca="1" si="58"/>
        <v>-3.3464554672844974E-4</v>
      </c>
    </row>
    <row r="3597" spans="5:6" x14ac:dyDescent="0.35">
      <c r="E3597">
        <v>3594</v>
      </c>
      <c r="F3597">
        <f t="shared" ca="1" si="58"/>
        <v>2.1770734044401375E-3</v>
      </c>
    </row>
    <row r="3598" spans="5:6" x14ac:dyDescent="0.35">
      <c r="E3598">
        <v>3595</v>
      </c>
      <c r="F3598">
        <f t="shared" ca="1" si="58"/>
        <v>-9.1231093409108507E-3</v>
      </c>
    </row>
    <row r="3599" spans="5:6" x14ac:dyDescent="0.35">
      <c r="E3599">
        <v>3596</v>
      </c>
      <c r="F3599">
        <f t="shared" ca="1" si="58"/>
        <v>-3.4608907828026034E-3</v>
      </c>
    </row>
    <row r="3600" spans="5:6" x14ac:dyDescent="0.35">
      <c r="E3600">
        <v>3597</v>
      </c>
      <c r="F3600">
        <f t="shared" ca="1" si="58"/>
        <v>4.8295500940696645E-3</v>
      </c>
    </row>
    <row r="3601" spans="5:6" x14ac:dyDescent="0.35">
      <c r="E3601">
        <v>3598</v>
      </c>
      <c r="F3601">
        <f t="shared" ca="1" si="58"/>
        <v>-4.1001165972786531E-2</v>
      </c>
    </row>
    <row r="3602" spans="5:6" x14ac:dyDescent="0.35">
      <c r="E3602">
        <v>3599</v>
      </c>
      <c r="F3602">
        <f t="shared" ca="1" si="58"/>
        <v>-7.0802162256338183E-3</v>
      </c>
    </row>
    <row r="3603" spans="5:6" x14ac:dyDescent="0.35">
      <c r="E3603">
        <v>3600</v>
      </c>
      <c r="F3603">
        <f t="shared" ca="1" si="58"/>
        <v>-2.4411330605535426E-2</v>
      </c>
    </row>
    <row r="3604" spans="5:6" x14ac:dyDescent="0.35">
      <c r="E3604">
        <v>3601</v>
      </c>
      <c r="F3604">
        <f t="shared" ca="1" si="58"/>
        <v>-3.2166189440101362E-3</v>
      </c>
    </row>
    <row r="3605" spans="5:6" x14ac:dyDescent="0.35">
      <c r="E3605">
        <v>3602</v>
      </c>
      <c r="F3605">
        <f t="shared" ca="1" si="58"/>
        <v>1.0025878389475357E-2</v>
      </c>
    </row>
    <row r="3606" spans="5:6" x14ac:dyDescent="0.35">
      <c r="E3606">
        <v>3603</v>
      </c>
      <c r="F3606">
        <f t="shared" ca="1" si="58"/>
        <v>2.8513129484078648E-3</v>
      </c>
    </row>
    <row r="3607" spans="5:6" x14ac:dyDescent="0.35">
      <c r="E3607">
        <v>3604</v>
      </c>
      <c r="F3607">
        <f t="shared" ca="1" si="58"/>
        <v>1.5512752236479152E-2</v>
      </c>
    </row>
    <row r="3608" spans="5:6" x14ac:dyDescent="0.35">
      <c r="E3608">
        <v>3605</v>
      </c>
      <c r="F3608">
        <f t="shared" ca="1" si="58"/>
        <v>1.0624213968074147E-2</v>
      </c>
    </row>
    <row r="3609" spans="5:6" x14ac:dyDescent="0.35">
      <c r="E3609">
        <v>3606</v>
      </c>
      <c r="F3609">
        <f t="shared" ca="1" si="58"/>
        <v>2.2377319066208073E-2</v>
      </c>
    </row>
    <row r="3610" spans="5:6" x14ac:dyDescent="0.35">
      <c r="E3610">
        <v>3607</v>
      </c>
      <c r="F3610">
        <f t="shared" ca="1" si="58"/>
        <v>9.9240311164585961E-3</v>
      </c>
    </row>
    <row r="3611" spans="5:6" x14ac:dyDescent="0.35">
      <c r="E3611">
        <v>3608</v>
      </c>
      <c r="F3611">
        <f t="shared" ca="1" si="58"/>
        <v>-2.5911973706165034E-2</v>
      </c>
    </row>
    <row r="3612" spans="5:6" x14ac:dyDescent="0.35">
      <c r="E3612">
        <v>3609</v>
      </c>
      <c r="F3612">
        <f t="shared" ca="1" si="58"/>
        <v>2.2050872424761755E-3</v>
      </c>
    </row>
    <row r="3613" spans="5:6" x14ac:dyDescent="0.35">
      <c r="E3613">
        <v>3610</v>
      </c>
      <c r="F3613">
        <f t="shared" ca="1" si="58"/>
        <v>2.6661510174056336E-3</v>
      </c>
    </row>
    <row r="3614" spans="5:6" x14ac:dyDescent="0.35">
      <c r="E3614">
        <v>3611</v>
      </c>
      <c r="F3614">
        <f t="shared" ca="1" si="58"/>
        <v>-1.9623572250244699E-2</v>
      </c>
    </row>
    <row r="3615" spans="5:6" x14ac:dyDescent="0.35">
      <c r="E3615">
        <v>3612</v>
      </c>
      <c r="F3615">
        <f t="shared" ca="1" si="58"/>
        <v>-2.2644678215367368E-2</v>
      </c>
    </row>
    <row r="3616" spans="5:6" x14ac:dyDescent="0.35">
      <c r="E3616">
        <v>3613</v>
      </c>
      <c r="F3616">
        <f t="shared" ca="1" si="58"/>
        <v>2.0608824857814293E-2</v>
      </c>
    </row>
    <row r="3617" spans="5:6" x14ac:dyDescent="0.35">
      <c r="E3617">
        <v>3614</v>
      </c>
      <c r="F3617">
        <f t="shared" ca="1" si="58"/>
        <v>7.7570012331487212E-3</v>
      </c>
    </row>
    <row r="3618" spans="5:6" x14ac:dyDescent="0.35">
      <c r="E3618">
        <v>3615</v>
      </c>
      <c r="F3618">
        <f t="shared" ca="1" si="58"/>
        <v>-1.1478107768846356E-2</v>
      </c>
    </row>
    <row r="3619" spans="5:6" x14ac:dyDescent="0.35">
      <c r="E3619">
        <v>3616</v>
      </c>
      <c r="F3619">
        <f t="shared" ca="1" si="58"/>
        <v>1.3013298931074117E-2</v>
      </c>
    </row>
    <row r="3620" spans="5:6" x14ac:dyDescent="0.35">
      <c r="E3620">
        <v>3617</v>
      </c>
      <c r="F3620">
        <f t="shared" ca="1" si="58"/>
        <v>-3.5264335666245904E-3</v>
      </c>
    </row>
    <row r="3621" spans="5:6" x14ac:dyDescent="0.35">
      <c r="E3621">
        <v>3618</v>
      </c>
      <c r="F3621">
        <f t="shared" ca="1" si="58"/>
        <v>-3.1357884597635902E-2</v>
      </c>
    </row>
    <row r="3622" spans="5:6" x14ac:dyDescent="0.35">
      <c r="E3622">
        <v>3619</v>
      </c>
      <c r="F3622">
        <f t="shared" ca="1" si="58"/>
        <v>7.1850567661402211E-4</v>
      </c>
    </row>
    <row r="3623" spans="5:6" x14ac:dyDescent="0.35">
      <c r="E3623">
        <v>3620</v>
      </c>
      <c r="F3623">
        <f t="shared" ca="1" si="58"/>
        <v>-3.2018055412337786E-2</v>
      </c>
    </row>
    <row r="3624" spans="5:6" x14ac:dyDescent="0.35">
      <c r="E3624">
        <v>3621</v>
      </c>
      <c r="F3624">
        <f t="shared" ca="1" si="58"/>
        <v>1.6017762561929914E-2</v>
      </c>
    </row>
    <row r="3625" spans="5:6" x14ac:dyDescent="0.35">
      <c r="E3625">
        <v>3622</v>
      </c>
      <c r="F3625">
        <f t="shared" ca="1" si="58"/>
        <v>-1.0175231343177094E-2</v>
      </c>
    </row>
    <row r="3626" spans="5:6" x14ac:dyDescent="0.35">
      <c r="E3626">
        <v>3623</v>
      </c>
      <c r="F3626">
        <f t="shared" ca="1" si="58"/>
        <v>-7.8542132794202722E-3</v>
      </c>
    </row>
    <row r="3627" spans="5:6" x14ac:dyDescent="0.35">
      <c r="E3627">
        <v>3624</v>
      </c>
      <c r="F3627">
        <f t="shared" ca="1" si="58"/>
        <v>-1.0327846493303707E-2</v>
      </c>
    </row>
    <row r="3628" spans="5:6" x14ac:dyDescent="0.35">
      <c r="E3628">
        <v>3625</v>
      </c>
      <c r="F3628">
        <f t="shared" ca="1" si="58"/>
        <v>-6.4977693925155023E-3</v>
      </c>
    </row>
    <row r="3629" spans="5:6" x14ac:dyDescent="0.35">
      <c r="E3629">
        <v>3626</v>
      </c>
      <c r="F3629">
        <f t="shared" ca="1" si="58"/>
        <v>-3.0120791377850686E-2</v>
      </c>
    </row>
    <row r="3630" spans="5:6" x14ac:dyDescent="0.35">
      <c r="E3630">
        <v>3627</v>
      </c>
      <c r="F3630">
        <f t="shared" ca="1" si="58"/>
        <v>-3.162389382463267E-3</v>
      </c>
    </row>
    <row r="3631" spans="5:6" x14ac:dyDescent="0.35">
      <c r="E3631">
        <v>3628</v>
      </c>
      <c r="F3631">
        <f t="shared" ca="1" si="58"/>
        <v>9.6767140429907077E-3</v>
      </c>
    </row>
    <row r="3632" spans="5:6" x14ac:dyDescent="0.35">
      <c r="E3632">
        <v>3629</v>
      </c>
      <c r="F3632">
        <f t="shared" ca="1" si="58"/>
        <v>-5.4220568156778982E-3</v>
      </c>
    </row>
    <row r="3633" spans="5:6" x14ac:dyDescent="0.35">
      <c r="E3633">
        <v>3630</v>
      </c>
      <c r="F3633">
        <f t="shared" ca="1" si="58"/>
        <v>9.9629142901350911E-3</v>
      </c>
    </row>
    <row r="3634" spans="5:6" x14ac:dyDescent="0.35">
      <c r="E3634">
        <v>3631</v>
      </c>
      <c r="F3634">
        <f t="shared" ca="1" si="58"/>
        <v>2.6401483576256064E-2</v>
      </c>
    </row>
    <row r="3635" spans="5:6" x14ac:dyDescent="0.35">
      <c r="E3635">
        <v>3632</v>
      </c>
      <c r="F3635">
        <f t="shared" ca="1" si="58"/>
        <v>3.0945943313284565E-2</v>
      </c>
    </row>
    <row r="3636" spans="5:6" x14ac:dyDescent="0.35">
      <c r="E3636">
        <v>3633</v>
      </c>
      <c r="F3636">
        <f t="shared" ca="1" si="58"/>
        <v>-4.2187346031677822E-3</v>
      </c>
    </row>
    <row r="3637" spans="5:6" x14ac:dyDescent="0.35">
      <c r="E3637">
        <v>3634</v>
      </c>
      <c r="F3637">
        <f t="shared" ca="1" si="58"/>
        <v>1.0076231450247115E-2</v>
      </c>
    </row>
    <row r="3638" spans="5:6" x14ac:dyDescent="0.35">
      <c r="E3638">
        <v>3635</v>
      </c>
      <c r="F3638">
        <f t="shared" ca="1" si="58"/>
        <v>1.5429208794369969E-2</v>
      </c>
    </row>
    <row r="3639" spans="5:6" x14ac:dyDescent="0.35">
      <c r="E3639">
        <v>3636</v>
      </c>
      <c r="F3639">
        <f t="shared" ca="1" si="58"/>
        <v>8.7223234517861195E-4</v>
      </c>
    </row>
    <row r="3640" spans="5:6" x14ac:dyDescent="0.35">
      <c r="E3640">
        <v>3637</v>
      </c>
      <c r="F3640">
        <f t="shared" ca="1" si="58"/>
        <v>1.8771272291608503E-2</v>
      </c>
    </row>
    <row r="3641" spans="5:6" x14ac:dyDescent="0.35">
      <c r="E3641">
        <v>3638</v>
      </c>
      <c r="F3641">
        <f t="shared" ca="1" si="58"/>
        <v>-9.6086512187072998E-3</v>
      </c>
    </row>
    <row r="3642" spans="5:6" x14ac:dyDescent="0.35">
      <c r="E3642">
        <v>3639</v>
      </c>
      <c r="F3642">
        <f t="shared" ca="1" si="58"/>
        <v>1.1013657184813414E-2</v>
      </c>
    </row>
    <row r="3643" spans="5:6" x14ac:dyDescent="0.35">
      <c r="E3643">
        <v>3640</v>
      </c>
      <c r="F3643">
        <f t="shared" ca="1" si="58"/>
        <v>-6.1908248225899468E-3</v>
      </c>
    </row>
    <row r="3644" spans="5:6" x14ac:dyDescent="0.35">
      <c r="E3644">
        <v>3641</v>
      </c>
      <c r="F3644">
        <f t="shared" ca="1" si="58"/>
        <v>-9.1214099918355742E-3</v>
      </c>
    </row>
    <row r="3645" spans="5:6" x14ac:dyDescent="0.35">
      <c r="E3645">
        <v>3642</v>
      </c>
      <c r="F3645">
        <f t="shared" ca="1" si="58"/>
        <v>-1.2165162093393227E-2</v>
      </c>
    </row>
    <row r="3646" spans="5:6" x14ac:dyDescent="0.35">
      <c r="E3646">
        <v>3643</v>
      </c>
      <c r="F3646">
        <f t="shared" ca="1" si="58"/>
        <v>8.6340225153169105E-3</v>
      </c>
    </row>
    <row r="3647" spans="5:6" x14ac:dyDescent="0.35">
      <c r="E3647">
        <v>3644</v>
      </c>
      <c r="F3647">
        <f t="shared" ca="1" si="58"/>
        <v>-4.6957356723262428E-3</v>
      </c>
    </row>
    <row r="3648" spans="5:6" x14ac:dyDescent="0.35">
      <c r="E3648">
        <v>3645</v>
      </c>
      <c r="F3648">
        <f t="shared" ca="1" si="58"/>
        <v>2.0525925810935652E-2</v>
      </c>
    </row>
    <row r="3649" spans="5:6" x14ac:dyDescent="0.35">
      <c r="E3649">
        <v>3646</v>
      </c>
      <c r="F3649">
        <f t="shared" ca="1" si="58"/>
        <v>1.1723763763406944E-3</v>
      </c>
    </row>
    <row r="3650" spans="5:6" x14ac:dyDescent="0.35">
      <c r="E3650">
        <v>3647</v>
      </c>
      <c r="F3650">
        <f t="shared" ca="1" si="58"/>
        <v>6.5637315939777918E-4</v>
      </c>
    </row>
    <row r="3651" spans="5:6" x14ac:dyDescent="0.35">
      <c r="E3651">
        <v>3648</v>
      </c>
      <c r="F3651">
        <f t="shared" ca="1" si="58"/>
        <v>1.1796727817623269E-2</v>
      </c>
    </row>
    <row r="3652" spans="5:6" x14ac:dyDescent="0.35">
      <c r="E3652">
        <v>3649</v>
      </c>
      <c r="F3652">
        <f t="shared" ca="1" si="58"/>
        <v>9.2127712564545987E-3</v>
      </c>
    </row>
    <row r="3653" spans="5:6" x14ac:dyDescent="0.35">
      <c r="E3653">
        <v>3650</v>
      </c>
      <c r="F3653">
        <f t="shared" ref="F3653:F3716" ca="1" si="59">_xlfn.NORM.INV(RAND(),M$6,M$7)</f>
        <v>-2.4649342239125398E-2</v>
      </c>
    </row>
    <row r="3654" spans="5:6" x14ac:dyDescent="0.35">
      <c r="E3654">
        <v>3651</v>
      </c>
      <c r="F3654">
        <f t="shared" ca="1" si="59"/>
        <v>9.9609762217089913E-3</v>
      </c>
    </row>
    <row r="3655" spans="5:6" x14ac:dyDescent="0.35">
      <c r="E3655">
        <v>3652</v>
      </c>
      <c r="F3655">
        <f t="shared" ca="1" si="59"/>
        <v>-1.230142264334592E-3</v>
      </c>
    </row>
    <row r="3656" spans="5:6" x14ac:dyDescent="0.35">
      <c r="E3656">
        <v>3653</v>
      </c>
      <c r="F3656">
        <f t="shared" ca="1" si="59"/>
        <v>4.148870910850695E-3</v>
      </c>
    </row>
    <row r="3657" spans="5:6" x14ac:dyDescent="0.35">
      <c r="E3657">
        <v>3654</v>
      </c>
      <c r="F3657">
        <f t="shared" ca="1" si="59"/>
        <v>1.2953501203536732E-2</v>
      </c>
    </row>
    <row r="3658" spans="5:6" x14ac:dyDescent="0.35">
      <c r="E3658">
        <v>3655</v>
      </c>
      <c r="F3658">
        <f t="shared" ca="1" si="59"/>
        <v>-8.1750104960222336E-3</v>
      </c>
    </row>
    <row r="3659" spans="5:6" x14ac:dyDescent="0.35">
      <c r="E3659">
        <v>3656</v>
      </c>
      <c r="F3659">
        <f t="shared" ca="1" si="59"/>
        <v>-7.0287573819007645E-3</v>
      </c>
    </row>
    <row r="3660" spans="5:6" x14ac:dyDescent="0.35">
      <c r="E3660">
        <v>3657</v>
      </c>
      <c r="F3660">
        <f t="shared" ca="1" si="59"/>
        <v>-1.2422316897335238E-2</v>
      </c>
    </row>
    <row r="3661" spans="5:6" x14ac:dyDescent="0.35">
      <c r="E3661">
        <v>3658</v>
      </c>
      <c r="F3661">
        <f t="shared" ca="1" si="59"/>
        <v>3.7879116030785316E-2</v>
      </c>
    </row>
    <row r="3662" spans="5:6" x14ac:dyDescent="0.35">
      <c r="E3662">
        <v>3659</v>
      </c>
      <c r="F3662">
        <f t="shared" ca="1" si="59"/>
        <v>-7.7010942233885545E-3</v>
      </c>
    </row>
    <row r="3663" spans="5:6" x14ac:dyDescent="0.35">
      <c r="E3663">
        <v>3660</v>
      </c>
      <c r="F3663">
        <f t="shared" ca="1" si="59"/>
        <v>-1.4070902440582457E-2</v>
      </c>
    </row>
    <row r="3664" spans="5:6" x14ac:dyDescent="0.35">
      <c r="E3664">
        <v>3661</v>
      </c>
      <c r="F3664">
        <f t="shared" ca="1" si="59"/>
        <v>-1.6756266847136495E-2</v>
      </c>
    </row>
    <row r="3665" spans="5:6" x14ac:dyDescent="0.35">
      <c r="E3665">
        <v>3662</v>
      </c>
      <c r="F3665">
        <f t="shared" ca="1" si="59"/>
        <v>3.3471623941425492E-3</v>
      </c>
    </row>
    <row r="3666" spans="5:6" x14ac:dyDescent="0.35">
      <c r="E3666">
        <v>3663</v>
      </c>
      <c r="F3666">
        <f t="shared" ca="1" si="59"/>
        <v>-1.4871968857495599E-3</v>
      </c>
    </row>
    <row r="3667" spans="5:6" x14ac:dyDescent="0.35">
      <c r="E3667">
        <v>3664</v>
      </c>
      <c r="F3667">
        <f t="shared" ca="1" si="59"/>
        <v>2.3386313050481489E-2</v>
      </c>
    </row>
    <row r="3668" spans="5:6" x14ac:dyDescent="0.35">
      <c r="E3668">
        <v>3665</v>
      </c>
      <c r="F3668">
        <f t="shared" ca="1" si="59"/>
        <v>-1.9140470606089467E-2</v>
      </c>
    </row>
    <row r="3669" spans="5:6" x14ac:dyDescent="0.35">
      <c r="E3669">
        <v>3666</v>
      </c>
      <c r="F3669">
        <f t="shared" ca="1" si="59"/>
        <v>-7.7399332542084451E-3</v>
      </c>
    </row>
    <row r="3670" spans="5:6" x14ac:dyDescent="0.35">
      <c r="E3670">
        <v>3667</v>
      </c>
      <c r="F3670">
        <f t="shared" ca="1" si="59"/>
        <v>1.9653108156146317E-2</v>
      </c>
    </row>
    <row r="3671" spans="5:6" x14ac:dyDescent="0.35">
      <c r="E3671">
        <v>3668</v>
      </c>
      <c r="F3671">
        <f t="shared" ca="1" si="59"/>
        <v>1.1889064150717761E-2</v>
      </c>
    </row>
    <row r="3672" spans="5:6" x14ac:dyDescent="0.35">
      <c r="E3672">
        <v>3669</v>
      </c>
      <c r="F3672">
        <f t="shared" ca="1" si="59"/>
        <v>2.6103384170671332E-3</v>
      </c>
    </row>
    <row r="3673" spans="5:6" x14ac:dyDescent="0.35">
      <c r="E3673">
        <v>3670</v>
      </c>
      <c r="F3673">
        <f t="shared" ca="1" si="59"/>
        <v>-1.2634981849366605E-2</v>
      </c>
    </row>
    <row r="3674" spans="5:6" x14ac:dyDescent="0.35">
      <c r="E3674">
        <v>3671</v>
      </c>
      <c r="F3674">
        <f t="shared" ca="1" si="59"/>
        <v>-3.2476411536778584E-2</v>
      </c>
    </row>
    <row r="3675" spans="5:6" x14ac:dyDescent="0.35">
      <c r="E3675">
        <v>3672</v>
      </c>
      <c r="F3675">
        <f t="shared" ca="1" si="59"/>
        <v>1.9009325808943649E-3</v>
      </c>
    </row>
    <row r="3676" spans="5:6" x14ac:dyDescent="0.35">
      <c r="E3676">
        <v>3673</v>
      </c>
      <c r="F3676">
        <f t="shared" ca="1" si="59"/>
        <v>3.5632723873337852E-2</v>
      </c>
    </row>
    <row r="3677" spans="5:6" x14ac:dyDescent="0.35">
      <c r="E3677">
        <v>3674</v>
      </c>
      <c r="F3677">
        <f t="shared" ca="1" si="59"/>
        <v>8.1153442950945495E-3</v>
      </c>
    </row>
    <row r="3678" spans="5:6" x14ac:dyDescent="0.35">
      <c r="E3678">
        <v>3675</v>
      </c>
      <c r="F3678">
        <f t="shared" ca="1" si="59"/>
        <v>2.2875743253180779E-2</v>
      </c>
    </row>
    <row r="3679" spans="5:6" x14ac:dyDescent="0.35">
      <c r="E3679">
        <v>3676</v>
      </c>
      <c r="F3679">
        <f t="shared" ca="1" si="59"/>
        <v>4.0542543403302659E-3</v>
      </c>
    </row>
    <row r="3680" spans="5:6" x14ac:dyDescent="0.35">
      <c r="E3680">
        <v>3677</v>
      </c>
      <c r="F3680">
        <f t="shared" ca="1" si="59"/>
        <v>2.7220128778060491E-2</v>
      </c>
    </row>
    <row r="3681" spans="5:6" x14ac:dyDescent="0.35">
      <c r="E3681">
        <v>3678</v>
      </c>
      <c r="F3681">
        <f t="shared" ca="1" si="59"/>
        <v>4.0832569890153041E-3</v>
      </c>
    </row>
    <row r="3682" spans="5:6" x14ac:dyDescent="0.35">
      <c r="E3682">
        <v>3679</v>
      </c>
      <c r="F3682">
        <f t="shared" ca="1" si="59"/>
        <v>-8.0294871246777023E-3</v>
      </c>
    </row>
    <row r="3683" spans="5:6" x14ac:dyDescent="0.35">
      <c r="E3683">
        <v>3680</v>
      </c>
      <c r="F3683">
        <f t="shared" ca="1" si="59"/>
        <v>2.1665395564951881E-2</v>
      </c>
    </row>
    <row r="3684" spans="5:6" x14ac:dyDescent="0.35">
      <c r="E3684">
        <v>3681</v>
      </c>
      <c r="F3684">
        <f t="shared" ca="1" si="59"/>
        <v>3.8442305835230694E-3</v>
      </c>
    </row>
    <row r="3685" spans="5:6" x14ac:dyDescent="0.35">
      <c r="E3685">
        <v>3682</v>
      </c>
      <c r="F3685">
        <f t="shared" ca="1" si="59"/>
        <v>3.9580370328419689E-3</v>
      </c>
    </row>
    <row r="3686" spans="5:6" x14ac:dyDescent="0.35">
      <c r="E3686">
        <v>3683</v>
      </c>
      <c r="F3686">
        <f t="shared" ca="1" si="59"/>
        <v>-1.0329278310685353E-2</v>
      </c>
    </row>
    <row r="3687" spans="5:6" x14ac:dyDescent="0.35">
      <c r="E3687">
        <v>3684</v>
      </c>
      <c r="F3687">
        <f t="shared" ca="1" si="59"/>
        <v>6.7587582034821557E-3</v>
      </c>
    </row>
    <row r="3688" spans="5:6" x14ac:dyDescent="0.35">
      <c r="E3688">
        <v>3685</v>
      </c>
      <c r="F3688">
        <f t="shared" ca="1" si="59"/>
        <v>6.6007652163679849E-3</v>
      </c>
    </row>
    <row r="3689" spans="5:6" x14ac:dyDescent="0.35">
      <c r="E3689">
        <v>3686</v>
      </c>
      <c r="F3689">
        <f t="shared" ca="1" si="59"/>
        <v>-6.7406339991303403E-3</v>
      </c>
    </row>
    <row r="3690" spans="5:6" x14ac:dyDescent="0.35">
      <c r="E3690">
        <v>3687</v>
      </c>
      <c r="F3690">
        <f t="shared" ca="1" si="59"/>
        <v>-1.5862803166642112E-2</v>
      </c>
    </row>
    <row r="3691" spans="5:6" x14ac:dyDescent="0.35">
      <c r="E3691">
        <v>3688</v>
      </c>
      <c r="F3691">
        <f t="shared" ca="1" si="59"/>
        <v>9.4573795930779486E-5</v>
      </c>
    </row>
    <row r="3692" spans="5:6" x14ac:dyDescent="0.35">
      <c r="E3692">
        <v>3689</v>
      </c>
      <c r="F3692">
        <f t="shared" ca="1" si="59"/>
        <v>-8.6825177337434807E-4</v>
      </c>
    </row>
    <row r="3693" spans="5:6" x14ac:dyDescent="0.35">
      <c r="E3693">
        <v>3690</v>
      </c>
      <c r="F3693">
        <f t="shared" ca="1" si="59"/>
        <v>-2.998403199075397E-3</v>
      </c>
    </row>
    <row r="3694" spans="5:6" x14ac:dyDescent="0.35">
      <c r="E3694">
        <v>3691</v>
      </c>
      <c r="F3694">
        <f t="shared" ca="1" si="59"/>
        <v>2.9245417993678524E-3</v>
      </c>
    </row>
    <row r="3695" spans="5:6" x14ac:dyDescent="0.35">
      <c r="E3695">
        <v>3692</v>
      </c>
      <c r="F3695">
        <f t="shared" ca="1" si="59"/>
        <v>3.5515921621602597E-3</v>
      </c>
    </row>
    <row r="3696" spans="5:6" x14ac:dyDescent="0.35">
      <c r="E3696">
        <v>3693</v>
      </c>
      <c r="F3696">
        <f t="shared" ca="1" si="59"/>
        <v>3.4124213526942741E-3</v>
      </c>
    </row>
    <row r="3697" spans="5:6" x14ac:dyDescent="0.35">
      <c r="E3697">
        <v>3694</v>
      </c>
      <c r="F3697">
        <f t="shared" ca="1" si="59"/>
        <v>1.8109918368669316E-2</v>
      </c>
    </row>
    <row r="3698" spans="5:6" x14ac:dyDescent="0.35">
      <c r="E3698">
        <v>3695</v>
      </c>
      <c r="F3698">
        <f t="shared" ca="1" si="59"/>
        <v>-4.8002049876988558E-5</v>
      </c>
    </row>
    <row r="3699" spans="5:6" x14ac:dyDescent="0.35">
      <c r="E3699">
        <v>3696</v>
      </c>
      <c r="F3699">
        <f t="shared" ca="1" si="59"/>
        <v>1.2467895082671111E-2</v>
      </c>
    </row>
    <row r="3700" spans="5:6" x14ac:dyDescent="0.35">
      <c r="E3700">
        <v>3697</v>
      </c>
      <c r="F3700">
        <f t="shared" ca="1" si="59"/>
        <v>9.1777734089751387E-3</v>
      </c>
    </row>
    <row r="3701" spans="5:6" x14ac:dyDescent="0.35">
      <c r="E3701">
        <v>3698</v>
      </c>
      <c r="F3701">
        <f t="shared" ca="1" si="59"/>
        <v>3.7038218717017186E-3</v>
      </c>
    </row>
    <row r="3702" spans="5:6" x14ac:dyDescent="0.35">
      <c r="E3702">
        <v>3699</v>
      </c>
      <c r="F3702">
        <f t="shared" ca="1" si="59"/>
        <v>-4.292916173984378E-3</v>
      </c>
    </row>
    <row r="3703" spans="5:6" x14ac:dyDescent="0.35">
      <c r="E3703">
        <v>3700</v>
      </c>
      <c r="F3703">
        <f t="shared" ca="1" si="59"/>
        <v>2.4485069092668427E-2</v>
      </c>
    </row>
    <row r="3704" spans="5:6" x14ac:dyDescent="0.35">
      <c r="E3704">
        <v>3701</v>
      </c>
      <c r="F3704">
        <f t="shared" ca="1" si="59"/>
        <v>1.6755848454114246E-2</v>
      </c>
    </row>
    <row r="3705" spans="5:6" x14ac:dyDescent="0.35">
      <c r="E3705">
        <v>3702</v>
      </c>
      <c r="F3705">
        <f t="shared" ca="1" si="59"/>
        <v>1.2749856492007109E-3</v>
      </c>
    </row>
    <row r="3706" spans="5:6" x14ac:dyDescent="0.35">
      <c r="E3706">
        <v>3703</v>
      </c>
      <c r="F3706">
        <f t="shared" ca="1" si="59"/>
        <v>-2.2161697183112183E-2</v>
      </c>
    </row>
    <row r="3707" spans="5:6" x14ac:dyDescent="0.35">
      <c r="E3707">
        <v>3704</v>
      </c>
      <c r="F3707">
        <f t="shared" ca="1" si="59"/>
        <v>1.8069529060234974E-2</v>
      </c>
    </row>
    <row r="3708" spans="5:6" x14ac:dyDescent="0.35">
      <c r="E3708">
        <v>3705</v>
      </c>
      <c r="F3708">
        <f t="shared" ca="1" si="59"/>
        <v>1.2178293170877692E-3</v>
      </c>
    </row>
    <row r="3709" spans="5:6" x14ac:dyDescent="0.35">
      <c r="E3709">
        <v>3706</v>
      </c>
      <c r="F3709">
        <f t="shared" ca="1" si="59"/>
        <v>1.7035489498707063E-2</v>
      </c>
    </row>
    <row r="3710" spans="5:6" x14ac:dyDescent="0.35">
      <c r="E3710">
        <v>3707</v>
      </c>
      <c r="F3710">
        <f t="shared" ca="1" si="59"/>
        <v>-2.7664787423655777E-2</v>
      </c>
    </row>
    <row r="3711" spans="5:6" x14ac:dyDescent="0.35">
      <c r="E3711">
        <v>3708</v>
      </c>
      <c r="F3711">
        <f t="shared" ca="1" si="59"/>
        <v>5.4991044863289592E-3</v>
      </c>
    </row>
    <row r="3712" spans="5:6" x14ac:dyDescent="0.35">
      <c r="E3712">
        <v>3709</v>
      </c>
      <c r="F3712">
        <f t="shared" ca="1" si="59"/>
        <v>-1.2641627011003496E-2</v>
      </c>
    </row>
    <row r="3713" spans="5:6" x14ac:dyDescent="0.35">
      <c r="E3713">
        <v>3710</v>
      </c>
      <c r="F3713">
        <f t="shared" ca="1" si="59"/>
        <v>-1.0388208732346577E-2</v>
      </c>
    </row>
    <row r="3714" spans="5:6" x14ac:dyDescent="0.35">
      <c r="E3714">
        <v>3711</v>
      </c>
      <c r="F3714">
        <f t="shared" ca="1" si="59"/>
        <v>-9.4659583305559177E-3</v>
      </c>
    </row>
    <row r="3715" spans="5:6" x14ac:dyDescent="0.35">
      <c r="E3715">
        <v>3712</v>
      </c>
      <c r="F3715">
        <f t="shared" ca="1" si="59"/>
        <v>-3.2499981874515933E-3</v>
      </c>
    </row>
    <row r="3716" spans="5:6" x14ac:dyDescent="0.35">
      <c r="E3716">
        <v>3713</v>
      </c>
      <c r="F3716">
        <f t="shared" ca="1" si="59"/>
        <v>-2.4501011204695784E-2</v>
      </c>
    </row>
    <row r="3717" spans="5:6" x14ac:dyDescent="0.35">
      <c r="E3717">
        <v>3714</v>
      </c>
      <c r="F3717">
        <f t="shared" ref="F3717:F3780" ca="1" si="60">_xlfn.NORM.INV(RAND(),M$6,M$7)</f>
        <v>1.7072726667975616E-2</v>
      </c>
    </row>
    <row r="3718" spans="5:6" x14ac:dyDescent="0.35">
      <c r="E3718">
        <v>3715</v>
      </c>
      <c r="F3718">
        <f t="shared" ca="1" si="60"/>
        <v>-1.0957660243923962E-2</v>
      </c>
    </row>
    <row r="3719" spans="5:6" x14ac:dyDescent="0.35">
      <c r="E3719">
        <v>3716</v>
      </c>
      <c r="F3719">
        <f t="shared" ca="1" si="60"/>
        <v>-1.2280389946916258E-2</v>
      </c>
    </row>
    <row r="3720" spans="5:6" x14ac:dyDescent="0.35">
      <c r="E3720">
        <v>3717</v>
      </c>
      <c r="F3720">
        <f t="shared" ca="1" si="60"/>
        <v>-6.5744633237462026E-3</v>
      </c>
    </row>
    <row r="3721" spans="5:6" x14ac:dyDescent="0.35">
      <c r="E3721">
        <v>3718</v>
      </c>
      <c r="F3721">
        <f t="shared" ca="1" si="60"/>
        <v>8.0338379674671744E-3</v>
      </c>
    </row>
    <row r="3722" spans="5:6" x14ac:dyDescent="0.35">
      <c r="E3722">
        <v>3719</v>
      </c>
      <c r="F3722">
        <f t="shared" ca="1" si="60"/>
        <v>1.4816858389945406E-2</v>
      </c>
    </row>
    <row r="3723" spans="5:6" x14ac:dyDescent="0.35">
      <c r="E3723">
        <v>3720</v>
      </c>
      <c r="F3723">
        <f t="shared" ca="1" si="60"/>
        <v>1.1619931454020533E-2</v>
      </c>
    </row>
    <row r="3724" spans="5:6" x14ac:dyDescent="0.35">
      <c r="E3724">
        <v>3721</v>
      </c>
      <c r="F3724">
        <f t="shared" ca="1" si="60"/>
        <v>-1.0971453020149536E-2</v>
      </c>
    </row>
    <row r="3725" spans="5:6" x14ac:dyDescent="0.35">
      <c r="E3725">
        <v>3722</v>
      </c>
      <c r="F3725">
        <f t="shared" ca="1" si="60"/>
        <v>5.3444333822603154E-3</v>
      </c>
    </row>
    <row r="3726" spans="5:6" x14ac:dyDescent="0.35">
      <c r="E3726">
        <v>3723</v>
      </c>
      <c r="F3726">
        <f t="shared" ca="1" si="60"/>
        <v>-1.3244831465330318E-2</v>
      </c>
    </row>
    <row r="3727" spans="5:6" x14ac:dyDescent="0.35">
      <c r="E3727">
        <v>3724</v>
      </c>
      <c r="F3727">
        <f t="shared" ca="1" si="60"/>
        <v>2.845620075107243E-3</v>
      </c>
    </row>
    <row r="3728" spans="5:6" x14ac:dyDescent="0.35">
      <c r="E3728">
        <v>3725</v>
      </c>
      <c r="F3728">
        <f t="shared" ca="1" si="60"/>
        <v>5.7457653208678786E-4</v>
      </c>
    </row>
    <row r="3729" spans="5:6" x14ac:dyDescent="0.35">
      <c r="E3729">
        <v>3726</v>
      </c>
      <c r="F3729">
        <f t="shared" ca="1" si="60"/>
        <v>-1.3371974880673355E-2</v>
      </c>
    </row>
    <row r="3730" spans="5:6" x14ac:dyDescent="0.35">
      <c r="E3730">
        <v>3727</v>
      </c>
      <c r="F3730">
        <f t="shared" ca="1" si="60"/>
        <v>-2.334132011289786E-2</v>
      </c>
    </row>
    <row r="3731" spans="5:6" x14ac:dyDescent="0.35">
      <c r="E3731">
        <v>3728</v>
      </c>
      <c r="F3731">
        <f t="shared" ca="1" si="60"/>
        <v>-1.352735513953173E-2</v>
      </c>
    </row>
    <row r="3732" spans="5:6" x14ac:dyDescent="0.35">
      <c r="E3732">
        <v>3729</v>
      </c>
      <c r="F3732">
        <f t="shared" ca="1" si="60"/>
        <v>-5.6492630289148886E-3</v>
      </c>
    </row>
    <row r="3733" spans="5:6" x14ac:dyDescent="0.35">
      <c r="E3733">
        <v>3730</v>
      </c>
      <c r="F3733">
        <f t="shared" ca="1" si="60"/>
        <v>-4.4824559158977541E-3</v>
      </c>
    </row>
    <row r="3734" spans="5:6" x14ac:dyDescent="0.35">
      <c r="E3734">
        <v>3731</v>
      </c>
      <c r="F3734">
        <f t="shared" ca="1" si="60"/>
        <v>2.167458366396123E-2</v>
      </c>
    </row>
    <row r="3735" spans="5:6" x14ac:dyDescent="0.35">
      <c r="E3735">
        <v>3732</v>
      </c>
      <c r="F3735">
        <f t="shared" ca="1" si="60"/>
        <v>2.403747478364384E-2</v>
      </c>
    </row>
    <row r="3736" spans="5:6" x14ac:dyDescent="0.35">
      <c r="E3736">
        <v>3733</v>
      </c>
      <c r="F3736">
        <f t="shared" ca="1" si="60"/>
        <v>4.2542547955816391E-2</v>
      </c>
    </row>
    <row r="3737" spans="5:6" x14ac:dyDescent="0.35">
      <c r="E3737">
        <v>3734</v>
      </c>
      <c r="F3737">
        <f t="shared" ca="1" si="60"/>
        <v>3.3526612168477527E-3</v>
      </c>
    </row>
    <row r="3738" spans="5:6" x14ac:dyDescent="0.35">
      <c r="E3738">
        <v>3735</v>
      </c>
      <c r="F3738">
        <f t="shared" ca="1" si="60"/>
        <v>1.2191367936156414E-2</v>
      </c>
    </row>
    <row r="3739" spans="5:6" x14ac:dyDescent="0.35">
      <c r="E3739">
        <v>3736</v>
      </c>
      <c r="F3739">
        <f t="shared" ca="1" si="60"/>
        <v>4.4643343389410683E-3</v>
      </c>
    </row>
    <row r="3740" spans="5:6" x14ac:dyDescent="0.35">
      <c r="E3740">
        <v>3737</v>
      </c>
      <c r="F3740">
        <f t="shared" ca="1" si="60"/>
        <v>-1.1897613468325732E-2</v>
      </c>
    </row>
    <row r="3741" spans="5:6" x14ac:dyDescent="0.35">
      <c r="E3741">
        <v>3738</v>
      </c>
      <c r="F3741">
        <f t="shared" ca="1" si="60"/>
        <v>-5.7590193576732293E-3</v>
      </c>
    </row>
    <row r="3742" spans="5:6" x14ac:dyDescent="0.35">
      <c r="E3742">
        <v>3739</v>
      </c>
      <c r="F3742">
        <f t="shared" ca="1" si="60"/>
        <v>3.2970764679431915E-3</v>
      </c>
    </row>
    <row r="3743" spans="5:6" x14ac:dyDescent="0.35">
      <c r="E3743">
        <v>3740</v>
      </c>
      <c r="F3743">
        <f t="shared" ca="1" si="60"/>
        <v>-2.7073959143082658E-2</v>
      </c>
    </row>
    <row r="3744" spans="5:6" x14ac:dyDescent="0.35">
      <c r="E3744">
        <v>3741</v>
      </c>
      <c r="F3744">
        <f t="shared" ca="1" si="60"/>
        <v>-7.2705031832965335E-3</v>
      </c>
    </row>
    <row r="3745" spans="5:6" x14ac:dyDescent="0.35">
      <c r="E3745">
        <v>3742</v>
      </c>
      <c r="F3745">
        <f t="shared" ca="1" si="60"/>
        <v>-6.4441106845688286E-4</v>
      </c>
    </row>
    <row r="3746" spans="5:6" x14ac:dyDescent="0.35">
      <c r="E3746">
        <v>3743</v>
      </c>
      <c r="F3746">
        <f t="shared" ca="1" si="60"/>
        <v>5.2265914209920364E-3</v>
      </c>
    </row>
    <row r="3747" spans="5:6" x14ac:dyDescent="0.35">
      <c r="E3747">
        <v>3744</v>
      </c>
      <c r="F3747">
        <f t="shared" ca="1" si="60"/>
        <v>-1.0592287669790149E-2</v>
      </c>
    </row>
    <row r="3748" spans="5:6" x14ac:dyDescent="0.35">
      <c r="E3748">
        <v>3745</v>
      </c>
      <c r="F3748">
        <f t="shared" ca="1" si="60"/>
        <v>-1.5975909856950379E-2</v>
      </c>
    </row>
    <row r="3749" spans="5:6" x14ac:dyDescent="0.35">
      <c r="E3749">
        <v>3746</v>
      </c>
      <c r="F3749">
        <f t="shared" ca="1" si="60"/>
        <v>1.4098675877361846E-2</v>
      </c>
    </row>
    <row r="3750" spans="5:6" x14ac:dyDescent="0.35">
      <c r="E3750">
        <v>3747</v>
      </c>
      <c r="F3750">
        <f t="shared" ca="1" si="60"/>
        <v>-1.008922661927243E-2</v>
      </c>
    </row>
    <row r="3751" spans="5:6" x14ac:dyDescent="0.35">
      <c r="E3751">
        <v>3748</v>
      </c>
      <c r="F3751">
        <f t="shared" ca="1" si="60"/>
        <v>1.6693297067432101E-2</v>
      </c>
    </row>
    <row r="3752" spans="5:6" x14ac:dyDescent="0.35">
      <c r="E3752">
        <v>3749</v>
      </c>
      <c r="F3752">
        <f t="shared" ca="1" si="60"/>
        <v>-6.3733398523862185E-3</v>
      </c>
    </row>
    <row r="3753" spans="5:6" x14ac:dyDescent="0.35">
      <c r="E3753">
        <v>3750</v>
      </c>
      <c r="F3753">
        <f t="shared" ca="1" si="60"/>
        <v>1.1044484412844504E-2</v>
      </c>
    </row>
    <row r="3754" spans="5:6" x14ac:dyDescent="0.35">
      <c r="E3754">
        <v>3751</v>
      </c>
      <c r="F3754">
        <f t="shared" ca="1" si="60"/>
        <v>-3.783303623920614E-3</v>
      </c>
    </row>
    <row r="3755" spans="5:6" x14ac:dyDescent="0.35">
      <c r="E3755">
        <v>3752</v>
      </c>
      <c r="F3755">
        <f t="shared" ca="1" si="60"/>
        <v>-5.4347039872964338E-3</v>
      </c>
    </row>
    <row r="3756" spans="5:6" x14ac:dyDescent="0.35">
      <c r="E3756">
        <v>3753</v>
      </c>
      <c r="F3756">
        <f t="shared" ca="1" si="60"/>
        <v>1.7517192534030588E-3</v>
      </c>
    </row>
    <row r="3757" spans="5:6" x14ac:dyDescent="0.35">
      <c r="E3757">
        <v>3754</v>
      </c>
      <c r="F3757">
        <f t="shared" ca="1" si="60"/>
        <v>-1.2146326680693686E-2</v>
      </c>
    </row>
    <row r="3758" spans="5:6" x14ac:dyDescent="0.35">
      <c r="E3758">
        <v>3755</v>
      </c>
      <c r="F3758">
        <f t="shared" ca="1" si="60"/>
        <v>7.1349553857561745E-3</v>
      </c>
    </row>
    <row r="3759" spans="5:6" x14ac:dyDescent="0.35">
      <c r="E3759">
        <v>3756</v>
      </c>
      <c r="F3759">
        <f t="shared" ca="1" si="60"/>
        <v>2.3461495853960616E-2</v>
      </c>
    </row>
    <row r="3760" spans="5:6" x14ac:dyDescent="0.35">
      <c r="E3760">
        <v>3757</v>
      </c>
      <c r="F3760">
        <f t="shared" ca="1" si="60"/>
        <v>4.4238049587068374E-4</v>
      </c>
    </row>
    <row r="3761" spans="5:6" x14ac:dyDescent="0.35">
      <c r="E3761">
        <v>3758</v>
      </c>
      <c r="F3761">
        <f t="shared" ca="1" si="60"/>
        <v>1.9305651751627854E-2</v>
      </c>
    </row>
    <row r="3762" spans="5:6" x14ac:dyDescent="0.35">
      <c r="E3762">
        <v>3759</v>
      </c>
      <c r="F3762">
        <f t="shared" ca="1" si="60"/>
        <v>-2.4757512446952252E-2</v>
      </c>
    </row>
    <row r="3763" spans="5:6" x14ac:dyDescent="0.35">
      <c r="E3763">
        <v>3760</v>
      </c>
      <c r="F3763">
        <f t="shared" ca="1" si="60"/>
        <v>2.1672221799224184E-3</v>
      </c>
    </row>
    <row r="3764" spans="5:6" x14ac:dyDescent="0.35">
      <c r="E3764">
        <v>3761</v>
      </c>
      <c r="F3764">
        <f t="shared" ca="1" si="60"/>
        <v>-9.5071623605064697E-3</v>
      </c>
    </row>
    <row r="3765" spans="5:6" x14ac:dyDescent="0.35">
      <c r="E3765">
        <v>3762</v>
      </c>
      <c r="F3765">
        <f t="shared" ca="1" si="60"/>
        <v>-1.1734753836482979E-2</v>
      </c>
    </row>
    <row r="3766" spans="5:6" x14ac:dyDescent="0.35">
      <c r="E3766">
        <v>3763</v>
      </c>
      <c r="F3766">
        <f t="shared" ca="1" si="60"/>
        <v>-2.5323161700477714E-2</v>
      </c>
    </row>
    <row r="3767" spans="5:6" x14ac:dyDescent="0.35">
      <c r="E3767">
        <v>3764</v>
      </c>
      <c r="F3767">
        <f t="shared" ca="1" si="60"/>
        <v>7.377439796891273E-3</v>
      </c>
    </row>
    <row r="3768" spans="5:6" x14ac:dyDescent="0.35">
      <c r="E3768">
        <v>3765</v>
      </c>
      <c r="F3768">
        <f t="shared" ca="1" si="60"/>
        <v>-9.9841401779365898E-3</v>
      </c>
    </row>
    <row r="3769" spans="5:6" x14ac:dyDescent="0.35">
      <c r="E3769">
        <v>3766</v>
      </c>
      <c r="F3769">
        <f t="shared" ca="1" si="60"/>
        <v>-3.5974057312644836E-3</v>
      </c>
    </row>
    <row r="3770" spans="5:6" x14ac:dyDescent="0.35">
      <c r="E3770">
        <v>3767</v>
      </c>
      <c r="F3770">
        <f t="shared" ca="1" si="60"/>
        <v>-7.6435489783081151E-3</v>
      </c>
    </row>
    <row r="3771" spans="5:6" x14ac:dyDescent="0.35">
      <c r="E3771">
        <v>3768</v>
      </c>
      <c r="F3771">
        <f t="shared" ca="1" si="60"/>
        <v>7.138834512600143E-3</v>
      </c>
    </row>
    <row r="3772" spans="5:6" x14ac:dyDescent="0.35">
      <c r="E3772">
        <v>3769</v>
      </c>
      <c r="F3772">
        <f t="shared" ca="1" si="60"/>
        <v>-3.8141046705331043E-3</v>
      </c>
    </row>
    <row r="3773" spans="5:6" x14ac:dyDescent="0.35">
      <c r="E3773">
        <v>3770</v>
      </c>
      <c r="F3773">
        <f t="shared" ca="1" si="60"/>
        <v>-8.6408289070857985E-3</v>
      </c>
    </row>
    <row r="3774" spans="5:6" x14ac:dyDescent="0.35">
      <c r="E3774">
        <v>3771</v>
      </c>
      <c r="F3774">
        <f t="shared" ca="1" si="60"/>
        <v>2.0554232874916478E-2</v>
      </c>
    </row>
    <row r="3775" spans="5:6" x14ac:dyDescent="0.35">
      <c r="E3775">
        <v>3772</v>
      </c>
      <c r="F3775">
        <f t="shared" ca="1" si="60"/>
        <v>1.1149667823027495E-3</v>
      </c>
    </row>
    <row r="3776" spans="5:6" x14ac:dyDescent="0.35">
      <c r="E3776">
        <v>3773</v>
      </c>
      <c r="F3776">
        <f t="shared" ca="1" si="60"/>
        <v>-8.3066306785696715E-3</v>
      </c>
    </row>
    <row r="3777" spans="5:6" x14ac:dyDescent="0.35">
      <c r="E3777">
        <v>3774</v>
      </c>
      <c r="F3777">
        <f t="shared" ca="1" si="60"/>
        <v>7.3047184351241329E-3</v>
      </c>
    </row>
    <row r="3778" spans="5:6" x14ac:dyDescent="0.35">
      <c r="E3778">
        <v>3775</v>
      </c>
      <c r="F3778">
        <f t="shared" ca="1" si="60"/>
        <v>-2.8303271033723054E-2</v>
      </c>
    </row>
    <row r="3779" spans="5:6" x14ac:dyDescent="0.35">
      <c r="E3779">
        <v>3776</v>
      </c>
      <c r="F3779">
        <f t="shared" ca="1" si="60"/>
        <v>-1.5187584491432614E-2</v>
      </c>
    </row>
    <row r="3780" spans="5:6" x14ac:dyDescent="0.35">
      <c r="E3780">
        <v>3777</v>
      </c>
      <c r="F3780">
        <f t="shared" ca="1" si="60"/>
        <v>-2.2997520581279993E-3</v>
      </c>
    </row>
    <row r="3781" spans="5:6" x14ac:dyDescent="0.35">
      <c r="E3781">
        <v>3778</v>
      </c>
      <c r="F3781">
        <f t="shared" ref="F3781:F3844" ca="1" si="61">_xlfn.NORM.INV(RAND(),M$6,M$7)</f>
        <v>-6.5184470216683296E-3</v>
      </c>
    </row>
    <row r="3782" spans="5:6" x14ac:dyDescent="0.35">
      <c r="E3782">
        <v>3779</v>
      </c>
      <c r="F3782">
        <f t="shared" ca="1" si="61"/>
        <v>3.4851886003560862E-3</v>
      </c>
    </row>
    <row r="3783" spans="5:6" x14ac:dyDescent="0.35">
      <c r="E3783">
        <v>3780</v>
      </c>
      <c r="F3783">
        <f t="shared" ca="1" si="61"/>
        <v>4.2930101966914163E-4</v>
      </c>
    </row>
    <row r="3784" spans="5:6" x14ac:dyDescent="0.35">
      <c r="E3784">
        <v>3781</v>
      </c>
      <c r="F3784">
        <f t="shared" ca="1" si="61"/>
        <v>-2.8036175717965456E-4</v>
      </c>
    </row>
    <row r="3785" spans="5:6" x14ac:dyDescent="0.35">
      <c r="E3785">
        <v>3782</v>
      </c>
      <c r="F3785">
        <f t="shared" ca="1" si="61"/>
        <v>-4.2169804963401898E-3</v>
      </c>
    </row>
    <row r="3786" spans="5:6" x14ac:dyDescent="0.35">
      <c r="E3786">
        <v>3783</v>
      </c>
      <c r="F3786">
        <f t="shared" ca="1" si="61"/>
        <v>-5.4986473074038113E-3</v>
      </c>
    </row>
    <row r="3787" spans="5:6" x14ac:dyDescent="0.35">
      <c r="E3787">
        <v>3784</v>
      </c>
      <c r="F3787">
        <f t="shared" ca="1" si="61"/>
        <v>-2.3676368447049623E-2</v>
      </c>
    </row>
    <row r="3788" spans="5:6" x14ac:dyDescent="0.35">
      <c r="E3788">
        <v>3785</v>
      </c>
      <c r="F3788">
        <f t="shared" ca="1" si="61"/>
        <v>-1.3887997212373607E-2</v>
      </c>
    </row>
    <row r="3789" spans="5:6" x14ac:dyDescent="0.35">
      <c r="E3789">
        <v>3786</v>
      </c>
      <c r="F3789">
        <f t="shared" ca="1" si="61"/>
        <v>-1.0838075926991E-2</v>
      </c>
    </row>
    <row r="3790" spans="5:6" x14ac:dyDescent="0.35">
      <c r="E3790">
        <v>3787</v>
      </c>
      <c r="F3790">
        <f t="shared" ca="1" si="61"/>
        <v>1.1837516375116311E-2</v>
      </c>
    </row>
    <row r="3791" spans="5:6" x14ac:dyDescent="0.35">
      <c r="E3791">
        <v>3788</v>
      </c>
      <c r="F3791">
        <f t="shared" ca="1" si="61"/>
        <v>-1.8629681077863701E-3</v>
      </c>
    </row>
    <row r="3792" spans="5:6" x14ac:dyDescent="0.35">
      <c r="E3792">
        <v>3789</v>
      </c>
      <c r="F3792">
        <f t="shared" ca="1" si="61"/>
        <v>1.5979106525979139E-2</v>
      </c>
    </row>
    <row r="3793" spans="5:6" x14ac:dyDescent="0.35">
      <c r="E3793">
        <v>3790</v>
      </c>
      <c r="F3793">
        <f t="shared" ca="1" si="61"/>
        <v>-2.0547649034423968E-2</v>
      </c>
    </row>
    <row r="3794" spans="5:6" x14ac:dyDescent="0.35">
      <c r="E3794">
        <v>3791</v>
      </c>
      <c r="F3794">
        <f t="shared" ca="1" si="61"/>
        <v>-5.0724856139271494E-3</v>
      </c>
    </row>
    <row r="3795" spans="5:6" x14ac:dyDescent="0.35">
      <c r="E3795">
        <v>3792</v>
      </c>
      <c r="F3795">
        <f t="shared" ca="1" si="61"/>
        <v>-7.3205101421791093E-3</v>
      </c>
    </row>
    <row r="3796" spans="5:6" x14ac:dyDescent="0.35">
      <c r="E3796">
        <v>3793</v>
      </c>
      <c r="F3796">
        <f t="shared" ca="1" si="61"/>
        <v>3.0367131021680736E-2</v>
      </c>
    </row>
    <row r="3797" spans="5:6" x14ac:dyDescent="0.35">
      <c r="E3797">
        <v>3794</v>
      </c>
      <c r="F3797">
        <f t="shared" ca="1" si="61"/>
        <v>-1.8567714402406094E-2</v>
      </c>
    </row>
    <row r="3798" spans="5:6" x14ac:dyDescent="0.35">
      <c r="E3798">
        <v>3795</v>
      </c>
      <c r="F3798">
        <f t="shared" ca="1" si="61"/>
        <v>2.1237426846252301E-2</v>
      </c>
    </row>
    <row r="3799" spans="5:6" x14ac:dyDescent="0.35">
      <c r="E3799">
        <v>3796</v>
      </c>
      <c r="F3799">
        <f t="shared" ca="1" si="61"/>
        <v>7.0323011374658941E-4</v>
      </c>
    </row>
    <row r="3800" spans="5:6" x14ac:dyDescent="0.35">
      <c r="E3800">
        <v>3797</v>
      </c>
      <c r="F3800">
        <f t="shared" ca="1" si="61"/>
        <v>8.7991353133951532E-3</v>
      </c>
    </row>
    <row r="3801" spans="5:6" x14ac:dyDescent="0.35">
      <c r="E3801">
        <v>3798</v>
      </c>
      <c r="F3801">
        <f t="shared" ca="1" si="61"/>
        <v>2.5814214508815152E-2</v>
      </c>
    </row>
    <row r="3802" spans="5:6" x14ac:dyDescent="0.35">
      <c r="E3802">
        <v>3799</v>
      </c>
      <c r="F3802">
        <f t="shared" ca="1" si="61"/>
        <v>4.8496940415966097E-3</v>
      </c>
    </row>
    <row r="3803" spans="5:6" x14ac:dyDescent="0.35">
      <c r="E3803">
        <v>3800</v>
      </c>
      <c r="F3803">
        <f t="shared" ca="1" si="61"/>
        <v>6.2942109261292659E-3</v>
      </c>
    </row>
    <row r="3804" spans="5:6" x14ac:dyDescent="0.35">
      <c r="E3804">
        <v>3801</v>
      </c>
      <c r="F3804">
        <f t="shared" ca="1" si="61"/>
        <v>-3.9656921321591368E-3</v>
      </c>
    </row>
    <row r="3805" spans="5:6" x14ac:dyDescent="0.35">
      <c r="E3805">
        <v>3802</v>
      </c>
      <c r="F3805">
        <f t="shared" ca="1" si="61"/>
        <v>1.795936379165311E-2</v>
      </c>
    </row>
    <row r="3806" spans="5:6" x14ac:dyDescent="0.35">
      <c r="E3806">
        <v>3803</v>
      </c>
      <c r="F3806">
        <f t="shared" ca="1" si="61"/>
        <v>1.3189258722010764E-2</v>
      </c>
    </row>
    <row r="3807" spans="5:6" x14ac:dyDescent="0.35">
      <c r="E3807">
        <v>3804</v>
      </c>
      <c r="F3807">
        <f t="shared" ca="1" si="61"/>
        <v>-3.0347515916934642E-3</v>
      </c>
    </row>
    <row r="3808" spans="5:6" x14ac:dyDescent="0.35">
      <c r="E3808">
        <v>3805</v>
      </c>
      <c r="F3808">
        <f t="shared" ca="1" si="61"/>
        <v>-2.6736258944079171E-2</v>
      </c>
    </row>
    <row r="3809" spans="5:6" x14ac:dyDescent="0.35">
      <c r="E3809">
        <v>3806</v>
      </c>
      <c r="F3809">
        <f t="shared" ca="1" si="61"/>
        <v>-1.0217019942145892E-2</v>
      </c>
    </row>
    <row r="3810" spans="5:6" x14ac:dyDescent="0.35">
      <c r="E3810">
        <v>3807</v>
      </c>
      <c r="F3810">
        <f t="shared" ca="1" si="61"/>
        <v>-4.8469976578677252E-3</v>
      </c>
    </row>
    <row r="3811" spans="5:6" x14ac:dyDescent="0.35">
      <c r="E3811">
        <v>3808</v>
      </c>
      <c r="F3811">
        <f t="shared" ca="1" si="61"/>
        <v>1.9077268334255919E-2</v>
      </c>
    </row>
    <row r="3812" spans="5:6" x14ac:dyDescent="0.35">
      <c r="E3812">
        <v>3809</v>
      </c>
      <c r="F3812">
        <f t="shared" ca="1" si="61"/>
        <v>1.622848729277741E-2</v>
      </c>
    </row>
    <row r="3813" spans="5:6" x14ac:dyDescent="0.35">
      <c r="E3813">
        <v>3810</v>
      </c>
      <c r="F3813">
        <f t="shared" ca="1" si="61"/>
        <v>-3.4260647552779035E-3</v>
      </c>
    </row>
    <row r="3814" spans="5:6" x14ac:dyDescent="0.35">
      <c r="E3814">
        <v>3811</v>
      </c>
      <c r="F3814">
        <f t="shared" ca="1" si="61"/>
        <v>2.3960684552923446E-2</v>
      </c>
    </row>
    <row r="3815" spans="5:6" x14ac:dyDescent="0.35">
      <c r="E3815">
        <v>3812</v>
      </c>
      <c r="F3815">
        <f t="shared" ca="1" si="61"/>
        <v>-3.1606452833023006E-3</v>
      </c>
    </row>
    <row r="3816" spans="5:6" x14ac:dyDescent="0.35">
      <c r="E3816">
        <v>3813</v>
      </c>
      <c r="F3816">
        <f t="shared" ca="1" si="61"/>
        <v>2.0989782930537836E-2</v>
      </c>
    </row>
    <row r="3817" spans="5:6" x14ac:dyDescent="0.35">
      <c r="E3817">
        <v>3814</v>
      </c>
      <c r="F3817">
        <f t="shared" ca="1" si="61"/>
        <v>1.1648058415474137E-2</v>
      </c>
    </row>
    <row r="3818" spans="5:6" x14ac:dyDescent="0.35">
      <c r="E3818">
        <v>3815</v>
      </c>
      <c r="F3818">
        <f t="shared" ca="1" si="61"/>
        <v>-7.5800559609223023E-3</v>
      </c>
    </row>
    <row r="3819" spans="5:6" x14ac:dyDescent="0.35">
      <c r="E3819">
        <v>3816</v>
      </c>
      <c r="F3819">
        <f t="shared" ca="1" si="61"/>
        <v>2.247365238915259E-3</v>
      </c>
    </row>
    <row r="3820" spans="5:6" x14ac:dyDescent="0.35">
      <c r="E3820">
        <v>3817</v>
      </c>
      <c r="F3820">
        <f t="shared" ca="1" si="61"/>
        <v>1.3145786721866301E-2</v>
      </c>
    </row>
    <row r="3821" spans="5:6" x14ac:dyDescent="0.35">
      <c r="E3821">
        <v>3818</v>
      </c>
      <c r="F3821">
        <f t="shared" ca="1" si="61"/>
        <v>8.3793231750983986E-3</v>
      </c>
    </row>
    <row r="3822" spans="5:6" x14ac:dyDescent="0.35">
      <c r="E3822">
        <v>3819</v>
      </c>
      <c r="F3822">
        <f t="shared" ca="1" si="61"/>
        <v>-4.008600307223929E-5</v>
      </c>
    </row>
    <row r="3823" spans="5:6" x14ac:dyDescent="0.35">
      <c r="E3823">
        <v>3820</v>
      </c>
      <c r="F3823">
        <f t="shared" ca="1" si="61"/>
        <v>-7.2555613924190775E-4</v>
      </c>
    </row>
    <row r="3824" spans="5:6" x14ac:dyDescent="0.35">
      <c r="E3824">
        <v>3821</v>
      </c>
      <c r="F3824">
        <f t="shared" ca="1" si="61"/>
        <v>1.5958892397762024E-2</v>
      </c>
    </row>
    <row r="3825" spans="5:6" x14ac:dyDescent="0.35">
      <c r="E3825">
        <v>3822</v>
      </c>
      <c r="F3825">
        <f t="shared" ca="1" si="61"/>
        <v>-1.4778534035114357E-2</v>
      </c>
    </row>
    <row r="3826" spans="5:6" x14ac:dyDescent="0.35">
      <c r="E3826">
        <v>3823</v>
      </c>
      <c r="F3826">
        <f t="shared" ca="1" si="61"/>
        <v>9.6483228874925386E-3</v>
      </c>
    </row>
    <row r="3827" spans="5:6" x14ac:dyDescent="0.35">
      <c r="E3827">
        <v>3824</v>
      </c>
      <c r="F3827">
        <f t="shared" ca="1" si="61"/>
        <v>-7.8485620507199247E-3</v>
      </c>
    </row>
    <row r="3828" spans="5:6" x14ac:dyDescent="0.35">
      <c r="E3828">
        <v>3825</v>
      </c>
      <c r="F3828">
        <f t="shared" ca="1" si="61"/>
        <v>4.6899045329998612E-3</v>
      </c>
    </row>
    <row r="3829" spans="5:6" x14ac:dyDescent="0.35">
      <c r="E3829">
        <v>3826</v>
      </c>
      <c r="F3829">
        <f t="shared" ca="1" si="61"/>
        <v>1.8835782566732646E-2</v>
      </c>
    </row>
    <row r="3830" spans="5:6" x14ac:dyDescent="0.35">
      <c r="E3830">
        <v>3827</v>
      </c>
      <c r="F3830">
        <f t="shared" ca="1" si="61"/>
        <v>1.4659375725884327E-2</v>
      </c>
    </row>
    <row r="3831" spans="5:6" x14ac:dyDescent="0.35">
      <c r="E3831">
        <v>3828</v>
      </c>
      <c r="F3831">
        <f t="shared" ca="1" si="61"/>
        <v>-1.09712839845425E-2</v>
      </c>
    </row>
    <row r="3832" spans="5:6" x14ac:dyDescent="0.35">
      <c r="E3832">
        <v>3829</v>
      </c>
      <c r="F3832">
        <f t="shared" ca="1" si="61"/>
        <v>-2.7860657021972048E-3</v>
      </c>
    </row>
    <row r="3833" spans="5:6" x14ac:dyDescent="0.35">
      <c r="E3833">
        <v>3830</v>
      </c>
      <c r="F3833">
        <f t="shared" ca="1" si="61"/>
        <v>-2.8861909893768807E-2</v>
      </c>
    </row>
    <row r="3834" spans="5:6" x14ac:dyDescent="0.35">
      <c r="E3834">
        <v>3831</v>
      </c>
      <c r="F3834">
        <f t="shared" ca="1" si="61"/>
        <v>1.1093319994772819E-2</v>
      </c>
    </row>
    <row r="3835" spans="5:6" x14ac:dyDescent="0.35">
      <c r="E3835">
        <v>3832</v>
      </c>
      <c r="F3835">
        <f t="shared" ca="1" si="61"/>
        <v>5.0448519412781305E-4</v>
      </c>
    </row>
    <row r="3836" spans="5:6" x14ac:dyDescent="0.35">
      <c r="E3836">
        <v>3833</v>
      </c>
      <c r="F3836">
        <f t="shared" ca="1" si="61"/>
        <v>-1.1874556574132875E-2</v>
      </c>
    </row>
    <row r="3837" spans="5:6" x14ac:dyDescent="0.35">
      <c r="E3837">
        <v>3834</v>
      </c>
      <c r="F3837">
        <f t="shared" ca="1" si="61"/>
        <v>-1.6702324406726605E-2</v>
      </c>
    </row>
    <row r="3838" spans="5:6" x14ac:dyDescent="0.35">
      <c r="E3838">
        <v>3835</v>
      </c>
      <c r="F3838">
        <f t="shared" ca="1" si="61"/>
        <v>2.1205000981825962E-2</v>
      </c>
    </row>
    <row r="3839" spans="5:6" x14ac:dyDescent="0.35">
      <c r="E3839">
        <v>3836</v>
      </c>
      <c r="F3839">
        <f t="shared" ca="1" si="61"/>
        <v>8.2492981816412007E-3</v>
      </c>
    </row>
    <row r="3840" spans="5:6" x14ac:dyDescent="0.35">
      <c r="E3840">
        <v>3837</v>
      </c>
      <c r="F3840">
        <f t="shared" ca="1" si="61"/>
        <v>-6.4879649719196452E-3</v>
      </c>
    </row>
    <row r="3841" spans="5:6" x14ac:dyDescent="0.35">
      <c r="E3841">
        <v>3838</v>
      </c>
      <c r="F3841">
        <f t="shared" ca="1" si="61"/>
        <v>5.2662880455221061E-3</v>
      </c>
    </row>
    <row r="3842" spans="5:6" x14ac:dyDescent="0.35">
      <c r="E3842">
        <v>3839</v>
      </c>
      <c r="F3842">
        <f t="shared" ca="1" si="61"/>
        <v>-1.9863320606297908E-2</v>
      </c>
    </row>
    <row r="3843" spans="5:6" x14ac:dyDescent="0.35">
      <c r="E3843">
        <v>3840</v>
      </c>
      <c r="F3843">
        <f t="shared" ca="1" si="61"/>
        <v>7.7570172884920928E-3</v>
      </c>
    </row>
    <row r="3844" spans="5:6" x14ac:dyDescent="0.35">
      <c r="E3844">
        <v>3841</v>
      </c>
      <c r="F3844">
        <f t="shared" ca="1" si="61"/>
        <v>9.5469092131145756E-3</v>
      </c>
    </row>
    <row r="3845" spans="5:6" x14ac:dyDescent="0.35">
      <c r="E3845">
        <v>3842</v>
      </c>
      <c r="F3845">
        <f t="shared" ref="F3845:F3908" ca="1" si="62">_xlfn.NORM.INV(RAND(),M$6,M$7)</f>
        <v>1.4234055930251292E-2</v>
      </c>
    </row>
    <row r="3846" spans="5:6" x14ac:dyDescent="0.35">
      <c r="E3846">
        <v>3843</v>
      </c>
      <c r="F3846">
        <f t="shared" ca="1" si="62"/>
        <v>1.3597562826781373E-2</v>
      </c>
    </row>
    <row r="3847" spans="5:6" x14ac:dyDescent="0.35">
      <c r="E3847">
        <v>3844</v>
      </c>
      <c r="F3847">
        <f t="shared" ca="1" si="62"/>
        <v>5.1882121381889119E-3</v>
      </c>
    </row>
    <row r="3848" spans="5:6" x14ac:dyDescent="0.35">
      <c r="E3848">
        <v>3845</v>
      </c>
      <c r="F3848">
        <f t="shared" ca="1" si="62"/>
        <v>2.756199102368494E-2</v>
      </c>
    </row>
    <row r="3849" spans="5:6" x14ac:dyDescent="0.35">
      <c r="E3849">
        <v>3846</v>
      </c>
      <c r="F3849">
        <f t="shared" ca="1" si="62"/>
        <v>-2.7805698196344663E-3</v>
      </c>
    </row>
    <row r="3850" spans="5:6" x14ac:dyDescent="0.35">
      <c r="E3850">
        <v>3847</v>
      </c>
      <c r="F3850">
        <f t="shared" ca="1" si="62"/>
        <v>-3.3022948442965922E-3</v>
      </c>
    </row>
    <row r="3851" spans="5:6" x14ac:dyDescent="0.35">
      <c r="E3851">
        <v>3848</v>
      </c>
      <c r="F3851">
        <f t="shared" ca="1" si="62"/>
        <v>1.1560596552715741E-2</v>
      </c>
    </row>
    <row r="3852" spans="5:6" x14ac:dyDescent="0.35">
      <c r="E3852">
        <v>3849</v>
      </c>
      <c r="F3852">
        <f t="shared" ca="1" si="62"/>
        <v>1.1913070861244202E-2</v>
      </c>
    </row>
    <row r="3853" spans="5:6" x14ac:dyDescent="0.35">
      <c r="E3853">
        <v>3850</v>
      </c>
      <c r="F3853">
        <f t="shared" ca="1" si="62"/>
        <v>-1.8885186426223048E-3</v>
      </c>
    </row>
    <row r="3854" spans="5:6" x14ac:dyDescent="0.35">
      <c r="E3854">
        <v>3851</v>
      </c>
      <c r="F3854">
        <f t="shared" ca="1" si="62"/>
        <v>-1.6352696911347671E-2</v>
      </c>
    </row>
    <row r="3855" spans="5:6" x14ac:dyDescent="0.35">
      <c r="E3855">
        <v>3852</v>
      </c>
      <c r="F3855">
        <f t="shared" ca="1" si="62"/>
        <v>3.2426723166411521E-2</v>
      </c>
    </row>
    <row r="3856" spans="5:6" x14ac:dyDescent="0.35">
      <c r="E3856">
        <v>3853</v>
      </c>
      <c r="F3856">
        <f t="shared" ca="1" si="62"/>
        <v>-3.1197869365598291E-3</v>
      </c>
    </row>
    <row r="3857" spans="5:6" x14ac:dyDescent="0.35">
      <c r="E3857">
        <v>3854</v>
      </c>
      <c r="F3857">
        <f t="shared" ca="1" si="62"/>
        <v>-1.4154837582888167E-2</v>
      </c>
    </row>
    <row r="3858" spans="5:6" x14ac:dyDescent="0.35">
      <c r="E3858">
        <v>3855</v>
      </c>
      <c r="F3858">
        <f t="shared" ca="1" si="62"/>
        <v>-1.9842902112055336E-3</v>
      </c>
    </row>
    <row r="3859" spans="5:6" x14ac:dyDescent="0.35">
      <c r="E3859">
        <v>3856</v>
      </c>
      <c r="F3859">
        <f t="shared" ca="1" si="62"/>
        <v>2.1949057575450709E-2</v>
      </c>
    </row>
    <row r="3860" spans="5:6" x14ac:dyDescent="0.35">
      <c r="E3860">
        <v>3857</v>
      </c>
      <c r="F3860">
        <f t="shared" ca="1" si="62"/>
        <v>1.5189459779874183E-3</v>
      </c>
    </row>
    <row r="3861" spans="5:6" x14ac:dyDescent="0.35">
      <c r="E3861">
        <v>3858</v>
      </c>
      <c r="F3861">
        <f t="shared" ca="1" si="62"/>
        <v>-8.4591274751641288E-3</v>
      </c>
    </row>
    <row r="3862" spans="5:6" x14ac:dyDescent="0.35">
      <c r="E3862">
        <v>3859</v>
      </c>
      <c r="F3862">
        <f t="shared" ca="1" si="62"/>
        <v>1.401221391054094E-2</v>
      </c>
    </row>
    <row r="3863" spans="5:6" x14ac:dyDescent="0.35">
      <c r="E3863">
        <v>3860</v>
      </c>
      <c r="F3863">
        <f t="shared" ca="1" si="62"/>
        <v>-1.0661445945648804E-2</v>
      </c>
    </row>
    <row r="3864" spans="5:6" x14ac:dyDescent="0.35">
      <c r="E3864">
        <v>3861</v>
      </c>
      <c r="F3864">
        <f t="shared" ca="1" si="62"/>
        <v>-1.1519295697291312E-2</v>
      </c>
    </row>
    <row r="3865" spans="5:6" x14ac:dyDescent="0.35">
      <c r="E3865">
        <v>3862</v>
      </c>
      <c r="F3865">
        <f t="shared" ca="1" si="62"/>
        <v>-7.3525410269093278E-3</v>
      </c>
    </row>
    <row r="3866" spans="5:6" x14ac:dyDescent="0.35">
      <c r="E3866">
        <v>3863</v>
      </c>
      <c r="F3866">
        <f t="shared" ca="1" si="62"/>
        <v>-4.3450622467767156E-3</v>
      </c>
    </row>
    <row r="3867" spans="5:6" x14ac:dyDescent="0.35">
      <c r="E3867">
        <v>3864</v>
      </c>
      <c r="F3867">
        <f t="shared" ca="1" si="62"/>
        <v>3.9580450966861637E-3</v>
      </c>
    </row>
    <row r="3868" spans="5:6" x14ac:dyDescent="0.35">
      <c r="E3868">
        <v>3865</v>
      </c>
      <c r="F3868">
        <f t="shared" ca="1" si="62"/>
        <v>-4.4018825908249412E-3</v>
      </c>
    </row>
    <row r="3869" spans="5:6" x14ac:dyDescent="0.35">
      <c r="E3869">
        <v>3866</v>
      </c>
      <c r="F3869">
        <f t="shared" ca="1" si="62"/>
        <v>-1.3640832112355028E-2</v>
      </c>
    </row>
    <row r="3870" spans="5:6" x14ac:dyDescent="0.35">
      <c r="E3870">
        <v>3867</v>
      </c>
      <c r="F3870">
        <f t="shared" ca="1" si="62"/>
        <v>9.6852791338073972E-3</v>
      </c>
    </row>
    <row r="3871" spans="5:6" x14ac:dyDescent="0.35">
      <c r="E3871">
        <v>3868</v>
      </c>
      <c r="F3871">
        <f t="shared" ca="1" si="62"/>
        <v>-1.7801071408034549E-2</v>
      </c>
    </row>
    <row r="3872" spans="5:6" x14ac:dyDescent="0.35">
      <c r="E3872">
        <v>3869</v>
      </c>
      <c r="F3872">
        <f t="shared" ca="1" si="62"/>
        <v>-3.1529459405597545E-3</v>
      </c>
    </row>
    <row r="3873" spans="5:6" x14ac:dyDescent="0.35">
      <c r="E3873">
        <v>3870</v>
      </c>
      <c r="F3873">
        <f t="shared" ca="1" si="62"/>
        <v>3.3202762016322454E-2</v>
      </c>
    </row>
    <row r="3874" spans="5:6" x14ac:dyDescent="0.35">
      <c r="E3874">
        <v>3871</v>
      </c>
      <c r="F3874">
        <f t="shared" ca="1" si="62"/>
        <v>1.5158700175002102E-2</v>
      </c>
    </row>
    <row r="3875" spans="5:6" x14ac:dyDescent="0.35">
      <c r="E3875">
        <v>3872</v>
      </c>
      <c r="F3875">
        <f t="shared" ca="1" si="62"/>
        <v>-1.6331077105693936E-2</v>
      </c>
    </row>
    <row r="3876" spans="5:6" x14ac:dyDescent="0.35">
      <c r="E3876">
        <v>3873</v>
      </c>
      <c r="F3876">
        <f t="shared" ca="1" si="62"/>
        <v>-1.7406047515114279E-2</v>
      </c>
    </row>
    <row r="3877" spans="5:6" x14ac:dyDescent="0.35">
      <c r="E3877">
        <v>3874</v>
      </c>
      <c r="F3877">
        <f t="shared" ca="1" si="62"/>
        <v>3.6132663832288592E-3</v>
      </c>
    </row>
    <row r="3878" spans="5:6" x14ac:dyDescent="0.35">
      <c r="E3878">
        <v>3875</v>
      </c>
      <c r="F3878">
        <f t="shared" ca="1" si="62"/>
        <v>7.0024653403061672E-3</v>
      </c>
    </row>
    <row r="3879" spans="5:6" x14ac:dyDescent="0.35">
      <c r="E3879">
        <v>3876</v>
      </c>
      <c r="F3879">
        <f t="shared" ca="1" si="62"/>
        <v>-2.6234507295458967E-4</v>
      </c>
    </row>
    <row r="3880" spans="5:6" x14ac:dyDescent="0.35">
      <c r="E3880">
        <v>3877</v>
      </c>
      <c r="F3880">
        <f t="shared" ca="1" si="62"/>
        <v>9.2595280445084329E-3</v>
      </c>
    </row>
    <row r="3881" spans="5:6" x14ac:dyDescent="0.35">
      <c r="E3881">
        <v>3878</v>
      </c>
      <c r="F3881">
        <f t="shared" ca="1" si="62"/>
        <v>2.1624644998128998E-2</v>
      </c>
    </row>
    <row r="3882" spans="5:6" x14ac:dyDescent="0.35">
      <c r="E3882">
        <v>3879</v>
      </c>
      <c r="F3882">
        <f t="shared" ca="1" si="62"/>
        <v>-3.7105174669359569E-3</v>
      </c>
    </row>
    <row r="3883" spans="5:6" x14ac:dyDescent="0.35">
      <c r="E3883">
        <v>3880</v>
      </c>
      <c r="F3883">
        <f t="shared" ca="1" si="62"/>
        <v>2.7893446243592621E-2</v>
      </c>
    </row>
    <row r="3884" spans="5:6" x14ac:dyDescent="0.35">
      <c r="E3884">
        <v>3881</v>
      </c>
      <c r="F3884">
        <f t="shared" ca="1" si="62"/>
        <v>-6.1455826508587282E-3</v>
      </c>
    </row>
    <row r="3885" spans="5:6" x14ac:dyDescent="0.35">
      <c r="E3885">
        <v>3882</v>
      </c>
      <c r="F3885">
        <f t="shared" ca="1" si="62"/>
        <v>3.0688716448567977E-3</v>
      </c>
    </row>
    <row r="3886" spans="5:6" x14ac:dyDescent="0.35">
      <c r="E3886">
        <v>3883</v>
      </c>
      <c r="F3886">
        <f t="shared" ca="1" si="62"/>
        <v>2.0034831476950964E-2</v>
      </c>
    </row>
    <row r="3887" spans="5:6" x14ac:dyDescent="0.35">
      <c r="E3887">
        <v>3884</v>
      </c>
      <c r="F3887">
        <f t="shared" ca="1" si="62"/>
        <v>6.6282646939285726E-3</v>
      </c>
    </row>
    <row r="3888" spans="5:6" x14ac:dyDescent="0.35">
      <c r="E3888">
        <v>3885</v>
      </c>
      <c r="F3888">
        <f t="shared" ca="1" si="62"/>
        <v>-1.2654770615442186E-2</v>
      </c>
    </row>
    <row r="3889" spans="5:6" x14ac:dyDescent="0.35">
      <c r="E3889">
        <v>3886</v>
      </c>
      <c r="F3889">
        <f t="shared" ca="1" si="62"/>
        <v>-3.6370699951288766E-3</v>
      </c>
    </row>
    <row r="3890" spans="5:6" x14ac:dyDescent="0.35">
      <c r="E3890">
        <v>3887</v>
      </c>
      <c r="F3890">
        <f t="shared" ca="1" si="62"/>
        <v>3.9007862857672656E-3</v>
      </c>
    </row>
    <row r="3891" spans="5:6" x14ac:dyDescent="0.35">
      <c r="E3891">
        <v>3888</v>
      </c>
      <c r="F3891">
        <f t="shared" ca="1" si="62"/>
        <v>-1.817297963951256E-2</v>
      </c>
    </row>
    <row r="3892" spans="5:6" x14ac:dyDescent="0.35">
      <c r="E3892">
        <v>3889</v>
      </c>
      <c r="F3892">
        <f t="shared" ca="1" si="62"/>
        <v>2.7819569107791677E-2</v>
      </c>
    </row>
    <row r="3893" spans="5:6" x14ac:dyDescent="0.35">
      <c r="E3893">
        <v>3890</v>
      </c>
      <c r="F3893">
        <f t="shared" ca="1" si="62"/>
        <v>4.3108232557220648E-2</v>
      </c>
    </row>
    <row r="3894" spans="5:6" x14ac:dyDescent="0.35">
      <c r="E3894">
        <v>3891</v>
      </c>
      <c r="F3894">
        <f t="shared" ca="1" si="62"/>
        <v>-1.3584842763691794E-3</v>
      </c>
    </row>
    <row r="3895" spans="5:6" x14ac:dyDescent="0.35">
      <c r="E3895">
        <v>3892</v>
      </c>
      <c r="F3895">
        <f t="shared" ca="1" si="62"/>
        <v>1.4650767504290852E-2</v>
      </c>
    </row>
    <row r="3896" spans="5:6" x14ac:dyDescent="0.35">
      <c r="E3896">
        <v>3893</v>
      </c>
      <c r="F3896">
        <f t="shared" ca="1" si="62"/>
        <v>3.0899628044234631E-3</v>
      </c>
    </row>
    <row r="3897" spans="5:6" x14ac:dyDescent="0.35">
      <c r="E3897">
        <v>3894</v>
      </c>
      <c r="F3897">
        <f t="shared" ca="1" si="62"/>
        <v>1.1179845070810332E-2</v>
      </c>
    </row>
    <row r="3898" spans="5:6" x14ac:dyDescent="0.35">
      <c r="E3898">
        <v>3895</v>
      </c>
      <c r="F3898">
        <f t="shared" ca="1" si="62"/>
        <v>2.794035600500756E-2</v>
      </c>
    </row>
    <row r="3899" spans="5:6" x14ac:dyDescent="0.35">
      <c r="E3899">
        <v>3896</v>
      </c>
      <c r="F3899">
        <f t="shared" ca="1" si="62"/>
        <v>-8.2450091960882196E-3</v>
      </c>
    </row>
    <row r="3900" spans="5:6" x14ac:dyDescent="0.35">
      <c r="E3900">
        <v>3897</v>
      </c>
      <c r="F3900">
        <f t="shared" ca="1" si="62"/>
        <v>-1.0756574402310549E-2</v>
      </c>
    </row>
    <row r="3901" spans="5:6" x14ac:dyDescent="0.35">
      <c r="E3901">
        <v>3898</v>
      </c>
      <c r="F3901">
        <f t="shared" ca="1" si="62"/>
        <v>1.7008876033004602E-2</v>
      </c>
    </row>
    <row r="3902" spans="5:6" x14ac:dyDescent="0.35">
      <c r="E3902">
        <v>3899</v>
      </c>
      <c r="F3902">
        <f t="shared" ca="1" si="62"/>
        <v>-1.8259942995862411E-2</v>
      </c>
    </row>
    <row r="3903" spans="5:6" x14ac:dyDescent="0.35">
      <c r="E3903">
        <v>3900</v>
      </c>
      <c r="F3903">
        <f t="shared" ca="1" si="62"/>
        <v>1.5371047277216845E-2</v>
      </c>
    </row>
    <row r="3904" spans="5:6" x14ac:dyDescent="0.35">
      <c r="E3904">
        <v>3901</v>
      </c>
      <c r="F3904">
        <f t="shared" ca="1" si="62"/>
        <v>-2.0729031843196393E-2</v>
      </c>
    </row>
    <row r="3905" spans="5:6" x14ac:dyDescent="0.35">
      <c r="E3905">
        <v>3902</v>
      </c>
      <c r="F3905">
        <f t="shared" ca="1" si="62"/>
        <v>-2.5293905183054376E-2</v>
      </c>
    </row>
    <row r="3906" spans="5:6" x14ac:dyDescent="0.35">
      <c r="E3906">
        <v>3903</v>
      </c>
      <c r="F3906">
        <f t="shared" ca="1" si="62"/>
        <v>5.8667439336902534E-3</v>
      </c>
    </row>
    <row r="3907" spans="5:6" x14ac:dyDescent="0.35">
      <c r="E3907">
        <v>3904</v>
      </c>
      <c r="F3907">
        <f t="shared" ca="1" si="62"/>
        <v>-2.5644601687757729E-2</v>
      </c>
    </row>
    <row r="3908" spans="5:6" x14ac:dyDescent="0.35">
      <c r="E3908">
        <v>3905</v>
      </c>
      <c r="F3908">
        <f t="shared" ca="1" si="62"/>
        <v>1.9716193836459218E-2</v>
      </c>
    </row>
    <row r="3909" spans="5:6" x14ac:dyDescent="0.35">
      <c r="E3909">
        <v>3906</v>
      </c>
      <c r="F3909">
        <f t="shared" ref="F3909:F3972" ca="1" si="63">_xlfn.NORM.INV(RAND(),M$6,M$7)</f>
        <v>-1.2119226970313281E-2</v>
      </c>
    </row>
    <row r="3910" spans="5:6" x14ac:dyDescent="0.35">
      <c r="E3910">
        <v>3907</v>
      </c>
      <c r="F3910">
        <f t="shared" ca="1" si="63"/>
        <v>2.8881091666826841E-2</v>
      </c>
    </row>
    <row r="3911" spans="5:6" x14ac:dyDescent="0.35">
      <c r="E3911">
        <v>3908</v>
      </c>
      <c r="F3911">
        <f t="shared" ca="1" si="63"/>
        <v>9.1104983198511576E-3</v>
      </c>
    </row>
    <row r="3912" spans="5:6" x14ac:dyDescent="0.35">
      <c r="E3912">
        <v>3909</v>
      </c>
      <c r="F3912">
        <f t="shared" ca="1" si="63"/>
        <v>3.3175700212630346E-2</v>
      </c>
    </row>
    <row r="3913" spans="5:6" x14ac:dyDescent="0.35">
      <c r="E3913">
        <v>3910</v>
      </c>
      <c r="F3913">
        <f t="shared" ca="1" si="63"/>
        <v>1.5043789203170411E-2</v>
      </c>
    </row>
    <row r="3914" spans="5:6" x14ac:dyDescent="0.35">
      <c r="E3914">
        <v>3911</v>
      </c>
      <c r="F3914">
        <f t="shared" ca="1" si="63"/>
        <v>1.1346401944727899E-2</v>
      </c>
    </row>
    <row r="3915" spans="5:6" x14ac:dyDescent="0.35">
      <c r="E3915">
        <v>3912</v>
      </c>
      <c r="F3915">
        <f t="shared" ca="1" si="63"/>
        <v>-2.1526802519206672E-2</v>
      </c>
    </row>
    <row r="3916" spans="5:6" x14ac:dyDescent="0.35">
      <c r="E3916">
        <v>3913</v>
      </c>
      <c r="F3916">
        <f t="shared" ca="1" si="63"/>
        <v>-1.4834039457287689E-2</v>
      </c>
    </row>
    <row r="3917" spans="5:6" x14ac:dyDescent="0.35">
      <c r="E3917">
        <v>3914</v>
      </c>
      <c r="F3917">
        <f t="shared" ca="1" si="63"/>
        <v>1.390172487858825E-2</v>
      </c>
    </row>
    <row r="3918" spans="5:6" x14ac:dyDescent="0.35">
      <c r="E3918">
        <v>3915</v>
      </c>
      <c r="F3918">
        <f t="shared" ca="1" si="63"/>
        <v>7.9239302378963476E-3</v>
      </c>
    </row>
    <row r="3919" spans="5:6" x14ac:dyDescent="0.35">
      <c r="E3919">
        <v>3916</v>
      </c>
      <c r="F3919">
        <f t="shared" ca="1" si="63"/>
        <v>1.8180132249350802E-2</v>
      </c>
    </row>
    <row r="3920" spans="5:6" x14ac:dyDescent="0.35">
      <c r="E3920">
        <v>3917</v>
      </c>
      <c r="F3920">
        <f t="shared" ca="1" si="63"/>
        <v>-1.0381539315422506E-2</v>
      </c>
    </row>
    <row r="3921" spans="5:6" x14ac:dyDescent="0.35">
      <c r="E3921">
        <v>3918</v>
      </c>
      <c r="F3921">
        <f t="shared" ca="1" si="63"/>
        <v>-2.6138079969384838E-2</v>
      </c>
    </row>
    <row r="3922" spans="5:6" x14ac:dyDescent="0.35">
      <c r="E3922">
        <v>3919</v>
      </c>
      <c r="F3922">
        <f t="shared" ca="1" si="63"/>
        <v>3.4657576040726425E-3</v>
      </c>
    </row>
    <row r="3923" spans="5:6" x14ac:dyDescent="0.35">
      <c r="E3923">
        <v>3920</v>
      </c>
      <c r="F3923">
        <f t="shared" ca="1" si="63"/>
        <v>1.1254124898840413E-2</v>
      </c>
    </row>
    <row r="3924" spans="5:6" x14ac:dyDescent="0.35">
      <c r="E3924">
        <v>3921</v>
      </c>
      <c r="F3924">
        <f t="shared" ca="1" si="63"/>
        <v>6.4147578152661516E-3</v>
      </c>
    </row>
    <row r="3925" spans="5:6" x14ac:dyDescent="0.35">
      <c r="E3925">
        <v>3922</v>
      </c>
      <c r="F3925">
        <f t="shared" ca="1" si="63"/>
        <v>3.2691855697858665E-3</v>
      </c>
    </row>
    <row r="3926" spans="5:6" x14ac:dyDescent="0.35">
      <c r="E3926">
        <v>3923</v>
      </c>
      <c r="F3926">
        <f t="shared" ca="1" si="63"/>
        <v>2.1684580692198516E-2</v>
      </c>
    </row>
    <row r="3927" spans="5:6" x14ac:dyDescent="0.35">
      <c r="E3927">
        <v>3924</v>
      </c>
      <c r="F3927">
        <f t="shared" ca="1" si="63"/>
        <v>3.108168119484972E-2</v>
      </c>
    </row>
    <row r="3928" spans="5:6" x14ac:dyDescent="0.35">
      <c r="E3928">
        <v>3925</v>
      </c>
      <c r="F3928">
        <f t="shared" ca="1" si="63"/>
        <v>6.8655124465240519E-4</v>
      </c>
    </row>
    <row r="3929" spans="5:6" x14ac:dyDescent="0.35">
      <c r="E3929">
        <v>3926</v>
      </c>
      <c r="F3929">
        <f t="shared" ca="1" si="63"/>
        <v>3.1120498783904972E-2</v>
      </c>
    </row>
    <row r="3930" spans="5:6" x14ac:dyDescent="0.35">
      <c r="E3930">
        <v>3927</v>
      </c>
      <c r="F3930">
        <f t="shared" ca="1" si="63"/>
        <v>-3.9442802052157789E-3</v>
      </c>
    </row>
    <row r="3931" spans="5:6" x14ac:dyDescent="0.35">
      <c r="E3931">
        <v>3928</v>
      </c>
      <c r="F3931">
        <f t="shared" ca="1" si="63"/>
        <v>1.2637650150694256E-2</v>
      </c>
    </row>
    <row r="3932" spans="5:6" x14ac:dyDescent="0.35">
      <c r="E3932">
        <v>3929</v>
      </c>
      <c r="F3932">
        <f t="shared" ca="1" si="63"/>
        <v>3.2469653114148317E-2</v>
      </c>
    </row>
    <row r="3933" spans="5:6" x14ac:dyDescent="0.35">
      <c r="E3933">
        <v>3930</v>
      </c>
      <c r="F3933">
        <f t="shared" ca="1" si="63"/>
        <v>-1.3043139295432047E-2</v>
      </c>
    </row>
    <row r="3934" spans="5:6" x14ac:dyDescent="0.35">
      <c r="E3934">
        <v>3931</v>
      </c>
      <c r="F3934">
        <f t="shared" ca="1" si="63"/>
        <v>-1.9207056581708366E-2</v>
      </c>
    </row>
    <row r="3935" spans="5:6" x14ac:dyDescent="0.35">
      <c r="E3935">
        <v>3932</v>
      </c>
      <c r="F3935">
        <f t="shared" ca="1" si="63"/>
        <v>3.1650995021105729E-3</v>
      </c>
    </row>
    <row r="3936" spans="5:6" x14ac:dyDescent="0.35">
      <c r="E3936">
        <v>3933</v>
      </c>
      <c r="F3936">
        <f t="shared" ca="1" si="63"/>
        <v>-1.2098511834091714E-3</v>
      </c>
    </row>
    <row r="3937" spans="5:6" x14ac:dyDescent="0.35">
      <c r="E3937">
        <v>3934</v>
      </c>
      <c r="F3937">
        <f t="shared" ca="1" si="63"/>
        <v>-1.2033998005597311E-3</v>
      </c>
    </row>
    <row r="3938" spans="5:6" x14ac:dyDescent="0.35">
      <c r="E3938">
        <v>3935</v>
      </c>
      <c r="F3938">
        <f t="shared" ca="1" si="63"/>
        <v>1.39405075169534E-2</v>
      </c>
    </row>
    <row r="3939" spans="5:6" x14ac:dyDescent="0.35">
      <c r="E3939">
        <v>3936</v>
      </c>
      <c r="F3939">
        <f t="shared" ca="1" si="63"/>
        <v>1.8365219709682731E-2</v>
      </c>
    </row>
    <row r="3940" spans="5:6" x14ac:dyDescent="0.35">
      <c r="E3940">
        <v>3937</v>
      </c>
      <c r="F3940">
        <f t="shared" ca="1" si="63"/>
        <v>-1.2407413837449191E-2</v>
      </c>
    </row>
    <row r="3941" spans="5:6" x14ac:dyDescent="0.35">
      <c r="E3941">
        <v>3938</v>
      </c>
      <c r="F3941">
        <f t="shared" ca="1" si="63"/>
        <v>-3.0100221494319887E-2</v>
      </c>
    </row>
    <row r="3942" spans="5:6" x14ac:dyDescent="0.35">
      <c r="E3942">
        <v>3939</v>
      </c>
      <c r="F3942">
        <f t="shared" ca="1" si="63"/>
        <v>-8.5222050228390845E-3</v>
      </c>
    </row>
    <row r="3943" spans="5:6" x14ac:dyDescent="0.35">
      <c r="E3943">
        <v>3940</v>
      </c>
      <c r="F3943">
        <f t="shared" ca="1" si="63"/>
        <v>1.996024483036209E-2</v>
      </c>
    </row>
    <row r="3944" spans="5:6" x14ac:dyDescent="0.35">
      <c r="E3944">
        <v>3941</v>
      </c>
      <c r="F3944">
        <f t="shared" ca="1" si="63"/>
        <v>3.167353725371861E-2</v>
      </c>
    </row>
    <row r="3945" spans="5:6" x14ac:dyDescent="0.35">
      <c r="E3945">
        <v>3942</v>
      </c>
      <c r="F3945">
        <f t="shared" ca="1" si="63"/>
        <v>7.9810323837173052E-3</v>
      </c>
    </row>
    <row r="3946" spans="5:6" x14ac:dyDescent="0.35">
      <c r="E3946">
        <v>3943</v>
      </c>
      <c r="F3946">
        <f t="shared" ca="1" si="63"/>
        <v>9.1805278281630112E-3</v>
      </c>
    </row>
    <row r="3947" spans="5:6" x14ac:dyDescent="0.35">
      <c r="E3947">
        <v>3944</v>
      </c>
      <c r="F3947">
        <f t="shared" ca="1" si="63"/>
        <v>1.2622793971201643E-3</v>
      </c>
    </row>
    <row r="3948" spans="5:6" x14ac:dyDescent="0.35">
      <c r="E3948">
        <v>3945</v>
      </c>
      <c r="F3948">
        <f t="shared" ca="1" si="63"/>
        <v>4.9754367694885143E-3</v>
      </c>
    </row>
    <row r="3949" spans="5:6" x14ac:dyDescent="0.35">
      <c r="E3949">
        <v>3946</v>
      </c>
      <c r="F3949">
        <f t="shared" ca="1" si="63"/>
        <v>-1.9244973049095525E-2</v>
      </c>
    </row>
    <row r="3950" spans="5:6" x14ac:dyDescent="0.35">
      <c r="E3950">
        <v>3947</v>
      </c>
      <c r="F3950">
        <f t="shared" ca="1" si="63"/>
        <v>5.7864315054397854E-3</v>
      </c>
    </row>
    <row r="3951" spans="5:6" x14ac:dyDescent="0.35">
      <c r="E3951">
        <v>3948</v>
      </c>
      <c r="F3951">
        <f t="shared" ca="1" si="63"/>
        <v>1.7737660579748342E-2</v>
      </c>
    </row>
    <row r="3952" spans="5:6" x14ac:dyDescent="0.35">
      <c r="E3952">
        <v>3949</v>
      </c>
      <c r="F3952">
        <f t="shared" ca="1" si="63"/>
        <v>4.2304486598271846E-3</v>
      </c>
    </row>
    <row r="3953" spans="5:6" x14ac:dyDescent="0.35">
      <c r="E3953">
        <v>3950</v>
      </c>
      <c r="F3953">
        <f t="shared" ca="1" si="63"/>
        <v>-5.6071198562247402E-3</v>
      </c>
    </row>
    <row r="3954" spans="5:6" x14ac:dyDescent="0.35">
      <c r="E3954">
        <v>3951</v>
      </c>
      <c r="F3954">
        <f t="shared" ca="1" si="63"/>
        <v>2.7694318535713961E-4</v>
      </c>
    </row>
    <row r="3955" spans="5:6" x14ac:dyDescent="0.35">
      <c r="E3955">
        <v>3952</v>
      </c>
      <c r="F3955">
        <f t="shared" ca="1" si="63"/>
        <v>1.6297857039676115E-2</v>
      </c>
    </row>
    <row r="3956" spans="5:6" x14ac:dyDescent="0.35">
      <c r="E3956">
        <v>3953</v>
      </c>
      <c r="F3956">
        <f t="shared" ca="1" si="63"/>
        <v>1.3168974199303081E-2</v>
      </c>
    </row>
    <row r="3957" spans="5:6" x14ac:dyDescent="0.35">
      <c r="E3957">
        <v>3954</v>
      </c>
      <c r="F3957">
        <f t="shared" ca="1" si="63"/>
        <v>-1.1216734177430025E-2</v>
      </c>
    </row>
    <row r="3958" spans="5:6" x14ac:dyDescent="0.35">
      <c r="E3958">
        <v>3955</v>
      </c>
      <c r="F3958">
        <f t="shared" ca="1" si="63"/>
        <v>4.1077440704116322E-3</v>
      </c>
    </row>
    <row r="3959" spans="5:6" x14ac:dyDescent="0.35">
      <c r="E3959">
        <v>3956</v>
      </c>
      <c r="F3959">
        <f t="shared" ca="1" si="63"/>
        <v>-2.8373746153369749E-2</v>
      </c>
    </row>
    <row r="3960" spans="5:6" x14ac:dyDescent="0.35">
      <c r="E3960">
        <v>3957</v>
      </c>
      <c r="F3960">
        <f t="shared" ca="1" si="63"/>
        <v>-7.0999463344156464E-4</v>
      </c>
    </row>
    <row r="3961" spans="5:6" x14ac:dyDescent="0.35">
      <c r="E3961">
        <v>3958</v>
      </c>
      <c r="F3961">
        <f t="shared" ca="1" si="63"/>
        <v>-8.1631317038290616E-3</v>
      </c>
    </row>
    <row r="3962" spans="5:6" x14ac:dyDescent="0.35">
      <c r="E3962">
        <v>3959</v>
      </c>
      <c r="F3962">
        <f t="shared" ca="1" si="63"/>
        <v>2.2223974373003684E-2</v>
      </c>
    </row>
    <row r="3963" spans="5:6" x14ac:dyDescent="0.35">
      <c r="E3963">
        <v>3960</v>
      </c>
      <c r="F3963">
        <f t="shared" ca="1" si="63"/>
        <v>-1.8856978908065161E-2</v>
      </c>
    </row>
    <row r="3964" spans="5:6" x14ac:dyDescent="0.35">
      <c r="E3964">
        <v>3961</v>
      </c>
      <c r="F3964">
        <f t="shared" ca="1" si="63"/>
        <v>2.6429931380328085E-2</v>
      </c>
    </row>
    <row r="3965" spans="5:6" x14ac:dyDescent="0.35">
      <c r="E3965">
        <v>3962</v>
      </c>
      <c r="F3965">
        <f t="shared" ca="1" si="63"/>
        <v>5.241375231077621E-3</v>
      </c>
    </row>
    <row r="3966" spans="5:6" x14ac:dyDescent="0.35">
      <c r="E3966">
        <v>3963</v>
      </c>
      <c r="F3966">
        <f t="shared" ca="1" si="63"/>
        <v>-2.6889064963671768E-2</v>
      </c>
    </row>
    <row r="3967" spans="5:6" x14ac:dyDescent="0.35">
      <c r="E3967">
        <v>3964</v>
      </c>
      <c r="F3967">
        <f t="shared" ca="1" si="63"/>
        <v>-2.227480779887224E-2</v>
      </c>
    </row>
    <row r="3968" spans="5:6" x14ac:dyDescent="0.35">
      <c r="E3968">
        <v>3965</v>
      </c>
      <c r="F3968">
        <f t="shared" ca="1" si="63"/>
        <v>-1.1162365592052598E-3</v>
      </c>
    </row>
    <row r="3969" spans="5:6" x14ac:dyDescent="0.35">
      <c r="E3969">
        <v>3966</v>
      </c>
      <c r="F3969">
        <f t="shared" ca="1" si="63"/>
        <v>-1.4816242151246019E-2</v>
      </c>
    </row>
    <row r="3970" spans="5:6" x14ac:dyDescent="0.35">
      <c r="E3970">
        <v>3967</v>
      </c>
      <c r="F3970">
        <f t="shared" ca="1" si="63"/>
        <v>8.0213772565847349E-4</v>
      </c>
    </row>
    <row r="3971" spans="5:6" x14ac:dyDescent="0.35">
      <c r="E3971">
        <v>3968</v>
      </c>
      <c r="F3971">
        <f t="shared" ca="1" si="63"/>
        <v>2.8035715812342581E-2</v>
      </c>
    </row>
    <row r="3972" spans="5:6" x14ac:dyDescent="0.35">
      <c r="E3972">
        <v>3969</v>
      </c>
      <c r="F3972">
        <f t="shared" ca="1" si="63"/>
        <v>4.2679903177757399E-3</v>
      </c>
    </row>
    <row r="3973" spans="5:6" x14ac:dyDescent="0.35">
      <c r="E3973">
        <v>3970</v>
      </c>
      <c r="F3973">
        <f t="shared" ref="F3973:F4036" ca="1" si="64">_xlfn.NORM.INV(RAND(),M$6,M$7)</f>
        <v>5.8589583690374257E-3</v>
      </c>
    </row>
    <row r="3974" spans="5:6" x14ac:dyDescent="0.35">
      <c r="E3974">
        <v>3971</v>
      </c>
      <c r="F3974">
        <f t="shared" ca="1" si="64"/>
        <v>1.1459618372463965E-2</v>
      </c>
    </row>
    <row r="3975" spans="5:6" x14ac:dyDescent="0.35">
      <c r="E3975">
        <v>3972</v>
      </c>
      <c r="F3975">
        <f t="shared" ca="1" si="64"/>
        <v>-3.9754047169179166E-3</v>
      </c>
    </row>
    <row r="3976" spans="5:6" x14ac:dyDescent="0.35">
      <c r="E3976">
        <v>3973</v>
      </c>
      <c r="F3976">
        <f t="shared" ca="1" si="64"/>
        <v>-1.4894666249279676E-2</v>
      </c>
    </row>
    <row r="3977" spans="5:6" x14ac:dyDescent="0.35">
      <c r="E3977">
        <v>3974</v>
      </c>
      <c r="F3977">
        <f t="shared" ca="1" si="64"/>
        <v>1.3524057673178005E-2</v>
      </c>
    </row>
    <row r="3978" spans="5:6" x14ac:dyDescent="0.35">
      <c r="E3978">
        <v>3975</v>
      </c>
      <c r="F3978">
        <f t="shared" ca="1" si="64"/>
        <v>2.251148987193221E-2</v>
      </c>
    </row>
    <row r="3979" spans="5:6" x14ac:dyDescent="0.35">
      <c r="E3979">
        <v>3976</v>
      </c>
      <c r="F3979">
        <f t="shared" ca="1" si="64"/>
        <v>2.5286957822484142E-2</v>
      </c>
    </row>
    <row r="3980" spans="5:6" x14ac:dyDescent="0.35">
      <c r="E3980">
        <v>3977</v>
      </c>
      <c r="F3980">
        <f t="shared" ca="1" si="64"/>
        <v>-1.8077629463438563E-2</v>
      </c>
    </row>
    <row r="3981" spans="5:6" x14ac:dyDescent="0.35">
      <c r="E3981">
        <v>3978</v>
      </c>
      <c r="F3981">
        <f t="shared" ca="1" si="64"/>
        <v>3.1960102432175889E-2</v>
      </c>
    </row>
    <row r="3982" spans="5:6" x14ac:dyDescent="0.35">
      <c r="E3982">
        <v>3979</v>
      </c>
      <c r="F3982">
        <f t="shared" ca="1" si="64"/>
        <v>2.0868984266816146E-2</v>
      </c>
    </row>
    <row r="3983" spans="5:6" x14ac:dyDescent="0.35">
      <c r="E3983">
        <v>3980</v>
      </c>
      <c r="F3983">
        <f t="shared" ca="1" si="64"/>
        <v>-2.1351404297063958E-2</v>
      </c>
    </row>
    <row r="3984" spans="5:6" x14ac:dyDescent="0.35">
      <c r="E3984">
        <v>3981</v>
      </c>
      <c r="F3984">
        <f t="shared" ca="1" si="64"/>
        <v>4.2942747627383237E-3</v>
      </c>
    </row>
    <row r="3985" spans="5:6" x14ac:dyDescent="0.35">
      <c r="E3985">
        <v>3982</v>
      </c>
      <c r="F3985">
        <f t="shared" ca="1" si="64"/>
        <v>4.5847015617971783E-3</v>
      </c>
    </row>
    <row r="3986" spans="5:6" x14ac:dyDescent="0.35">
      <c r="E3986">
        <v>3983</v>
      </c>
      <c r="F3986">
        <f t="shared" ca="1" si="64"/>
        <v>-4.2401897144051272E-3</v>
      </c>
    </row>
    <row r="3987" spans="5:6" x14ac:dyDescent="0.35">
      <c r="E3987">
        <v>3984</v>
      </c>
      <c r="F3987">
        <f t="shared" ca="1" si="64"/>
        <v>-3.8683163608860927E-2</v>
      </c>
    </row>
    <row r="3988" spans="5:6" x14ac:dyDescent="0.35">
      <c r="E3988">
        <v>3985</v>
      </c>
      <c r="F3988">
        <f t="shared" ca="1" si="64"/>
        <v>-2.3695758347848851E-2</v>
      </c>
    </row>
    <row r="3989" spans="5:6" x14ac:dyDescent="0.35">
      <c r="E3989">
        <v>3986</v>
      </c>
      <c r="F3989">
        <f t="shared" ca="1" si="64"/>
        <v>6.8554337945818528E-3</v>
      </c>
    </row>
    <row r="3990" spans="5:6" x14ac:dyDescent="0.35">
      <c r="E3990">
        <v>3987</v>
      </c>
      <c r="F3990">
        <f t="shared" ca="1" si="64"/>
        <v>-1.5324390754155512E-3</v>
      </c>
    </row>
    <row r="3991" spans="5:6" x14ac:dyDescent="0.35">
      <c r="E3991">
        <v>3988</v>
      </c>
      <c r="F3991">
        <f t="shared" ca="1" si="64"/>
        <v>5.5074049776337886E-3</v>
      </c>
    </row>
    <row r="3992" spans="5:6" x14ac:dyDescent="0.35">
      <c r="E3992">
        <v>3989</v>
      </c>
      <c r="F3992">
        <f t="shared" ca="1" si="64"/>
        <v>2.0602503153341705E-2</v>
      </c>
    </row>
    <row r="3993" spans="5:6" x14ac:dyDescent="0.35">
      <c r="E3993">
        <v>3990</v>
      </c>
      <c r="F3993">
        <f t="shared" ca="1" si="64"/>
        <v>6.0542393841201475E-3</v>
      </c>
    </row>
    <row r="3994" spans="5:6" x14ac:dyDescent="0.35">
      <c r="E3994">
        <v>3991</v>
      </c>
      <c r="F3994">
        <f t="shared" ca="1" si="64"/>
        <v>2.1985611721397687E-2</v>
      </c>
    </row>
    <row r="3995" spans="5:6" x14ac:dyDescent="0.35">
      <c r="E3995">
        <v>3992</v>
      </c>
      <c r="F3995">
        <f t="shared" ca="1" si="64"/>
        <v>2.0916697854081009E-2</v>
      </c>
    </row>
    <row r="3996" spans="5:6" x14ac:dyDescent="0.35">
      <c r="E3996">
        <v>3993</v>
      </c>
      <c r="F3996">
        <f t="shared" ca="1" si="64"/>
        <v>-2.1872263359901084E-2</v>
      </c>
    </row>
    <row r="3997" spans="5:6" x14ac:dyDescent="0.35">
      <c r="E3997">
        <v>3994</v>
      </c>
      <c r="F3997">
        <f t="shared" ca="1" si="64"/>
        <v>1.7484866709315074E-2</v>
      </c>
    </row>
    <row r="3998" spans="5:6" x14ac:dyDescent="0.35">
      <c r="E3998">
        <v>3995</v>
      </c>
      <c r="F3998">
        <f t="shared" ca="1" si="64"/>
        <v>5.948316329322783E-3</v>
      </c>
    </row>
    <row r="3999" spans="5:6" x14ac:dyDescent="0.35">
      <c r="E3999">
        <v>3996</v>
      </c>
      <c r="F3999">
        <f t="shared" ca="1" si="64"/>
        <v>-2.0055516898461551E-2</v>
      </c>
    </row>
    <row r="4000" spans="5:6" x14ac:dyDescent="0.35">
      <c r="E4000">
        <v>3997</v>
      </c>
      <c r="F4000">
        <f t="shared" ca="1" si="64"/>
        <v>9.3170362007254596E-3</v>
      </c>
    </row>
    <row r="4001" spans="5:6" x14ac:dyDescent="0.35">
      <c r="E4001">
        <v>3998</v>
      </c>
      <c r="F4001">
        <f t="shared" ca="1" si="64"/>
        <v>5.1186641805750638E-3</v>
      </c>
    </row>
    <row r="4002" spans="5:6" x14ac:dyDescent="0.35">
      <c r="E4002">
        <v>3999</v>
      </c>
      <c r="F4002">
        <f t="shared" ca="1" si="64"/>
        <v>-2.2963891081805407E-3</v>
      </c>
    </row>
    <row r="4003" spans="5:6" x14ac:dyDescent="0.35">
      <c r="E4003">
        <v>4000</v>
      </c>
      <c r="F4003">
        <f t="shared" ca="1" si="64"/>
        <v>-8.1772628071950255E-3</v>
      </c>
    </row>
    <row r="4004" spans="5:6" x14ac:dyDescent="0.35">
      <c r="E4004">
        <v>4001</v>
      </c>
      <c r="F4004">
        <f t="shared" ca="1" si="64"/>
        <v>1.16495884030121E-2</v>
      </c>
    </row>
    <row r="4005" spans="5:6" x14ac:dyDescent="0.35">
      <c r="E4005">
        <v>4002</v>
      </c>
      <c r="F4005">
        <f t="shared" ca="1" si="64"/>
        <v>-1.1444106789701188E-3</v>
      </c>
    </row>
    <row r="4006" spans="5:6" x14ac:dyDescent="0.35">
      <c r="E4006">
        <v>4003</v>
      </c>
      <c r="F4006">
        <f t="shared" ca="1" si="64"/>
        <v>2.619838800276211E-3</v>
      </c>
    </row>
    <row r="4007" spans="5:6" x14ac:dyDescent="0.35">
      <c r="E4007">
        <v>4004</v>
      </c>
      <c r="F4007">
        <f t="shared" ca="1" si="64"/>
        <v>-5.2704211581801165E-3</v>
      </c>
    </row>
    <row r="4008" spans="5:6" x14ac:dyDescent="0.35">
      <c r="E4008">
        <v>4005</v>
      </c>
      <c r="F4008">
        <f t="shared" ca="1" si="64"/>
        <v>7.0415451483007057E-3</v>
      </c>
    </row>
    <row r="4009" spans="5:6" x14ac:dyDescent="0.35">
      <c r="E4009">
        <v>4006</v>
      </c>
      <c r="F4009">
        <f t="shared" ca="1" si="64"/>
        <v>-3.9907732397892843E-3</v>
      </c>
    </row>
    <row r="4010" spans="5:6" x14ac:dyDescent="0.35">
      <c r="E4010">
        <v>4007</v>
      </c>
      <c r="F4010">
        <f t="shared" ca="1" si="64"/>
        <v>-8.1114516879901705E-3</v>
      </c>
    </row>
    <row r="4011" spans="5:6" x14ac:dyDescent="0.35">
      <c r="E4011">
        <v>4008</v>
      </c>
      <c r="F4011">
        <f t="shared" ca="1" si="64"/>
        <v>3.9057538446195484E-3</v>
      </c>
    </row>
    <row r="4012" spans="5:6" x14ac:dyDescent="0.35">
      <c r="E4012">
        <v>4009</v>
      </c>
      <c r="F4012">
        <f t="shared" ca="1" si="64"/>
        <v>-3.7663855996511592E-3</v>
      </c>
    </row>
    <row r="4013" spans="5:6" x14ac:dyDescent="0.35">
      <c r="E4013">
        <v>4010</v>
      </c>
      <c r="F4013">
        <f t="shared" ca="1" si="64"/>
        <v>4.4023688241689551E-4</v>
      </c>
    </row>
    <row r="4014" spans="5:6" x14ac:dyDescent="0.35">
      <c r="E4014">
        <v>4011</v>
      </c>
      <c r="F4014">
        <f t="shared" ca="1" si="64"/>
        <v>4.7513997270337768E-3</v>
      </c>
    </row>
    <row r="4015" spans="5:6" x14ac:dyDescent="0.35">
      <c r="E4015">
        <v>4012</v>
      </c>
      <c r="F4015">
        <f t="shared" ca="1" si="64"/>
        <v>3.5830958178040958E-3</v>
      </c>
    </row>
    <row r="4016" spans="5:6" x14ac:dyDescent="0.35">
      <c r="E4016">
        <v>4013</v>
      </c>
      <c r="F4016">
        <f t="shared" ca="1" si="64"/>
        <v>-7.9153040316549215E-3</v>
      </c>
    </row>
    <row r="4017" spans="5:6" x14ac:dyDescent="0.35">
      <c r="E4017">
        <v>4014</v>
      </c>
      <c r="F4017">
        <f t="shared" ca="1" si="64"/>
        <v>2.9900948345451535E-3</v>
      </c>
    </row>
    <row r="4018" spans="5:6" x14ac:dyDescent="0.35">
      <c r="E4018">
        <v>4015</v>
      </c>
      <c r="F4018">
        <f t="shared" ca="1" si="64"/>
        <v>7.0751482895884564E-3</v>
      </c>
    </row>
    <row r="4019" spans="5:6" x14ac:dyDescent="0.35">
      <c r="E4019">
        <v>4016</v>
      </c>
      <c r="F4019">
        <f t="shared" ca="1" si="64"/>
        <v>3.159207664164403E-3</v>
      </c>
    </row>
    <row r="4020" spans="5:6" x14ac:dyDescent="0.35">
      <c r="E4020">
        <v>4017</v>
      </c>
      <c r="F4020">
        <f t="shared" ca="1" si="64"/>
        <v>6.0312401467468727E-3</v>
      </c>
    </row>
    <row r="4021" spans="5:6" x14ac:dyDescent="0.35">
      <c r="E4021">
        <v>4018</v>
      </c>
      <c r="F4021">
        <f t="shared" ca="1" si="64"/>
        <v>2.4981405812234733E-2</v>
      </c>
    </row>
    <row r="4022" spans="5:6" x14ac:dyDescent="0.35">
      <c r="E4022">
        <v>4019</v>
      </c>
      <c r="F4022">
        <f t="shared" ca="1" si="64"/>
        <v>1.9118003376703576E-2</v>
      </c>
    </row>
    <row r="4023" spans="5:6" x14ac:dyDescent="0.35">
      <c r="E4023">
        <v>4020</v>
      </c>
      <c r="F4023">
        <f t="shared" ca="1" si="64"/>
        <v>-5.3275624417853098E-3</v>
      </c>
    </row>
    <row r="4024" spans="5:6" x14ac:dyDescent="0.35">
      <c r="E4024">
        <v>4021</v>
      </c>
      <c r="F4024">
        <f t="shared" ca="1" si="64"/>
        <v>-1.1152240820093574E-2</v>
      </c>
    </row>
    <row r="4025" spans="5:6" x14ac:dyDescent="0.35">
      <c r="E4025">
        <v>4022</v>
      </c>
      <c r="F4025">
        <f t="shared" ca="1" si="64"/>
        <v>1.2352867930461382E-2</v>
      </c>
    </row>
    <row r="4026" spans="5:6" x14ac:dyDescent="0.35">
      <c r="E4026">
        <v>4023</v>
      </c>
      <c r="F4026">
        <f t="shared" ca="1" si="64"/>
        <v>3.28015698126141E-3</v>
      </c>
    </row>
    <row r="4027" spans="5:6" x14ac:dyDescent="0.35">
      <c r="E4027">
        <v>4024</v>
      </c>
      <c r="F4027">
        <f t="shared" ca="1" si="64"/>
        <v>-1.8709122404723149E-2</v>
      </c>
    </row>
    <row r="4028" spans="5:6" x14ac:dyDescent="0.35">
      <c r="E4028">
        <v>4025</v>
      </c>
      <c r="F4028">
        <f t="shared" ca="1" si="64"/>
        <v>6.9776266033284243E-3</v>
      </c>
    </row>
    <row r="4029" spans="5:6" x14ac:dyDescent="0.35">
      <c r="E4029">
        <v>4026</v>
      </c>
      <c r="F4029">
        <f t="shared" ca="1" si="64"/>
        <v>8.5443734950790828E-3</v>
      </c>
    </row>
    <row r="4030" spans="5:6" x14ac:dyDescent="0.35">
      <c r="E4030">
        <v>4027</v>
      </c>
      <c r="F4030">
        <f t="shared" ca="1" si="64"/>
        <v>3.6541652727242073E-2</v>
      </c>
    </row>
    <row r="4031" spans="5:6" x14ac:dyDescent="0.35">
      <c r="E4031">
        <v>4028</v>
      </c>
      <c r="F4031">
        <f t="shared" ca="1" si="64"/>
        <v>-2.3229204281663179E-2</v>
      </c>
    </row>
    <row r="4032" spans="5:6" x14ac:dyDescent="0.35">
      <c r="E4032">
        <v>4029</v>
      </c>
      <c r="F4032">
        <f t="shared" ca="1" si="64"/>
        <v>7.7133594412097896E-3</v>
      </c>
    </row>
    <row r="4033" spans="5:6" x14ac:dyDescent="0.35">
      <c r="E4033">
        <v>4030</v>
      </c>
      <c r="F4033">
        <f t="shared" ca="1" si="64"/>
        <v>-7.6910140261654721E-3</v>
      </c>
    </row>
    <row r="4034" spans="5:6" x14ac:dyDescent="0.35">
      <c r="E4034">
        <v>4031</v>
      </c>
      <c r="F4034">
        <f t="shared" ca="1" si="64"/>
        <v>-1.0181057924264283E-2</v>
      </c>
    </row>
    <row r="4035" spans="5:6" x14ac:dyDescent="0.35">
      <c r="E4035">
        <v>4032</v>
      </c>
      <c r="F4035">
        <f t="shared" ca="1" si="64"/>
        <v>-2.8709757017815439E-3</v>
      </c>
    </row>
    <row r="4036" spans="5:6" x14ac:dyDescent="0.35">
      <c r="E4036">
        <v>4033</v>
      </c>
      <c r="F4036">
        <f t="shared" ca="1" si="64"/>
        <v>-3.3451423455992044E-2</v>
      </c>
    </row>
    <row r="4037" spans="5:6" x14ac:dyDescent="0.35">
      <c r="E4037">
        <v>4034</v>
      </c>
      <c r="F4037">
        <f t="shared" ref="F4037:F4100" ca="1" si="65">_xlfn.NORM.INV(RAND(),M$6,M$7)</f>
        <v>-1.0996311145923504E-2</v>
      </c>
    </row>
    <row r="4038" spans="5:6" x14ac:dyDescent="0.35">
      <c r="E4038">
        <v>4035</v>
      </c>
      <c r="F4038">
        <f t="shared" ca="1" si="65"/>
        <v>-5.5240693889011504E-3</v>
      </c>
    </row>
    <row r="4039" spans="5:6" x14ac:dyDescent="0.35">
      <c r="E4039">
        <v>4036</v>
      </c>
      <c r="F4039">
        <f t="shared" ca="1" si="65"/>
        <v>-1.9242349761956112E-2</v>
      </c>
    </row>
    <row r="4040" spans="5:6" x14ac:dyDescent="0.35">
      <c r="E4040">
        <v>4037</v>
      </c>
      <c r="F4040">
        <f t="shared" ca="1" si="65"/>
        <v>-5.1822760148774729E-3</v>
      </c>
    </row>
    <row r="4041" spans="5:6" x14ac:dyDescent="0.35">
      <c r="E4041">
        <v>4038</v>
      </c>
      <c r="F4041">
        <f t="shared" ca="1" si="65"/>
        <v>-1.9047322482810051E-2</v>
      </c>
    </row>
    <row r="4042" spans="5:6" x14ac:dyDescent="0.35">
      <c r="E4042">
        <v>4039</v>
      </c>
      <c r="F4042">
        <f t="shared" ca="1" si="65"/>
        <v>8.9071741369976132E-3</v>
      </c>
    </row>
    <row r="4043" spans="5:6" x14ac:dyDescent="0.35">
      <c r="E4043">
        <v>4040</v>
      </c>
      <c r="F4043">
        <f t="shared" ca="1" si="65"/>
        <v>-1.5635133855234018E-2</v>
      </c>
    </row>
    <row r="4044" spans="5:6" x14ac:dyDescent="0.35">
      <c r="E4044">
        <v>4041</v>
      </c>
      <c r="F4044">
        <f t="shared" ca="1" si="65"/>
        <v>-1.5208033424659793E-2</v>
      </c>
    </row>
    <row r="4045" spans="5:6" x14ac:dyDescent="0.35">
      <c r="E4045">
        <v>4042</v>
      </c>
      <c r="F4045">
        <f t="shared" ca="1" si="65"/>
        <v>-1.5211511575876063E-2</v>
      </c>
    </row>
    <row r="4046" spans="5:6" x14ac:dyDescent="0.35">
      <c r="E4046">
        <v>4043</v>
      </c>
      <c r="F4046">
        <f t="shared" ca="1" si="65"/>
        <v>1.4683352713382773E-2</v>
      </c>
    </row>
    <row r="4047" spans="5:6" x14ac:dyDescent="0.35">
      <c r="E4047">
        <v>4044</v>
      </c>
      <c r="F4047">
        <f t="shared" ca="1" si="65"/>
        <v>7.7341752023202936E-3</v>
      </c>
    </row>
    <row r="4048" spans="5:6" x14ac:dyDescent="0.35">
      <c r="E4048">
        <v>4045</v>
      </c>
      <c r="F4048">
        <f t="shared" ca="1" si="65"/>
        <v>-1.9517682211797082E-3</v>
      </c>
    </row>
    <row r="4049" spans="5:6" x14ac:dyDescent="0.35">
      <c r="E4049">
        <v>4046</v>
      </c>
      <c r="F4049">
        <f t="shared" ca="1" si="65"/>
        <v>-1.1922908578757367E-3</v>
      </c>
    </row>
    <row r="4050" spans="5:6" x14ac:dyDescent="0.35">
      <c r="E4050">
        <v>4047</v>
      </c>
      <c r="F4050">
        <f t="shared" ca="1" si="65"/>
        <v>-1.476326168604776E-2</v>
      </c>
    </row>
    <row r="4051" spans="5:6" x14ac:dyDescent="0.35">
      <c r="E4051">
        <v>4048</v>
      </c>
      <c r="F4051">
        <f t="shared" ca="1" si="65"/>
        <v>3.1682973055478084E-3</v>
      </c>
    </row>
    <row r="4052" spans="5:6" x14ac:dyDescent="0.35">
      <c r="E4052">
        <v>4049</v>
      </c>
      <c r="F4052">
        <f t="shared" ca="1" si="65"/>
        <v>1.4100850722778816E-2</v>
      </c>
    </row>
    <row r="4053" spans="5:6" x14ac:dyDescent="0.35">
      <c r="E4053">
        <v>4050</v>
      </c>
      <c r="F4053">
        <f t="shared" ca="1" si="65"/>
        <v>1.1379390021515239E-2</v>
      </c>
    </row>
    <row r="4054" spans="5:6" x14ac:dyDescent="0.35">
      <c r="E4054">
        <v>4051</v>
      </c>
      <c r="F4054">
        <f t="shared" ca="1" si="65"/>
        <v>-1.190047756178993E-2</v>
      </c>
    </row>
    <row r="4055" spans="5:6" x14ac:dyDescent="0.35">
      <c r="E4055">
        <v>4052</v>
      </c>
      <c r="F4055">
        <f t="shared" ca="1" si="65"/>
        <v>-1.0917434949893227E-2</v>
      </c>
    </row>
    <row r="4056" spans="5:6" x14ac:dyDescent="0.35">
      <c r="E4056">
        <v>4053</v>
      </c>
      <c r="F4056">
        <f t="shared" ca="1" si="65"/>
        <v>-6.2081192232457949E-3</v>
      </c>
    </row>
    <row r="4057" spans="5:6" x14ac:dyDescent="0.35">
      <c r="E4057">
        <v>4054</v>
      </c>
      <c r="F4057">
        <f t="shared" ca="1" si="65"/>
        <v>-3.8083814610105054E-3</v>
      </c>
    </row>
    <row r="4058" spans="5:6" x14ac:dyDescent="0.35">
      <c r="E4058">
        <v>4055</v>
      </c>
      <c r="F4058">
        <f t="shared" ca="1" si="65"/>
        <v>-8.0678059093051997E-3</v>
      </c>
    </row>
    <row r="4059" spans="5:6" x14ac:dyDescent="0.35">
      <c r="E4059">
        <v>4056</v>
      </c>
      <c r="F4059">
        <f t="shared" ca="1" si="65"/>
        <v>-1.1068802071731703E-2</v>
      </c>
    </row>
    <row r="4060" spans="5:6" x14ac:dyDescent="0.35">
      <c r="E4060">
        <v>4057</v>
      </c>
      <c r="F4060">
        <f t="shared" ca="1" si="65"/>
        <v>2.1710456596417071E-3</v>
      </c>
    </row>
    <row r="4061" spans="5:6" x14ac:dyDescent="0.35">
      <c r="E4061">
        <v>4058</v>
      </c>
      <c r="F4061">
        <f t="shared" ca="1" si="65"/>
        <v>-3.2309358034291469E-2</v>
      </c>
    </row>
    <row r="4062" spans="5:6" x14ac:dyDescent="0.35">
      <c r="E4062">
        <v>4059</v>
      </c>
      <c r="F4062">
        <f t="shared" ca="1" si="65"/>
        <v>2.1264247129146584E-4</v>
      </c>
    </row>
    <row r="4063" spans="5:6" x14ac:dyDescent="0.35">
      <c r="E4063">
        <v>4060</v>
      </c>
      <c r="F4063">
        <f t="shared" ca="1" si="65"/>
        <v>-1.9182595137448123E-2</v>
      </c>
    </row>
    <row r="4064" spans="5:6" x14ac:dyDescent="0.35">
      <c r="E4064">
        <v>4061</v>
      </c>
      <c r="F4064">
        <f t="shared" ca="1" si="65"/>
        <v>-1.1595192206572443E-3</v>
      </c>
    </row>
    <row r="4065" spans="5:6" x14ac:dyDescent="0.35">
      <c r="E4065">
        <v>4062</v>
      </c>
      <c r="F4065">
        <f t="shared" ca="1" si="65"/>
        <v>-2.2818539303959311E-2</v>
      </c>
    </row>
    <row r="4066" spans="5:6" x14ac:dyDescent="0.35">
      <c r="E4066">
        <v>4063</v>
      </c>
      <c r="F4066">
        <f t="shared" ca="1" si="65"/>
        <v>1.276381557585698E-2</v>
      </c>
    </row>
    <row r="4067" spans="5:6" x14ac:dyDescent="0.35">
      <c r="E4067">
        <v>4064</v>
      </c>
      <c r="F4067">
        <f t="shared" ca="1" si="65"/>
        <v>1.7043323080847474E-2</v>
      </c>
    </row>
    <row r="4068" spans="5:6" x14ac:dyDescent="0.35">
      <c r="E4068">
        <v>4065</v>
      </c>
      <c r="F4068">
        <f t="shared" ca="1" si="65"/>
        <v>1.2532784925839077E-2</v>
      </c>
    </row>
    <row r="4069" spans="5:6" x14ac:dyDescent="0.35">
      <c r="E4069">
        <v>4066</v>
      </c>
      <c r="F4069">
        <f t="shared" ca="1" si="65"/>
        <v>-3.6193904192829911E-2</v>
      </c>
    </row>
    <row r="4070" spans="5:6" x14ac:dyDescent="0.35">
      <c r="E4070">
        <v>4067</v>
      </c>
      <c r="F4070">
        <f t="shared" ca="1" si="65"/>
        <v>1.0173652715888878E-3</v>
      </c>
    </row>
    <row r="4071" spans="5:6" x14ac:dyDescent="0.35">
      <c r="E4071">
        <v>4068</v>
      </c>
      <c r="F4071">
        <f t="shared" ca="1" si="65"/>
        <v>2.1794427900357658E-2</v>
      </c>
    </row>
    <row r="4072" spans="5:6" x14ac:dyDescent="0.35">
      <c r="E4072">
        <v>4069</v>
      </c>
      <c r="F4072">
        <f t="shared" ca="1" si="65"/>
        <v>3.5172876528370531E-3</v>
      </c>
    </row>
    <row r="4073" spans="5:6" x14ac:dyDescent="0.35">
      <c r="E4073">
        <v>4070</v>
      </c>
      <c r="F4073">
        <f t="shared" ca="1" si="65"/>
        <v>7.9951643688795301E-3</v>
      </c>
    </row>
    <row r="4074" spans="5:6" x14ac:dyDescent="0.35">
      <c r="E4074">
        <v>4071</v>
      </c>
      <c r="F4074">
        <f t="shared" ca="1" si="65"/>
        <v>5.6286835564083957E-3</v>
      </c>
    </row>
    <row r="4075" spans="5:6" x14ac:dyDescent="0.35">
      <c r="E4075">
        <v>4072</v>
      </c>
      <c r="F4075">
        <f t="shared" ca="1" si="65"/>
        <v>2.7509758397910079E-2</v>
      </c>
    </row>
    <row r="4076" spans="5:6" x14ac:dyDescent="0.35">
      <c r="E4076">
        <v>4073</v>
      </c>
      <c r="F4076">
        <f t="shared" ca="1" si="65"/>
        <v>5.6935056708100236E-3</v>
      </c>
    </row>
    <row r="4077" spans="5:6" x14ac:dyDescent="0.35">
      <c r="E4077">
        <v>4074</v>
      </c>
      <c r="F4077">
        <f t="shared" ca="1" si="65"/>
        <v>-2.7059753447844316E-2</v>
      </c>
    </row>
    <row r="4078" spans="5:6" x14ac:dyDescent="0.35">
      <c r="E4078">
        <v>4075</v>
      </c>
      <c r="F4078">
        <f t="shared" ca="1" si="65"/>
        <v>7.6699752784165328E-3</v>
      </c>
    </row>
    <row r="4079" spans="5:6" x14ac:dyDescent="0.35">
      <c r="E4079">
        <v>4076</v>
      </c>
      <c r="F4079">
        <f t="shared" ca="1" si="65"/>
        <v>3.087692379154649E-3</v>
      </c>
    </row>
    <row r="4080" spans="5:6" x14ac:dyDescent="0.35">
      <c r="E4080">
        <v>4077</v>
      </c>
      <c r="F4080">
        <f t="shared" ca="1" si="65"/>
        <v>-3.7310563441882187E-3</v>
      </c>
    </row>
    <row r="4081" spans="5:6" x14ac:dyDescent="0.35">
      <c r="E4081">
        <v>4078</v>
      </c>
      <c r="F4081">
        <f t="shared" ca="1" si="65"/>
        <v>1.1940627922668109E-2</v>
      </c>
    </row>
    <row r="4082" spans="5:6" x14ac:dyDescent="0.35">
      <c r="E4082">
        <v>4079</v>
      </c>
      <c r="F4082">
        <f t="shared" ca="1" si="65"/>
        <v>-9.5679087805416747E-3</v>
      </c>
    </row>
    <row r="4083" spans="5:6" x14ac:dyDescent="0.35">
      <c r="E4083">
        <v>4080</v>
      </c>
      <c r="F4083">
        <f t="shared" ca="1" si="65"/>
        <v>-4.9938075211848846E-3</v>
      </c>
    </row>
    <row r="4084" spans="5:6" x14ac:dyDescent="0.35">
      <c r="E4084">
        <v>4081</v>
      </c>
      <c r="F4084">
        <f t="shared" ca="1" si="65"/>
        <v>-1.0861500834412412E-2</v>
      </c>
    </row>
    <row r="4085" spans="5:6" x14ac:dyDescent="0.35">
      <c r="E4085">
        <v>4082</v>
      </c>
      <c r="F4085">
        <f t="shared" ca="1" si="65"/>
        <v>1.1371155654388215E-2</v>
      </c>
    </row>
    <row r="4086" spans="5:6" x14ac:dyDescent="0.35">
      <c r="E4086">
        <v>4083</v>
      </c>
      <c r="F4086">
        <f t="shared" ca="1" si="65"/>
        <v>-4.3840944780029548E-2</v>
      </c>
    </row>
    <row r="4087" spans="5:6" x14ac:dyDescent="0.35">
      <c r="E4087">
        <v>4084</v>
      </c>
      <c r="F4087">
        <f t="shared" ca="1" si="65"/>
        <v>-5.4415387941155746E-3</v>
      </c>
    </row>
    <row r="4088" spans="5:6" x14ac:dyDescent="0.35">
      <c r="E4088">
        <v>4085</v>
      </c>
      <c r="F4088">
        <f t="shared" ca="1" si="65"/>
        <v>-6.9147888135975997E-3</v>
      </c>
    </row>
    <row r="4089" spans="5:6" x14ac:dyDescent="0.35">
      <c r="E4089">
        <v>4086</v>
      </c>
      <c r="F4089">
        <f t="shared" ca="1" si="65"/>
        <v>-1.2361387847768227E-2</v>
      </c>
    </row>
    <row r="4090" spans="5:6" x14ac:dyDescent="0.35">
      <c r="E4090">
        <v>4087</v>
      </c>
      <c r="F4090">
        <f t="shared" ca="1" si="65"/>
        <v>2.8752573957694889E-2</v>
      </c>
    </row>
    <row r="4091" spans="5:6" x14ac:dyDescent="0.35">
      <c r="E4091">
        <v>4088</v>
      </c>
      <c r="F4091">
        <f t="shared" ca="1" si="65"/>
        <v>-8.1164980564131066E-3</v>
      </c>
    </row>
    <row r="4092" spans="5:6" x14ac:dyDescent="0.35">
      <c r="E4092">
        <v>4089</v>
      </c>
      <c r="F4092">
        <f t="shared" ca="1" si="65"/>
        <v>-2.4008727330770391E-2</v>
      </c>
    </row>
    <row r="4093" spans="5:6" x14ac:dyDescent="0.35">
      <c r="E4093">
        <v>4090</v>
      </c>
      <c r="F4093">
        <f t="shared" ca="1" si="65"/>
        <v>5.6938129412190718E-3</v>
      </c>
    </row>
    <row r="4094" spans="5:6" x14ac:dyDescent="0.35">
      <c r="E4094">
        <v>4091</v>
      </c>
      <c r="F4094">
        <f t="shared" ca="1" si="65"/>
        <v>1.9418731963364921E-2</v>
      </c>
    </row>
    <row r="4095" spans="5:6" x14ac:dyDescent="0.35">
      <c r="E4095">
        <v>4092</v>
      </c>
      <c r="F4095">
        <f t="shared" ca="1" si="65"/>
        <v>-1.9587506868016132E-2</v>
      </c>
    </row>
    <row r="4096" spans="5:6" x14ac:dyDescent="0.35">
      <c r="E4096">
        <v>4093</v>
      </c>
      <c r="F4096">
        <f t="shared" ca="1" si="65"/>
        <v>4.8939654536790415E-3</v>
      </c>
    </row>
    <row r="4097" spans="5:6" x14ac:dyDescent="0.35">
      <c r="E4097">
        <v>4094</v>
      </c>
      <c r="F4097">
        <f t="shared" ca="1" si="65"/>
        <v>3.5869342797721533E-3</v>
      </c>
    </row>
    <row r="4098" spans="5:6" x14ac:dyDescent="0.35">
      <c r="E4098">
        <v>4095</v>
      </c>
      <c r="F4098">
        <f t="shared" ca="1" si="65"/>
        <v>-1.0921991586005058E-2</v>
      </c>
    </row>
    <row r="4099" spans="5:6" x14ac:dyDescent="0.35">
      <c r="E4099">
        <v>4096</v>
      </c>
      <c r="F4099">
        <f t="shared" ca="1" si="65"/>
        <v>-1.6530975343945417E-3</v>
      </c>
    </row>
    <row r="4100" spans="5:6" x14ac:dyDescent="0.35">
      <c r="E4100">
        <v>4097</v>
      </c>
      <c r="F4100">
        <f t="shared" ca="1" si="65"/>
        <v>-1.6157096315709434E-3</v>
      </c>
    </row>
    <row r="4101" spans="5:6" x14ac:dyDescent="0.35">
      <c r="E4101">
        <v>4098</v>
      </c>
      <c r="F4101">
        <f t="shared" ref="F4101:F4164" ca="1" si="66">_xlfn.NORM.INV(RAND(),M$6,M$7)</f>
        <v>3.3676264584421036E-3</v>
      </c>
    </row>
    <row r="4102" spans="5:6" x14ac:dyDescent="0.35">
      <c r="E4102">
        <v>4099</v>
      </c>
      <c r="F4102">
        <f t="shared" ca="1" si="66"/>
        <v>-1.5258028848291017E-2</v>
      </c>
    </row>
    <row r="4103" spans="5:6" x14ac:dyDescent="0.35">
      <c r="E4103">
        <v>4100</v>
      </c>
      <c r="F4103">
        <f t="shared" ca="1" si="66"/>
        <v>-1.8376832975985822E-3</v>
      </c>
    </row>
    <row r="4104" spans="5:6" x14ac:dyDescent="0.35">
      <c r="E4104">
        <v>4101</v>
      </c>
      <c r="F4104">
        <f t="shared" ca="1" si="66"/>
        <v>1.2289717010537627E-2</v>
      </c>
    </row>
    <row r="4105" spans="5:6" x14ac:dyDescent="0.35">
      <c r="E4105">
        <v>4102</v>
      </c>
      <c r="F4105">
        <f t="shared" ca="1" si="66"/>
        <v>-4.6425473403166146E-3</v>
      </c>
    </row>
    <row r="4106" spans="5:6" x14ac:dyDescent="0.35">
      <c r="E4106">
        <v>4103</v>
      </c>
      <c r="F4106">
        <f t="shared" ca="1" si="66"/>
        <v>1.0199202590507895E-2</v>
      </c>
    </row>
    <row r="4107" spans="5:6" x14ac:dyDescent="0.35">
      <c r="E4107">
        <v>4104</v>
      </c>
      <c r="F4107">
        <f t="shared" ca="1" si="66"/>
        <v>3.4108470751978309E-3</v>
      </c>
    </row>
    <row r="4108" spans="5:6" x14ac:dyDescent="0.35">
      <c r="E4108">
        <v>4105</v>
      </c>
      <c r="F4108">
        <f t="shared" ca="1" si="66"/>
        <v>-1.3368434994191459E-2</v>
      </c>
    </row>
    <row r="4109" spans="5:6" x14ac:dyDescent="0.35">
      <c r="E4109">
        <v>4106</v>
      </c>
      <c r="F4109">
        <f t="shared" ca="1" si="66"/>
        <v>3.7283420784139654E-2</v>
      </c>
    </row>
    <row r="4110" spans="5:6" x14ac:dyDescent="0.35">
      <c r="E4110">
        <v>4107</v>
      </c>
      <c r="F4110">
        <f t="shared" ca="1" si="66"/>
        <v>-4.3916889837204015E-3</v>
      </c>
    </row>
    <row r="4111" spans="5:6" x14ac:dyDescent="0.35">
      <c r="E4111">
        <v>4108</v>
      </c>
      <c r="F4111">
        <f t="shared" ca="1" si="66"/>
        <v>4.8663793192983713E-3</v>
      </c>
    </row>
    <row r="4112" spans="5:6" x14ac:dyDescent="0.35">
      <c r="E4112">
        <v>4109</v>
      </c>
      <c r="F4112">
        <f t="shared" ca="1" si="66"/>
        <v>-5.1583867750562692E-3</v>
      </c>
    </row>
    <row r="4113" spans="5:6" x14ac:dyDescent="0.35">
      <c r="E4113">
        <v>4110</v>
      </c>
      <c r="F4113">
        <f t="shared" ca="1" si="66"/>
        <v>1.7907530022317542E-2</v>
      </c>
    </row>
    <row r="4114" spans="5:6" x14ac:dyDescent="0.35">
      <c r="E4114">
        <v>4111</v>
      </c>
      <c r="F4114">
        <f t="shared" ca="1" si="66"/>
        <v>-4.2409784621615836E-3</v>
      </c>
    </row>
    <row r="4115" spans="5:6" x14ac:dyDescent="0.35">
      <c r="E4115">
        <v>4112</v>
      </c>
      <c r="F4115">
        <f t="shared" ca="1" si="66"/>
        <v>-1.4381010148251201E-3</v>
      </c>
    </row>
    <row r="4116" spans="5:6" x14ac:dyDescent="0.35">
      <c r="E4116">
        <v>4113</v>
      </c>
      <c r="F4116">
        <f t="shared" ca="1" si="66"/>
        <v>-8.6072082648795279E-3</v>
      </c>
    </row>
    <row r="4117" spans="5:6" x14ac:dyDescent="0.35">
      <c r="E4117">
        <v>4114</v>
      </c>
      <c r="F4117">
        <f t="shared" ca="1" si="66"/>
        <v>-5.7905184555145052E-3</v>
      </c>
    </row>
    <row r="4118" spans="5:6" x14ac:dyDescent="0.35">
      <c r="E4118">
        <v>4115</v>
      </c>
      <c r="F4118">
        <f t="shared" ca="1" si="66"/>
        <v>-3.0846258163792079E-2</v>
      </c>
    </row>
    <row r="4119" spans="5:6" x14ac:dyDescent="0.35">
      <c r="E4119">
        <v>4116</v>
      </c>
      <c r="F4119">
        <f t="shared" ca="1" si="66"/>
        <v>1.056210487230189E-2</v>
      </c>
    </row>
    <row r="4120" spans="5:6" x14ac:dyDescent="0.35">
      <c r="E4120">
        <v>4117</v>
      </c>
      <c r="F4120">
        <f t="shared" ca="1" si="66"/>
        <v>-4.787820980263183E-3</v>
      </c>
    </row>
    <row r="4121" spans="5:6" x14ac:dyDescent="0.35">
      <c r="E4121">
        <v>4118</v>
      </c>
      <c r="F4121">
        <f t="shared" ca="1" si="66"/>
        <v>-2.3538167643909091E-2</v>
      </c>
    </row>
    <row r="4122" spans="5:6" x14ac:dyDescent="0.35">
      <c r="E4122">
        <v>4119</v>
      </c>
      <c r="F4122">
        <f t="shared" ca="1" si="66"/>
        <v>-1.8942336040184683E-2</v>
      </c>
    </row>
    <row r="4123" spans="5:6" x14ac:dyDescent="0.35">
      <c r="E4123">
        <v>4120</v>
      </c>
      <c r="F4123">
        <f t="shared" ca="1" si="66"/>
        <v>-1.4247424789865733E-2</v>
      </c>
    </row>
    <row r="4124" spans="5:6" x14ac:dyDescent="0.35">
      <c r="E4124">
        <v>4121</v>
      </c>
      <c r="F4124">
        <f t="shared" ca="1" si="66"/>
        <v>9.2984676491758619E-3</v>
      </c>
    </row>
    <row r="4125" spans="5:6" x14ac:dyDescent="0.35">
      <c r="E4125">
        <v>4122</v>
      </c>
      <c r="F4125">
        <f t="shared" ca="1" si="66"/>
        <v>7.9106377226018684E-4</v>
      </c>
    </row>
    <row r="4126" spans="5:6" x14ac:dyDescent="0.35">
      <c r="E4126">
        <v>4123</v>
      </c>
      <c r="F4126">
        <f t="shared" ca="1" si="66"/>
        <v>1.0766184071441648E-2</v>
      </c>
    </row>
    <row r="4127" spans="5:6" x14ac:dyDescent="0.35">
      <c r="E4127">
        <v>4124</v>
      </c>
      <c r="F4127">
        <f t="shared" ca="1" si="66"/>
        <v>2.147167132559407E-2</v>
      </c>
    </row>
    <row r="4128" spans="5:6" x14ac:dyDescent="0.35">
      <c r="E4128">
        <v>4125</v>
      </c>
      <c r="F4128">
        <f t="shared" ca="1" si="66"/>
        <v>2.5432451685504132E-3</v>
      </c>
    </row>
    <row r="4129" spans="5:6" x14ac:dyDescent="0.35">
      <c r="E4129">
        <v>4126</v>
      </c>
      <c r="F4129">
        <f t="shared" ca="1" si="66"/>
        <v>-1.0885776289228514E-3</v>
      </c>
    </row>
    <row r="4130" spans="5:6" x14ac:dyDescent="0.35">
      <c r="E4130">
        <v>4127</v>
      </c>
      <c r="F4130">
        <f t="shared" ca="1" si="66"/>
        <v>-3.0674490814361945E-2</v>
      </c>
    </row>
    <row r="4131" spans="5:6" x14ac:dyDescent="0.35">
      <c r="E4131">
        <v>4128</v>
      </c>
      <c r="F4131">
        <f t="shared" ca="1" si="66"/>
        <v>3.3178244125533364E-2</v>
      </c>
    </row>
    <row r="4132" spans="5:6" x14ac:dyDescent="0.35">
      <c r="E4132">
        <v>4129</v>
      </c>
      <c r="F4132">
        <f t="shared" ca="1" si="66"/>
        <v>-1.9933439647683063E-3</v>
      </c>
    </row>
    <row r="4133" spans="5:6" x14ac:dyDescent="0.35">
      <c r="E4133">
        <v>4130</v>
      </c>
      <c r="F4133">
        <f t="shared" ca="1" si="66"/>
        <v>3.814117018774902E-2</v>
      </c>
    </row>
    <row r="4134" spans="5:6" x14ac:dyDescent="0.35">
      <c r="E4134">
        <v>4131</v>
      </c>
      <c r="F4134">
        <f t="shared" ca="1" si="66"/>
        <v>8.678895151664593E-3</v>
      </c>
    </row>
    <row r="4135" spans="5:6" x14ac:dyDescent="0.35">
      <c r="E4135">
        <v>4132</v>
      </c>
      <c r="F4135">
        <f t="shared" ca="1" si="66"/>
        <v>-3.8573949631801573E-3</v>
      </c>
    </row>
    <row r="4136" spans="5:6" x14ac:dyDescent="0.35">
      <c r="E4136">
        <v>4133</v>
      </c>
      <c r="F4136">
        <f t="shared" ca="1" si="66"/>
        <v>-1.0254230150181671E-2</v>
      </c>
    </row>
    <row r="4137" spans="5:6" x14ac:dyDescent="0.35">
      <c r="E4137">
        <v>4134</v>
      </c>
      <c r="F4137">
        <f t="shared" ca="1" si="66"/>
        <v>-1.5231655934295874E-2</v>
      </c>
    </row>
    <row r="4138" spans="5:6" x14ac:dyDescent="0.35">
      <c r="E4138">
        <v>4135</v>
      </c>
      <c r="F4138">
        <f t="shared" ca="1" si="66"/>
        <v>1.2996989660648089E-2</v>
      </c>
    </row>
    <row r="4139" spans="5:6" x14ac:dyDescent="0.35">
      <c r="E4139">
        <v>4136</v>
      </c>
      <c r="F4139">
        <f t="shared" ca="1" si="66"/>
        <v>-2.2239650679442231E-2</v>
      </c>
    </row>
    <row r="4140" spans="5:6" x14ac:dyDescent="0.35">
      <c r="E4140">
        <v>4137</v>
      </c>
      <c r="F4140">
        <f t="shared" ca="1" si="66"/>
        <v>1.1366365578928334E-2</v>
      </c>
    </row>
    <row r="4141" spans="5:6" x14ac:dyDescent="0.35">
      <c r="E4141">
        <v>4138</v>
      </c>
      <c r="F4141">
        <f t="shared" ca="1" si="66"/>
        <v>4.1101577912287546E-4</v>
      </c>
    </row>
    <row r="4142" spans="5:6" x14ac:dyDescent="0.35">
      <c r="E4142">
        <v>4139</v>
      </c>
      <c r="F4142">
        <f t="shared" ca="1" si="66"/>
        <v>1.5678257063393576E-2</v>
      </c>
    </row>
    <row r="4143" spans="5:6" x14ac:dyDescent="0.35">
      <c r="E4143">
        <v>4140</v>
      </c>
      <c r="F4143">
        <f t="shared" ca="1" si="66"/>
        <v>2.5408545793891284E-2</v>
      </c>
    </row>
    <row r="4144" spans="5:6" x14ac:dyDescent="0.35">
      <c r="E4144">
        <v>4141</v>
      </c>
      <c r="F4144">
        <f t="shared" ca="1" si="66"/>
        <v>-1.0823271550869538E-2</v>
      </c>
    </row>
    <row r="4145" spans="5:6" x14ac:dyDescent="0.35">
      <c r="E4145">
        <v>4142</v>
      </c>
      <c r="F4145">
        <f t="shared" ca="1" si="66"/>
        <v>6.8364857050419881E-3</v>
      </c>
    </row>
    <row r="4146" spans="5:6" x14ac:dyDescent="0.35">
      <c r="E4146">
        <v>4143</v>
      </c>
      <c r="F4146">
        <f t="shared" ca="1" si="66"/>
        <v>-1.9143591542872294E-2</v>
      </c>
    </row>
    <row r="4147" spans="5:6" x14ac:dyDescent="0.35">
      <c r="E4147">
        <v>4144</v>
      </c>
      <c r="F4147">
        <f t="shared" ca="1" si="66"/>
        <v>1.6463306345649892E-3</v>
      </c>
    </row>
    <row r="4148" spans="5:6" x14ac:dyDescent="0.35">
      <c r="E4148">
        <v>4145</v>
      </c>
      <c r="F4148">
        <f t="shared" ca="1" si="66"/>
        <v>1.0124037371454814E-2</v>
      </c>
    </row>
    <row r="4149" spans="5:6" x14ac:dyDescent="0.35">
      <c r="E4149">
        <v>4146</v>
      </c>
      <c r="F4149">
        <f t="shared" ca="1" si="66"/>
        <v>-3.901238576336133E-4</v>
      </c>
    </row>
    <row r="4150" spans="5:6" x14ac:dyDescent="0.35">
      <c r="E4150">
        <v>4147</v>
      </c>
      <c r="F4150">
        <f t="shared" ca="1" si="66"/>
        <v>-3.7255081594572857E-3</v>
      </c>
    </row>
    <row r="4151" spans="5:6" x14ac:dyDescent="0.35">
      <c r="E4151">
        <v>4148</v>
      </c>
      <c r="F4151">
        <f t="shared" ca="1" si="66"/>
        <v>-2.6910239814037985E-2</v>
      </c>
    </row>
    <row r="4152" spans="5:6" x14ac:dyDescent="0.35">
      <c r="E4152">
        <v>4149</v>
      </c>
      <c r="F4152">
        <f t="shared" ca="1" si="66"/>
        <v>-3.0974652627167132E-3</v>
      </c>
    </row>
    <row r="4153" spans="5:6" x14ac:dyDescent="0.35">
      <c r="E4153">
        <v>4150</v>
      </c>
      <c r="F4153">
        <f t="shared" ca="1" si="66"/>
        <v>1.0053654002584568E-2</v>
      </c>
    </row>
    <row r="4154" spans="5:6" x14ac:dyDescent="0.35">
      <c r="E4154">
        <v>4151</v>
      </c>
      <c r="F4154">
        <f t="shared" ca="1" si="66"/>
        <v>-1.4939837146764494E-2</v>
      </c>
    </row>
    <row r="4155" spans="5:6" x14ac:dyDescent="0.35">
      <c r="E4155">
        <v>4152</v>
      </c>
      <c r="F4155">
        <f t="shared" ca="1" si="66"/>
        <v>4.7049535294020174E-3</v>
      </c>
    </row>
    <row r="4156" spans="5:6" x14ac:dyDescent="0.35">
      <c r="E4156">
        <v>4153</v>
      </c>
      <c r="F4156">
        <f t="shared" ca="1" si="66"/>
        <v>-1.2551279682700997E-3</v>
      </c>
    </row>
    <row r="4157" spans="5:6" x14ac:dyDescent="0.35">
      <c r="E4157">
        <v>4154</v>
      </c>
      <c r="F4157">
        <f t="shared" ca="1" si="66"/>
        <v>-5.0064351644950695E-3</v>
      </c>
    </row>
    <row r="4158" spans="5:6" x14ac:dyDescent="0.35">
      <c r="E4158">
        <v>4155</v>
      </c>
      <c r="F4158">
        <f t="shared" ca="1" si="66"/>
        <v>-5.4592563766632718E-3</v>
      </c>
    </row>
    <row r="4159" spans="5:6" x14ac:dyDescent="0.35">
      <c r="E4159">
        <v>4156</v>
      </c>
      <c r="F4159">
        <f t="shared" ca="1" si="66"/>
        <v>1.8834092356170361E-2</v>
      </c>
    </row>
    <row r="4160" spans="5:6" x14ac:dyDescent="0.35">
      <c r="E4160">
        <v>4157</v>
      </c>
      <c r="F4160">
        <f t="shared" ca="1" si="66"/>
        <v>-5.7551577584241051E-3</v>
      </c>
    </row>
    <row r="4161" spans="5:6" x14ac:dyDescent="0.35">
      <c r="E4161">
        <v>4158</v>
      </c>
      <c r="F4161">
        <f t="shared" ca="1" si="66"/>
        <v>-4.2314952788211672E-2</v>
      </c>
    </row>
    <row r="4162" spans="5:6" x14ac:dyDescent="0.35">
      <c r="E4162">
        <v>4159</v>
      </c>
      <c r="F4162">
        <f t="shared" ca="1" si="66"/>
        <v>1.290780254316516E-2</v>
      </c>
    </row>
    <row r="4163" spans="5:6" x14ac:dyDescent="0.35">
      <c r="E4163">
        <v>4160</v>
      </c>
      <c r="F4163">
        <f t="shared" ca="1" si="66"/>
        <v>-9.0899640902820412E-3</v>
      </c>
    </row>
    <row r="4164" spans="5:6" x14ac:dyDescent="0.35">
      <c r="E4164">
        <v>4161</v>
      </c>
      <c r="F4164">
        <f t="shared" ca="1" si="66"/>
        <v>-1.1321747648952538E-3</v>
      </c>
    </row>
    <row r="4165" spans="5:6" x14ac:dyDescent="0.35">
      <c r="E4165">
        <v>4162</v>
      </c>
      <c r="F4165">
        <f t="shared" ref="F4165:F4228" ca="1" si="67">_xlfn.NORM.INV(RAND(),M$6,M$7)</f>
        <v>-2.6106457254199055E-3</v>
      </c>
    </row>
    <row r="4166" spans="5:6" x14ac:dyDescent="0.35">
      <c r="E4166">
        <v>4163</v>
      </c>
      <c r="F4166">
        <f t="shared" ca="1" si="67"/>
        <v>-1.4102692746105139E-2</v>
      </c>
    </row>
    <row r="4167" spans="5:6" x14ac:dyDescent="0.35">
      <c r="E4167">
        <v>4164</v>
      </c>
      <c r="F4167">
        <f t="shared" ca="1" si="67"/>
        <v>-2.5793243774018017E-2</v>
      </c>
    </row>
    <row r="4168" spans="5:6" x14ac:dyDescent="0.35">
      <c r="E4168">
        <v>4165</v>
      </c>
      <c r="F4168">
        <f t="shared" ca="1" si="67"/>
        <v>3.8405551179378794E-3</v>
      </c>
    </row>
    <row r="4169" spans="5:6" x14ac:dyDescent="0.35">
      <c r="E4169">
        <v>4166</v>
      </c>
      <c r="F4169">
        <f t="shared" ca="1" si="67"/>
        <v>2.3825241040139746E-2</v>
      </c>
    </row>
    <row r="4170" spans="5:6" x14ac:dyDescent="0.35">
      <c r="E4170">
        <v>4167</v>
      </c>
      <c r="F4170">
        <f t="shared" ca="1" si="67"/>
        <v>1.7584290495886341E-2</v>
      </c>
    </row>
    <row r="4171" spans="5:6" x14ac:dyDescent="0.35">
      <c r="E4171">
        <v>4168</v>
      </c>
      <c r="F4171">
        <f t="shared" ca="1" si="67"/>
        <v>-8.2101984136226016E-3</v>
      </c>
    </row>
    <row r="4172" spans="5:6" x14ac:dyDescent="0.35">
      <c r="E4172">
        <v>4169</v>
      </c>
      <c r="F4172">
        <f t="shared" ca="1" si="67"/>
        <v>7.0089266531486749E-4</v>
      </c>
    </row>
    <row r="4173" spans="5:6" x14ac:dyDescent="0.35">
      <c r="E4173">
        <v>4170</v>
      </c>
      <c r="F4173">
        <f t="shared" ca="1" si="67"/>
        <v>-1.6806628439686833E-2</v>
      </c>
    </row>
    <row r="4174" spans="5:6" x14ac:dyDescent="0.35">
      <c r="E4174">
        <v>4171</v>
      </c>
      <c r="F4174">
        <f t="shared" ca="1" si="67"/>
        <v>-1.4818820261945006E-2</v>
      </c>
    </row>
    <row r="4175" spans="5:6" x14ac:dyDescent="0.35">
      <c r="E4175">
        <v>4172</v>
      </c>
      <c r="F4175">
        <f t="shared" ca="1" si="67"/>
        <v>-1.2043076069642895E-2</v>
      </c>
    </row>
    <row r="4176" spans="5:6" x14ac:dyDescent="0.35">
      <c r="E4176">
        <v>4173</v>
      </c>
      <c r="F4176">
        <f t="shared" ca="1" si="67"/>
        <v>1.8320784909029605E-2</v>
      </c>
    </row>
    <row r="4177" spans="5:6" x14ac:dyDescent="0.35">
      <c r="E4177">
        <v>4174</v>
      </c>
      <c r="F4177">
        <f t="shared" ca="1" si="67"/>
        <v>-4.349502682012227E-3</v>
      </c>
    </row>
    <row r="4178" spans="5:6" x14ac:dyDescent="0.35">
      <c r="E4178">
        <v>4175</v>
      </c>
      <c r="F4178">
        <f t="shared" ca="1" si="67"/>
        <v>6.3879724437810792E-3</v>
      </c>
    </row>
    <row r="4179" spans="5:6" x14ac:dyDescent="0.35">
      <c r="E4179">
        <v>4176</v>
      </c>
      <c r="F4179">
        <f t="shared" ca="1" si="67"/>
        <v>1.7719319448519455E-2</v>
      </c>
    </row>
    <row r="4180" spans="5:6" x14ac:dyDescent="0.35">
      <c r="E4180">
        <v>4177</v>
      </c>
      <c r="F4180">
        <f t="shared" ca="1" si="67"/>
        <v>-1.4822273470765734E-2</v>
      </c>
    </row>
    <row r="4181" spans="5:6" x14ac:dyDescent="0.35">
      <c r="E4181">
        <v>4178</v>
      </c>
      <c r="F4181">
        <f t="shared" ca="1" si="67"/>
        <v>2.7368127986352382E-3</v>
      </c>
    </row>
    <row r="4182" spans="5:6" x14ac:dyDescent="0.35">
      <c r="E4182">
        <v>4179</v>
      </c>
      <c r="F4182">
        <f t="shared" ca="1" si="67"/>
        <v>2.3257687326914529E-2</v>
      </c>
    </row>
    <row r="4183" spans="5:6" x14ac:dyDescent="0.35">
      <c r="E4183">
        <v>4180</v>
      </c>
      <c r="F4183">
        <f t="shared" ca="1" si="67"/>
        <v>6.1765296558598925E-3</v>
      </c>
    </row>
    <row r="4184" spans="5:6" x14ac:dyDescent="0.35">
      <c r="E4184">
        <v>4181</v>
      </c>
      <c r="F4184">
        <f t="shared" ca="1" si="67"/>
        <v>-3.9039161360497803E-3</v>
      </c>
    </row>
    <row r="4185" spans="5:6" x14ac:dyDescent="0.35">
      <c r="E4185">
        <v>4182</v>
      </c>
      <c r="F4185">
        <f t="shared" ca="1" si="67"/>
        <v>5.8121166013303848E-3</v>
      </c>
    </row>
    <row r="4186" spans="5:6" x14ac:dyDescent="0.35">
      <c r="E4186">
        <v>4183</v>
      </c>
      <c r="F4186">
        <f t="shared" ca="1" si="67"/>
        <v>8.9027563816452601E-3</v>
      </c>
    </row>
    <row r="4187" spans="5:6" x14ac:dyDescent="0.35">
      <c r="E4187">
        <v>4184</v>
      </c>
      <c r="F4187">
        <f t="shared" ca="1" si="67"/>
        <v>3.6537049421920861E-2</v>
      </c>
    </row>
    <row r="4188" spans="5:6" x14ac:dyDescent="0.35">
      <c r="E4188">
        <v>4185</v>
      </c>
      <c r="F4188">
        <f t="shared" ca="1" si="67"/>
        <v>1.9373527324141729E-2</v>
      </c>
    </row>
    <row r="4189" spans="5:6" x14ac:dyDescent="0.35">
      <c r="E4189">
        <v>4186</v>
      </c>
      <c r="F4189">
        <f t="shared" ca="1" si="67"/>
        <v>1.0932348940543764E-2</v>
      </c>
    </row>
    <row r="4190" spans="5:6" x14ac:dyDescent="0.35">
      <c r="E4190">
        <v>4187</v>
      </c>
      <c r="F4190">
        <f t="shared" ca="1" si="67"/>
        <v>1.2496805143511642E-2</v>
      </c>
    </row>
    <row r="4191" spans="5:6" x14ac:dyDescent="0.35">
      <c r="E4191">
        <v>4188</v>
      </c>
      <c r="F4191">
        <f t="shared" ca="1" si="67"/>
        <v>3.4502887070443883E-2</v>
      </c>
    </row>
    <row r="4192" spans="5:6" x14ac:dyDescent="0.35">
      <c r="E4192">
        <v>4189</v>
      </c>
      <c r="F4192">
        <f t="shared" ca="1" si="67"/>
        <v>-1.7084693315468875E-2</v>
      </c>
    </row>
    <row r="4193" spans="5:6" x14ac:dyDescent="0.35">
      <c r="E4193">
        <v>4190</v>
      </c>
      <c r="F4193">
        <f t="shared" ca="1" si="67"/>
        <v>-6.2625122585525262E-3</v>
      </c>
    </row>
    <row r="4194" spans="5:6" x14ac:dyDescent="0.35">
      <c r="E4194">
        <v>4191</v>
      </c>
      <c r="F4194">
        <f t="shared" ca="1" si="67"/>
        <v>1.9542315951175024E-3</v>
      </c>
    </row>
    <row r="4195" spans="5:6" x14ac:dyDescent="0.35">
      <c r="E4195">
        <v>4192</v>
      </c>
      <c r="F4195">
        <f t="shared" ca="1" si="67"/>
        <v>1.5560993038853793E-3</v>
      </c>
    </row>
    <row r="4196" spans="5:6" x14ac:dyDescent="0.35">
      <c r="E4196">
        <v>4193</v>
      </c>
      <c r="F4196">
        <f t="shared" ca="1" si="67"/>
        <v>9.0452956336958684E-3</v>
      </c>
    </row>
    <row r="4197" spans="5:6" x14ac:dyDescent="0.35">
      <c r="E4197">
        <v>4194</v>
      </c>
      <c r="F4197">
        <f t="shared" ca="1" si="67"/>
        <v>-6.5998286059491089E-3</v>
      </c>
    </row>
    <row r="4198" spans="5:6" x14ac:dyDescent="0.35">
      <c r="E4198">
        <v>4195</v>
      </c>
      <c r="F4198">
        <f t="shared" ca="1" si="67"/>
        <v>1.1129245872359616E-2</v>
      </c>
    </row>
    <row r="4199" spans="5:6" x14ac:dyDescent="0.35">
      <c r="E4199">
        <v>4196</v>
      </c>
      <c r="F4199">
        <f t="shared" ca="1" si="67"/>
        <v>1.1895173860000581E-2</v>
      </c>
    </row>
    <row r="4200" spans="5:6" x14ac:dyDescent="0.35">
      <c r="E4200">
        <v>4197</v>
      </c>
      <c r="F4200">
        <f t="shared" ca="1" si="67"/>
        <v>1.1547451532350825E-2</v>
      </c>
    </row>
    <row r="4201" spans="5:6" x14ac:dyDescent="0.35">
      <c r="E4201">
        <v>4198</v>
      </c>
      <c r="F4201">
        <f t="shared" ca="1" si="67"/>
        <v>-1.1131581130358498E-2</v>
      </c>
    </row>
    <row r="4202" spans="5:6" x14ac:dyDescent="0.35">
      <c r="E4202">
        <v>4199</v>
      </c>
      <c r="F4202">
        <f t="shared" ca="1" si="67"/>
        <v>1.3205293928165949E-2</v>
      </c>
    </row>
    <row r="4203" spans="5:6" x14ac:dyDescent="0.35">
      <c r="E4203">
        <v>4200</v>
      </c>
      <c r="F4203">
        <f t="shared" ca="1" si="67"/>
        <v>1.328599603435179E-2</v>
      </c>
    </row>
    <row r="4204" spans="5:6" x14ac:dyDescent="0.35">
      <c r="E4204">
        <v>4201</v>
      </c>
      <c r="F4204">
        <f t="shared" ca="1" si="67"/>
        <v>-2.3437584724982641E-2</v>
      </c>
    </row>
    <row r="4205" spans="5:6" x14ac:dyDescent="0.35">
      <c r="E4205">
        <v>4202</v>
      </c>
      <c r="F4205">
        <f t="shared" ca="1" si="67"/>
        <v>-1.3145993228130984E-3</v>
      </c>
    </row>
    <row r="4206" spans="5:6" x14ac:dyDescent="0.35">
      <c r="E4206">
        <v>4203</v>
      </c>
      <c r="F4206">
        <f t="shared" ca="1" si="67"/>
        <v>1.1720443906611738E-2</v>
      </c>
    </row>
    <row r="4207" spans="5:6" x14ac:dyDescent="0.35">
      <c r="E4207">
        <v>4204</v>
      </c>
      <c r="F4207">
        <f t="shared" ca="1" si="67"/>
        <v>1.4443030123142532E-2</v>
      </c>
    </row>
    <row r="4208" spans="5:6" x14ac:dyDescent="0.35">
      <c r="E4208">
        <v>4205</v>
      </c>
      <c r="F4208">
        <f t="shared" ca="1" si="67"/>
        <v>-1.1587319007338785E-2</v>
      </c>
    </row>
    <row r="4209" spans="5:6" x14ac:dyDescent="0.35">
      <c r="E4209">
        <v>4206</v>
      </c>
      <c r="F4209">
        <f t="shared" ca="1" si="67"/>
        <v>1.5524025821323355E-4</v>
      </c>
    </row>
    <row r="4210" spans="5:6" x14ac:dyDescent="0.35">
      <c r="E4210">
        <v>4207</v>
      </c>
      <c r="F4210">
        <f t="shared" ca="1" si="67"/>
        <v>7.7583090142493098E-3</v>
      </c>
    </row>
    <row r="4211" spans="5:6" x14ac:dyDescent="0.35">
      <c r="E4211">
        <v>4208</v>
      </c>
      <c r="F4211">
        <f t="shared" ca="1" si="67"/>
        <v>-1.3502524662341199E-2</v>
      </c>
    </row>
    <row r="4212" spans="5:6" x14ac:dyDescent="0.35">
      <c r="E4212">
        <v>4209</v>
      </c>
      <c r="F4212">
        <f t="shared" ca="1" si="67"/>
        <v>-2.9557969861106741E-2</v>
      </c>
    </row>
    <row r="4213" spans="5:6" x14ac:dyDescent="0.35">
      <c r="E4213">
        <v>4210</v>
      </c>
      <c r="F4213">
        <f t="shared" ca="1" si="67"/>
        <v>8.7045307854297163E-3</v>
      </c>
    </row>
    <row r="4214" spans="5:6" x14ac:dyDescent="0.35">
      <c r="E4214">
        <v>4211</v>
      </c>
      <c r="F4214">
        <f t="shared" ca="1" si="67"/>
        <v>6.3730745860897864E-3</v>
      </c>
    </row>
    <row r="4215" spans="5:6" x14ac:dyDescent="0.35">
      <c r="E4215">
        <v>4212</v>
      </c>
      <c r="F4215">
        <f t="shared" ca="1" si="67"/>
        <v>-1.6621301288050835E-2</v>
      </c>
    </row>
    <row r="4216" spans="5:6" x14ac:dyDescent="0.35">
      <c r="E4216">
        <v>4213</v>
      </c>
      <c r="F4216">
        <f t="shared" ca="1" si="67"/>
        <v>-3.7772691965071905E-3</v>
      </c>
    </row>
    <row r="4217" spans="5:6" x14ac:dyDescent="0.35">
      <c r="E4217">
        <v>4214</v>
      </c>
      <c r="F4217">
        <f t="shared" ca="1" si="67"/>
        <v>-4.0516056727839507E-3</v>
      </c>
    </row>
    <row r="4218" spans="5:6" x14ac:dyDescent="0.35">
      <c r="E4218">
        <v>4215</v>
      </c>
      <c r="F4218">
        <f t="shared" ca="1" si="67"/>
        <v>-1.5872776199109668E-2</v>
      </c>
    </row>
    <row r="4219" spans="5:6" x14ac:dyDescent="0.35">
      <c r="E4219">
        <v>4216</v>
      </c>
      <c r="F4219">
        <f t="shared" ca="1" si="67"/>
        <v>1.2533412087733615E-3</v>
      </c>
    </row>
    <row r="4220" spans="5:6" x14ac:dyDescent="0.35">
      <c r="E4220">
        <v>4217</v>
      </c>
      <c r="F4220">
        <f t="shared" ca="1" si="67"/>
        <v>-1.0850250328218491E-2</v>
      </c>
    </row>
    <row r="4221" spans="5:6" x14ac:dyDescent="0.35">
      <c r="E4221">
        <v>4218</v>
      </c>
      <c r="F4221">
        <f t="shared" ca="1" si="67"/>
        <v>-1.6072373286671372E-2</v>
      </c>
    </row>
    <row r="4222" spans="5:6" x14ac:dyDescent="0.35">
      <c r="E4222">
        <v>4219</v>
      </c>
      <c r="F4222">
        <f t="shared" ca="1" si="67"/>
        <v>-1.168264778411157E-3</v>
      </c>
    </row>
    <row r="4223" spans="5:6" x14ac:dyDescent="0.35">
      <c r="E4223">
        <v>4220</v>
      </c>
      <c r="F4223">
        <f t="shared" ca="1" si="67"/>
        <v>4.5017529311586679E-3</v>
      </c>
    </row>
    <row r="4224" spans="5:6" x14ac:dyDescent="0.35">
      <c r="E4224">
        <v>4221</v>
      </c>
      <c r="F4224">
        <f t="shared" ca="1" si="67"/>
        <v>-7.8385673446203542E-3</v>
      </c>
    </row>
    <row r="4225" spans="5:6" x14ac:dyDescent="0.35">
      <c r="E4225">
        <v>4222</v>
      </c>
      <c r="F4225">
        <f t="shared" ca="1" si="67"/>
        <v>1.2744661046202557E-2</v>
      </c>
    </row>
    <row r="4226" spans="5:6" x14ac:dyDescent="0.35">
      <c r="E4226">
        <v>4223</v>
      </c>
      <c r="F4226">
        <f t="shared" ca="1" si="67"/>
        <v>1.2458112331632448E-2</v>
      </c>
    </row>
    <row r="4227" spans="5:6" x14ac:dyDescent="0.35">
      <c r="E4227">
        <v>4224</v>
      </c>
      <c r="F4227">
        <f t="shared" ca="1" si="67"/>
        <v>1.2744660746496449E-3</v>
      </c>
    </row>
    <row r="4228" spans="5:6" x14ac:dyDescent="0.35">
      <c r="E4228">
        <v>4225</v>
      </c>
      <c r="F4228">
        <f t="shared" ca="1" si="67"/>
        <v>2.7334780785886158E-3</v>
      </c>
    </row>
    <row r="4229" spans="5:6" x14ac:dyDescent="0.35">
      <c r="E4229">
        <v>4226</v>
      </c>
      <c r="F4229">
        <f t="shared" ref="F4229:F4292" ca="1" si="68">_xlfn.NORM.INV(RAND(),M$6,M$7)</f>
        <v>3.7242843661581556E-4</v>
      </c>
    </row>
    <row r="4230" spans="5:6" x14ac:dyDescent="0.35">
      <c r="E4230">
        <v>4227</v>
      </c>
      <c r="F4230">
        <f t="shared" ca="1" si="68"/>
        <v>-2.1364450538330471E-2</v>
      </c>
    </row>
    <row r="4231" spans="5:6" x14ac:dyDescent="0.35">
      <c r="E4231">
        <v>4228</v>
      </c>
      <c r="F4231">
        <f t="shared" ca="1" si="68"/>
        <v>-1.3363019259353268E-2</v>
      </c>
    </row>
    <row r="4232" spans="5:6" x14ac:dyDescent="0.35">
      <c r="E4232">
        <v>4229</v>
      </c>
      <c r="F4232">
        <f t="shared" ca="1" si="68"/>
        <v>6.1219517174078192E-4</v>
      </c>
    </row>
    <row r="4233" spans="5:6" x14ac:dyDescent="0.35">
      <c r="E4233">
        <v>4230</v>
      </c>
      <c r="F4233">
        <f t="shared" ca="1" si="68"/>
        <v>3.111466446130153E-3</v>
      </c>
    </row>
    <row r="4234" spans="5:6" x14ac:dyDescent="0.35">
      <c r="E4234">
        <v>4231</v>
      </c>
      <c r="F4234">
        <f t="shared" ca="1" si="68"/>
        <v>-1.40407194085586E-2</v>
      </c>
    </row>
    <row r="4235" spans="5:6" x14ac:dyDescent="0.35">
      <c r="E4235">
        <v>4232</v>
      </c>
      <c r="F4235">
        <f t="shared" ca="1" si="68"/>
        <v>1.8216392402668459E-2</v>
      </c>
    </row>
    <row r="4236" spans="5:6" x14ac:dyDescent="0.35">
      <c r="E4236">
        <v>4233</v>
      </c>
      <c r="F4236">
        <f t="shared" ca="1" si="68"/>
        <v>-5.9353380658541625E-3</v>
      </c>
    </row>
    <row r="4237" spans="5:6" x14ac:dyDescent="0.35">
      <c r="E4237">
        <v>4234</v>
      </c>
      <c r="F4237">
        <f t="shared" ca="1" si="68"/>
        <v>-1.1145747169352292E-3</v>
      </c>
    </row>
    <row r="4238" spans="5:6" x14ac:dyDescent="0.35">
      <c r="E4238">
        <v>4235</v>
      </c>
      <c r="F4238">
        <f t="shared" ca="1" si="68"/>
        <v>4.5615794066679273E-3</v>
      </c>
    </row>
    <row r="4239" spans="5:6" x14ac:dyDescent="0.35">
      <c r="E4239">
        <v>4236</v>
      </c>
      <c r="F4239">
        <f t="shared" ca="1" si="68"/>
        <v>5.5290252803888301E-3</v>
      </c>
    </row>
    <row r="4240" spans="5:6" x14ac:dyDescent="0.35">
      <c r="E4240">
        <v>4237</v>
      </c>
      <c r="F4240">
        <f t="shared" ca="1" si="68"/>
        <v>2.2869230408101945E-2</v>
      </c>
    </row>
    <row r="4241" spans="5:6" x14ac:dyDescent="0.35">
      <c r="E4241">
        <v>4238</v>
      </c>
      <c r="F4241">
        <f t="shared" ca="1" si="68"/>
        <v>1.3640002122896755E-2</v>
      </c>
    </row>
    <row r="4242" spans="5:6" x14ac:dyDescent="0.35">
      <c r="E4242">
        <v>4239</v>
      </c>
      <c r="F4242">
        <f t="shared" ca="1" si="68"/>
        <v>1.7278402043625633E-2</v>
      </c>
    </row>
    <row r="4243" spans="5:6" x14ac:dyDescent="0.35">
      <c r="E4243">
        <v>4240</v>
      </c>
      <c r="F4243">
        <f t="shared" ca="1" si="68"/>
        <v>7.4443647302516701E-4</v>
      </c>
    </row>
    <row r="4244" spans="5:6" x14ac:dyDescent="0.35">
      <c r="E4244">
        <v>4241</v>
      </c>
      <c r="F4244">
        <f t="shared" ca="1" si="68"/>
        <v>-2.5359751093149449E-3</v>
      </c>
    </row>
    <row r="4245" spans="5:6" x14ac:dyDescent="0.35">
      <c r="E4245">
        <v>4242</v>
      </c>
      <c r="F4245">
        <f t="shared" ca="1" si="68"/>
        <v>1.8317518702567889E-3</v>
      </c>
    </row>
    <row r="4246" spans="5:6" x14ac:dyDescent="0.35">
      <c r="E4246">
        <v>4243</v>
      </c>
      <c r="F4246">
        <f t="shared" ca="1" si="68"/>
        <v>-2.3849215197044003E-2</v>
      </c>
    </row>
    <row r="4247" spans="5:6" x14ac:dyDescent="0.35">
      <c r="E4247">
        <v>4244</v>
      </c>
      <c r="F4247">
        <f t="shared" ca="1" si="68"/>
        <v>-5.2026880675419872E-3</v>
      </c>
    </row>
    <row r="4248" spans="5:6" x14ac:dyDescent="0.35">
      <c r="E4248">
        <v>4245</v>
      </c>
      <c r="F4248">
        <f t="shared" ca="1" si="68"/>
        <v>8.829664877182607E-3</v>
      </c>
    </row>
    <row r="4249" spans="5:6" x14ac:dyDescent="0.35">
      <c r="E4249">
        <v>4246</v>
      </c>
      <c r="F4249">
        <f t="shared" ca="1" si="68"/>
        <v>-1.8782566909287177E-2</v>
      </c>
    </row>
    <row r="4250" spans="5:6" x14ac:dyDescent="0.35">
      <c r="E4250">
        <v>4247</v>
      </c>
      <c r="F4250">
        <f t="shared" ca="1" si="68"/>
        <v>2.8018323387944997E-2</v>
      </c>
    </row>
    <row r="4251" spans="5:6" x14ac:dyDescent="0.35">
      <c r="E4251">
        <v>4248</v>
      </c>
      <c r="F4251">
        <f t="shared" ca="1" si="68"/>
        <v>-1.5437095858050486E-2</v>
      </c>
    </row>
    <row r="4252" spans="5:6" x14ac:dyDescent="0.35">
      <c r="E4252">
        <v>4249</v>
      </c>
      <c r="F4252">
        <f t="shared" ca="1" si="68"/>
        <v>-2.5748441338806553E-2</v>
      </c>
    </row>
    <row r="4253" spans="5:6" x14ac:dyDescent="0.35">
      <c r="E4253">
        <v>4250</v>
      </c>
      <c r="F4253">
        <f t="shared" ca="1" si="68"/>
        <v>1.4978472192326767E-2</v>
      </c>
    </row>
    <row r="4254" spans="5:6" x14ac:dyDescent="0.35">
      <c r="E4254">
        <v>4251</v>
      </c>
      <c r="F4254">
        <f t="shared" ca="1" si="68"/>
        <v>1.2281351901656688E-3</v>
      </c>
    </row>
    <row r="4255" spans="5:6" x14ac:dyDescent="0.35">
      <c r="E4255">
        <v>4252</v>
      </c>
      <c r="F4255">
        <f t="shared" ca="1" si="68"/>
        <v>-2.7174002471432816E-2</v>
      </c>
    </row>
    <row r="4256" spans="5:6" x14ac:dyDescent="0.35">
      <c r="E4256">
        <v>4253</v>
      </c>
      <c r="F4256">
        <f t="shared" ca="1" si="68"/>
        <v>3.159879610221529E-2</v>
      </c>
    </row>
    <row r="4257" spans="5:6" x14ac:dyDescent="0.35">
      <c r="E4257">
        <v>4254</v>
      </c>
      <c r="F4257">
        <f t="shared" ca="1" si="68"/>
        <v>-2.6026293667533763E-3</v>
      </c>
    </row>
    <row r="4258" spans="5:6" x14ac:dyDescent="0.35">
      <c r="E4258">
        <v>4255</v>
      </c>
      <c r="F4258">
        <f t="shared" ca="1" si="68"/>
        <v>-3.606998377255444E-3</v>
      </c>
    </row>
    <row r="4259" spans="5:6" x14ac:dyDescent="0.35">
      <c r="E4259">
        <v>4256</v>
      </c>
      <c r="F4259">
        <f t="shared" ca="1" si="68"/>
        <v>3.7902034359801558E-2</v>
      </c>
    </row>
    <row r="4260" spans="5:6" x14ac:dyDescent="0.35">
      <c r="E4260">
        <v>4257</v>
      </c>
      <c r="F4260">
        <f t="shared" ca="1" si="68"/>
        <v>1.2312893101021844E-2</v>
      </c>
    </row>
    <row r="4261" spans="5:6" x14ac:dyDescent="0.35">
      <c r="E4261">
        <v>4258</v>
      </c>
      <c r="F4261">
        <f t="shared" ca="1" si="68"/>
        <v>-8.4362937476969348E-3</v>
      </c>
    </row>
    <row r="4262" spans="5:6" x14ac:dyDescent="0.35">
      <c r="E4262">
        <v>4259</v>
      </c>
      <c r="F4262">
        <f t="shared" ca="1" si="68"/>
        <v>1.0776939823336915E-2</v>
      </c>
    </row>
    <row r="4263" spans="5:6" x14ac:dyDescent="0.35">
      <c r="E4263">
        <v>4260</v>
      </c>
      <c r="F4263">
        <f t="shared" ca="1" si="68"/>
        <v>-1.5930347179601661E-2</v>
      </c>
    </row>
    <row r="4264" spans="5:6" x14ac:dyDescent="0.35">
      <c r="E4264">
        <v>4261</v>
      </c>
      <c r="F4264">
        <f t="shared" ca="1" si="68"/>
        <v>-1.9390029394043908E-2</v>
      </c>
    </row>
    <row r="4265" spans="5:6" x14ac:dyDescent="0.35">
      <c r="E4265">
        <v>4262</v>
      </c>
      <c r="F4265">
        <f t="shared" ca="1" si="68"/>
        <v>5.1321959904672915E-3</v>
      </c>
    </row>
    <row r="4266" spans="5:6" x14ac:dyDescent="0.35">
      <c r="E4266">
        <v>4263</v>
      </c>
      <c r="F4266">
        <f t="shared" ca="1" si="68"/>
        <v>7.8920370216248904E-3</v>
      </c>
    </row>
    <row r="4267" spans="5:6" x14ac:dyDescent="0.35">
      <c r="E4267">
        <v>4264</v>
      </c>
      <c r="F4267">
        <f t="shared" ca="1" si="68"/>
        <v>-1.0601763417276732E-2</v>
      </c>
    </row>
    <row r="4268" spans="5:6" x14ac:dyDescent="0.35">
      <c r="E4268">
        <v>4265</v>
      </c>
      <c r="F4268">
        <f t="shared" ca="1" si="68"/>
        <v>3.3332156213788526E-4</v>
      </c>
    </row>
    <row r="4269" spans="5:6" x14ac:dyDescent="0.35">
      <c r="E4269">
        <v>4266</v>
      </c>
      <c r="F4269">
        <f t="shared" ca="1" si="68"/>
        <v>-3.6213676540639648E-3</v>
      </c>
    </row>
    <row r="4270" spans="5:6" x14ac:dyDescent="0.35">
      <c r="E4270">
        <v>4267</v>
      </c>
      <c r="F4270">
        <f t="shared" ca="1" si="68"/>
        <v>-7.6969587899381048E-3</v>
      </c>
    </row>
    <row r="4271" spans="5:6" x14ac:dyDescent="0.35">
      <c r="E4271">
        <v>4268</v>
      </c>
      <c r="F4271">
        <f t="shared" ca="1" si="68"/>
        <v>-2.0867668775864136E-3</v>
      </c>
    </row>
    <row r="4272" spans="5:6" x14ac:dyDescent="0.35">
      <c r="E4272">
        <v>4269</v>
      </c>
      <c r="F4272">
        <f t="shared" ca="1" si="68"/>
        <v>1.1934583574843866E-2</v>
      </c>
    </row>
    <row r="4273" spans="5:6" x14ac:dyDescent="0.35">
      <c r="E4273">
        <v>4270</v>
      </c>
      <c r="F4273">
        <f t="shared" ca="1" si="68"/>
        <v>-6.3434715598813564E-3</v>
      </c>
    </row>
    <row r="4274" spans="5:6" x14ac:dyDescent="0.35">
      <c r="E4274">
        <v>4271</v>
      </c>
      <c r="F4274">
        <f t="shared" ca="1" si="68"/>
        <v>-6.4503588507316559E-3</v>
      </c>
    </row>
    <row r="4275" spans="5:6" x14ac:dyDescent="0.35">
      <c r="E4275">
        <v>4272</v>
      </c>
      <c r="F4275">
        <f t="shared" ca="1" si="68"/>
        <v>-1.7530396726446924E-2</v>
      </c>
    </row>
    <row r="4276" spans="5:6" x14ac:dyDescent="0.35">
      <c r="E4276">
        <v>4273</v>
      </c>
      <c r="F4276">
        <f t="shared" ca="1" si="68"/>
        <v>1.8276774167883789E-2</v>
      </c>
    </row>
    <row r="4277" spans="5:6" x14ac:dyDescent="0.35">
      <c r="E4277">
        <v>4274</v>
      </c>
      <c r="F4277">
        <f t="shared" ca="1" si="68"/>
        <v>2.2816491009159542E-2</v>
      </c>
    </row>
    <row r="4278" spans="5:6" x14ac:dyDescent="0.35">
      <c r="E4278">
        <v>4275</v>
      </c>
      <c r="F4278">
        <f t="shared" ca="1" si="68"/>
        <v>1.5984999305275024E-2</v>
      </c>
    </row>
    <row r="4279" spans="5:6" x14ac:dyDescent="0.35">
      <c r="E4279">
        <v>4276</v>
      </c>
      <c r="F4279">
        <f t="shared" ca="1" si="68"/>
        <v>-3.4712192849020913E-3</v>
      </c>
    </row>
    <row r="4280" spans="5:6" x14ac:dyDescent="0.35">
      <c r="E4280">
        <v>4277</v>
      </c>
      <c r="F4280">
        <f t="shared" ca="1" si="68"/>
        <v>6.0888643498397486E-3</v>
      </c>
    </row>
    <row r="4281" spans="5:6" x14ac:dyDescent="0.35">
      <c r="E4281">
        <v>4278</v>
      </c>
      <c r="F4281">
        <f t="shared" ca="1" si="68"/>
        <v>-6.3829449965901661E-3</v>
      </c>
    </row>
    <row r="4282" spans="5:6" x14ac:dyDescent="0.35">
      <c r="E4282">
        <v>4279</v>
      </c>
      <c r="F4282">
        <f t="shared" ca="1" si="68"/>
        <v>6.777600098277152E-3</v>
      </c>
    </row>
    <row r="4283" spans="5:6" x14ac:dyDescent="0.35">
      <c r="E4283">
        <v>4280</v>
      </c>
      <c r="F4283">
        <f t="shared" ca="1" si="68"/>
        <v>4.2989452239404697E-4</v>
      </c>
    </row>
    <row r="4284" spans="5:6" x14ac:dyDescent="0.35">
      <c r="E4284">
        <v>4281</v>
      </c>
      <c r="F4284">
        <f t="shared" ca="1" si="68"/>
        <v>-2.9131173658940211E-2</v>
      </c>
    </row>
    <row r="4285" spans="5:6" x14ac:dyDescent="0.35">
      <c r="E4285">
        <v>4282</v>
      </c>
      <c r="F4285">
        <f t="shared" ca="1" si="68"/>
        <v>1.8473048375264159E-2</v>
      </c>
    </row>
    <row r="4286" spans="5:6" x14ac:dyDescent="0.35">
      <c r="E4286">
        <v>4283</v>
      </c>
      <c r="F4286">
        <f t="shared" ca="1" si="68"/>
        <v>1.4469559179807986E-2</v>
      </c>
    </row>
    <row r="4287" spans="5:6" x14ac:dyDescent="0.35">
      <c r="E4287">
        <v>4284</v>
      </c>
      <c r="F4287">
        <f t="shared" ca="1" si="68"/>
        <v>-1.368706224730573E-2</v>
      </c>
    </row>
    <row r="4288" spans="5:6" x14ac:dyDescent="0.35">
      <c r="E4288">
        <v>4285</v>
      </c>
      <c r="F4288">
        <f t="shared" ca="1" si="68"/>
        <v>1.260678061569924E-2</v>
      </c>
    </row>
    <row r="4289" spans="5:6" x14ac:dyDescent="0.35">
      <c r="E4289">
        <v>4286</v>
      </c>
      <c r="F4289">
        <f t="shared" ca="1" si="68"/>
        <v>-1.049657373657864E-2</v>
      </c>
    </row>
    <row r="4290" spans="5:6" x14ac:dyDescent="0.35">
      <c r="E4290">
        <v>4287</v>
      </c>
      <c r="F4290">
        <f t="shared" ca="1" si="68"/>
        <v>2.7684987904119103E-3</v>
      </c>
    </row>
    <row r="4291" spans="5:6" x14ac:dyDescent="0.35">
      <c r="E4291">
        <v>4288</v>
      </c>
      <c r="F4291">
        <f t="shared" ca="1" si="68"/>
        <v>2.379246455387713E-3</v>
      </c>
    </row>
    <row r="4292" spans="5:6" x14ac:dyDescent="0.35">
      <c r="E4292">
        <v>4289</v>
      </c>
      <c r="F4292">
        <f t="shared" ca="1" si="68"/>
        <v>1.3532533011938071E-2</v>
      </c>
    </row>
    <row r="4293" spans="5:6" x14ac:dyDescent="0.35">
      <c r="E4293">
        <v>4290</v>
      </c>
      <c r="F4293">
        <f t="shared" ref="F4293:F4356" ca="1" si="69">_xlfn.NORM.INV(RAND(),M$6,M$7)</f>
        <v>-1.2989509977096183E-2</v>
      </c>
    </row>
    <row r="4294" spans="5:6" x14ac:dyDescent="0.35">
      <c r="E4294">
        <v>4291</v>
      </c>
      <c r="F4294">
        <f t="shared" ca="1" si="69"/>
        <v>-2.6741428670689033E-2</v>
      </c>
    </row>
    <row r="4295" spans="5:6" x14ac:dyDescent="0.35">
      <c r="E4295">
        <v>4292</v>
      </c>
      <c r="F4295">
        <f t="shared" ca="1" si="69"/>
        <v>-2.0322164542474881E-2</v>
      </c>
    </row>
    <row r="4296" spans="5:6" x14ac:dyDescent="0.35">
      <c r="E4296">
        <v>4293</v>
      </c>
      <c r="F4296">
        <f t="shared" ca="1" si="69"/>
        <v>8.7761746202869965E-3</v>
      </c>
    </row>
    <row r="4297" spans="5:6" x14ac:dyDescent="0.35">
      <c r="E4297">
        <v>4294</v>
      </c>
      <c r="F4297">
        <f t="shared" ca="1" si="69"/>
        <v>-1.1284137026746729E-2</v>
      </c>
    </row>
    <row r="4298" spans="5:6" x14ac:dyDescent="0.35">
      <c r="E4298">
        <v>4295</v>
      </c>
      <c r="F4298">
        <f t="shared" ca="1" si="69"/>
        <v>-1.2384174547748771E-2</v>
      </c>
    </row>
    <row r="4299" spans="5:6" x14ac:dyDescent="0.35">
      <c r="E4299">
        <v>4296</v>
      </c>
      <c r="F4299">
        <f t="shared" ca="1" si="69"/>
        <v>9.4407120553216314E-3</v>
      </c>
    </row>
    <row r="4300" spans="5:6" x14ac:dyDescent="0.35">
      <c r="E4300">
        <v>4297</v>
      </c>
      <c r="F4300">
        <f t="shared" ca="1" si="69"/>
        <v>9.7509090192146441E-3</v>
      </c>
    </row>
    <row r="4301" spans="5:6" x14ac:dyDescent="0.35">
      <c r="E4301">
        <v>4298</v>
      </c>
      <c r="F4301">
        <f t="shared" ca="1" si="69"/>
        <v>-1.2744134902205169E-2</v>
      </c>
    </row>
    <row r="4302" spans="5:6" x14ac:dyDescent="0.35">
      <c r="E4302">
        <v>4299</v>
      </c>
      <c r="F4302">
        <f t="shared" ca="1" si="69"/>
        <v>1.0160362813135173E-3</v>
      </c>
    </row>
    <row r="4303" spans="5:6" x14ac:dyDescent="0.35">
      <c r="E4303">
        <v>4300</v>
      </c>
      <c r="F4303">
        <f t="shared" ca="1" si="69"/>
        <v>1.9009475353370442E-2</v>
      </c>
    </row>
    <row r="4304" spans="5:6" x14ac:dyDescent="0.35">
      <c r="E4304">
        <v>4301</v>
      </c>
      <c r="F4304">
        <f t="shared" ca="1" si="69"/>
        <v>-1.9192431907110712E-2</v>
      </c>
    </row>
    <row r="4305" spans="5:6" x14ac:dyDescent="0.35">
      <c r="E4305">
        <v>4302</v>
      </c>
      <c r="F4305">
        <f t="shared" ca="1" si="69"/>
        <v>3.0600062371073842E-3</v>
      </c>
    </row>
    <row r="4306" spans="5:6" x14ac:dyDescent="0.35">
      <c r="E4306">
        <v>4303</v>
      </c>
      <c r="F4306">
        <f t="shared" ca="1" si="69"/>
        <v>-3.4650417180426892E-2</v>
      </c>
    </row>
    <row r="4307" spans="5:6" x14ac:dyDescent="0.35">
      <c r="E4307">
        <v>4304</v>
      </c>
      <c r="F4307">
        <f t="shared" ca="1" si="69"/>
        <v>2.3976312856169218E-2</v>
      </c>
    </row>
    <row r="4308" spans="5:6" x14ac:dyDescent="0.35">
      <c r="E4308">
        <v>4305</v>
      </c>
      <c r="F4308">
        <f t="shared" ca="1" si="69"/>
        <v>-9.4234007674325673E-3</v>
      </c>
    </row>
    <row r="4309" spans="5:6" x14ac:dyDescent="0.35">
      <c r="E4309">
        <v>4306</v>
      </c>
      <c r="F4309">
        <f t="shared" ca="1" si="69"/>
        <v>-1.6525839526879579E-2</v>
      </c>
    </row>
    <row r="4310" spans="5:6" x14ac:dyDescent="0.35">
      <c r="E4310">
        <v>4307</v>
      </c>
      <c r="F4310">
        <f t="shared" ca="1" si="69"/>
        <v>-2.5409154693621112E-3</v>
      </c>
    </row>
    <row r="4311" spans="5:6" x14ac:dyDescent="0.35">
      <c r="E4311">
        <v>4308</v>
      </c>
      <c r="F4311">
        <f t="shared" ca="1" si="69"/>
        <v>-4.4711854129900856E-3</v>
      </c>
    </row>
    <row r="4312" spans="5:6" x14ac:dyDescent="0.35">
      <c r="E4312">
        <v>4309</v>
      </c>
      <c r="F4312">
        <f t="shared" ca="1" si="69"/>
        <v>1.3772662987577167E-2</v>
      </c>
    </row>
    <row r="4313" spans="5:6" x14ac:dyDescent="0.35">
      <c r="E4313">
        <v>4310</v>
      </c>
      <c r="F4313">
        <f t="shared" ca="1" si="69"/>
        <v>1.2348163989100762E-2</v>
      </c>
    </row>
    <row r="4314" spans="5:6" x14ac:dyDescent="0.35">
      <c r="E4314">
        <v>4311</v>
      </c>
      <c r="F4314">
        <f t="shared" ca="1" si="69"/>
        <v>-1.2039939963815739E-2</v>
      </c>
    </row>
    <row r="4315" spans="5:6" x14ac:dyDescent="0.35">
      <c r="E4315">
        <v>4312</v>
      </c>
      <c r="F4315">
        <f t="shared" ca="1" si="69"/>
        <v>3.9544226743674846E-3</v>
      </c>
    </row>
    <row r="4316" spans="5:6" x14ac:dyDescent="0.35">
      <c r="E4316">
        <v>4313</v>
      </c>
      <c r="F4316">
        <f t="shared" ca="1" si="69"/>
        <v>-4.1631783279282471E-3</v>
      </c>
    </row>
    <row r="4317" spans="5:6" x14ac:dyDescent="0.35">
      <c r="E4317">
        <v>4314</v>
      </c>
      <c r="F4317">
        <f t="shared" ca="1" si="69"/>
        <v>-5.0483091254784115E-3</v>
      </c>
    </row>
    <row r="4318" spans="5:6" x14ac:dyDescent="0.35">
      <c r="E4318">
        <v>4315</v>
      </c>
      <c r="F4318">
        <f t="shared" ca="1" si="69"/>
        <v>-1.6027787841874485E-2</v>
      </c>
    </row>
    <row r="4319" spans="5:6" x14ac:dyDescent="0.35">
      <c r="E4319">
        <v>4316</v>
      </c>
      <c r="F4319">
        <f t="shared" ca="1" si="69"/>
        <v>-8.6980388155016419E-3</v>
      </c>
    </row>
    <row r="4320" spans="5:6" x14ac:dyDescent="0.35">
      <c r="E4320">
        <v>4317</v>
      </c>
      <c r="F4320">
        <f t="shared" ca="1" si="69"/>
        <v>2.3652914382564092E-2</v>
      </c>
    </row>
    <row r="4321" spans="5:6" x14ac:dyDescent="0.35">
      <c r="E4321">
        <v>4318</v>
      </c>
      <c r="F4321">
        <f t="shared" ca="1" si="69"/>
        <v>-2.582552953981374E-3</v>
      </c>
    </row>
    <row r="4322" spans="5:6" x14ac:dyDescent="0.35">
      <c r="E4322">
        <v>4319</v>
      </c>
      <c r="F4322">
        <f t="shared" ca="1" si="69"/>
        <v>1.7250972036287039E-2</v>
      </c>
    </row>
    <row r="4323" spans="5:6" x14ac:dyDescent="0.35">
      <c r="E4323">
        <v>4320</v>
      </c>
      <c r="F4323">
        <f t="shared" ca="1" si="69"/>
        <v>1.4084638140682596E-2</v>
      </c>
    </row>
    <row r="4324" spans="5:6" x14ac:dyDescent="0.35">
      <c r="E4324">
        <v>4321</v>
      </c>
      <c r="F4324">
        <f t="shared" ca="1" si="69"/>
        <v>-1.1217831751798257E-2</v>
      </c>
    </row>
    <row r="4325" spans="5:6" x14ac:dyDescent="0.35">
      <c r="E4325">
        <v>4322</v>
      </c>
      <c r="F4325">
        <f t="shared" ca="1" si="69"/>
        <v>1.7038770288535078E-3</v>
      </c>
    </row>
    <row r="4326" spans="5:6" x14ac:dyDescent="0.35">
      <c r="E4326">
        <v>4323</v>
      </c>
      <c r="F4326">
        <f t="shared" ca="1" si="69"/>
        <v>-2.9351903676551692E-2</v>
      </c>
    </row>
    <row r="4327" spans="5:6" x14ac:dyDescent="0.35">
      <c r="E4327">
        <v>4324</v>
      </c>
      <c r="F4327">
        <f t="shared" ca="1" si="69"/>
        <v>-1.686610302646815E-3</v>
      </c>
    </row>
    <row r="4328" spans="5:6" x14ac:dyDescent="0.35">
      <c r="E4328">
        <v>4325</v>
      </c>
      <c r="F4328">
        <f t="shared" ca="1" si="69"/>
        <v>-1.5764086594508651E-2</v>
      </c>
    </row>
    <row r="4329" spans="5:6" x14ac:dyDescent="0.35">
      <c r="E4329">
        <v>4326</v>
      </c>
      <c r="F4329">
        <f t="shared" ca="1" si="69"/>
        <v>4.3719144260143091E-3</v>
      </c>
    </row>
    <row r="4330" spans="5:6" x14ac:dyDescent="0.35">
      <c r="E4330">
        <v>4327</v>
      </c>
      <c r="F4330">
        <f t="shared" ca="1" si="69"/>
        <v>-8.6572366333993924E-3</v>
      </c>
    </row>
    <row r="4331" spans="5:6" x14ac:dyDescent="0.35">
      <c r="E4331">
        <v>4328</v>
      </c>
      <c r="F4331">
        <f t="shared" ca="1" si="69"/>
        <v>-1.2517491822764105E-2</v>
      </c>
    </row>
    <row r="4332" spans="5:6" x14ac:dyDescent="0.35">
      <c r="E4332">
        <v>4329</v>
      </c>
      <c r="F4332">
        <f t="shared" ca="1" si="69"/>
        <v>-6.6772100973590699E-3</v>
      </c>
    </row>
    <row r="4333" spans="5:6" x14ac:dyDescent="0.35">
      <c r="E4333">
        <v>4330</v>
      </c>
      <c r="F4333">
        <f t="shared" ca="1" si="69"/>
        <v>-2.2824466847175939E-2</v>
      </c>
    </row>
    <row r="4334" spans="5:6" x14ac:dyDescent="0.35">
      <c r="E4334">
        <v>4331</v>
      </c>
      <c r="F4334">
        <f t="shared" ca="1" si="69"/>
        <v>-1.5131409500980424E-2</v>
      </c>
    </row>
    <row r="4335" spans="5:6" x14ac:dyDescent="0.35">
      <c r="E4335">
        <v>4332</v>
      </c>
      <c r="F4335">
        <f t="shared" ca="1" si="69"/>
        <v>1.1132408429465819E-2</v>
      </c>
    </row>
    <row r="4336" spans="5:6" x14ac:dyDescent="0.35">
      <c r="E4336">
        <v>4333</v>
      </c>
      <c r="F4336">
        <f t="shared" ca="1" si="69"/>
        <v>-4.9851500759122173E-3</v>
      </c>
    </row>
    <row r="4337" spans="5:6" x14ac:dyDescent="0.35">
      <c r="E4337">
        <v>4334</v>
      </c>
      <c r="F4337">
        <f t="shared" ca="1" si="69"/>
        <v>2.5155629731271539E-2</v>
      </c>
    </row>
    <row r="4338" spans="5:6" x14ac:dyDescent="0.35">
      <c r="E4338">
        <v>4335</v>
      </c>
      <c r="F4338">
        <f t="shared" ca="1" si="69"/>
        <v>1.5712511985606411E-2</v>
      </c>
    </row>
    <row r="4339" spans="5:6" x14ac:dyDescent="0.35">
      <c r="E4339">
        <v>4336</v>
      </c>
      <c r="F4339">
        <f t="shared" ca="1" si="69"/>
        <v>6.959497786476765E-3</v>
      </c>
    </row>
    <row r="4340" spans="5:6" x14ac:dyDescent="0.35">
      <c r="E4340">
        <v>4337</v>
      </c>
      <c r="F4340">
        <f t="shared" ca="1" si="69"/>
        <v>8.7750884263445468E-3</v>
      </c>
    </row>
    <row r="4341" spans="5:6" x14ac:dyDescent="0.35">
      <c r="E4341">
        <v>4338</v>
      </c>
      <c r="F4341">
        <f t="shared" ca="1" si="69"/>
        <v>7.5703754484743131E-3</v>
      </c>
    </row>
    <row r="4342" spans="5:6" x14ac:dyDescent="0.35">
      <c r="E4342">
        <v>4339</v>
      </c>
      <c r="F4342">
        <f t="shared" ca="1" si="69"/>
        <v>1.5308520236039793E-3</v>
      </c>
    </row>
    <row r="4343" spans="5:6" x14ac:dyDescent="0.35">
      <c r="E4343">
        <v>4340</v>
      </c>
      <c r="F4343">
        <f t="shared" ca="1" si="69"/>
        <v>1.9195883743013564E-2</v>
      </c>
    </row>
    <row r="4344" spans="5:6" x14ac:dyDescent="0.35">
      <c r="E4344">
        <v>4341</v>
      </c>
      <c r="F4344">
        <f t="shared" ca="1" si="69"/>
        <v>-1.2480599124328471E-2</v>
      </c>
    </row>
    <row r="4345" spans="5:6" x14ac:dyDescent="0.35">
      <c r="E4345">
        <v>4342</v>
      </c>
      <c r="F4345">
        <f t="shared" ca="1" si="69"/>
        <v>-8.246778415214491E-3</v>
      </c>
    </row>
    <row r="4346" spans="5:6" x14ac:dyDescent="0.35">
      <c r="E4346">
        <v>4343</v>
      </c>
      <c r="F4346">
        <f t="shared" ca="1" si="69"/>
        <v>-1.8876346151952106E-2</v>
      </c>
    </row>
    <row r="4347" spans="5:6" x14ac:dyDescent="0.35">
      <c r="E4347">
        <v>4344</v>
      </c>
      <c r="F4347">
        <f t="shared" ca="1" si="69"/>
        <v>-2.7496287154797031E-2</v>
      </c>
    </row>
    <row r="4348" spans="5:6" x14ac:dyDescent="0.35">
      <c r="E4348">
        <v>4345</v>
      </c>
      <c r="F4348">
        <f t="shared" ca="1" si="69"/>
        <v>-8.7452078489203499E-4</v>
      </c>
    </row>
    <row r="4349" spans="5:6" x14ac:dyDescent="0.35">
      <c r="E4349">
        <v>4346</v>
      </c>
      <c r="F4349">
        <f t="shared" ca="1" si="69"/>
        <v>-5.0314961367640193E-3</v>
      </c>
    </row>
    <row r="4350" spans="5:6" x14ac:dyDescent="0.35">
      <c r="E4350">
        <v>4347</v>
      </c>
      <c r="F4350">
        <f t="shared" ca="1" si="69"/>
        <v>-1.7204838995906753E-2</v>
      </c>
    </row>
    <row r="4351" spans="5:6" x14ac:dyDescent="0.35">
      <c r="E4351">
        <v>4348</v>
      </c>
      <c r="F4351">
        <f t="shared" ca="1" si="69"/>
        <v>1.6209513893443942E-2</v>
      </c>
    </row>
    <row r="4352" spans="5:6" x14ac:dyDescent="0.35">
      <c r="E4352">
        <v>4349</v>
      </c>
      <c r="F4352">
        <f t="shared" ca="1" si="69"/>
        <v>2.2171583892542434E-2</v>
      </c>
    </row>
    <row r="4353" spans="5:6" x14ac:dyDescent="0.35">
      <c r="E4353">
        <v>4350</v>
      </c>
      <c r="F4353">
        <f t="shared" ca="1" si="69"/>
        <v>-4.3189804585461265E-3</v>
      </c>
    </row>
    <row r="4354" spans="5:6" x14ac:dyDescent="0.35">
      <c r="E4354">
        <v>4351</v>
      </c>
      <c r="F4354">
        <f t="shared" ca="1" si="69"/>
        <v>1.3917014873895338E-2</v>
      </c>
    </row>
    <row r="4355" spans="5:6" x14ac:dyDescent="0.35">
      <c r="E4355">
        <v>4352</v>
      </c>
      <c r="F4355">
        <f t="shared" ca="1" si="69"/>
        <v>-1.1121366714611678E-2</v>
      </c>
    </row>
    <row r="4356" spans="5:6" x14ac:dyDescent="0.35">
      <c r="E4356">
        <v>4353</v>
      </c>
      <c r="F4356">
        <f t="shared" ca="1" si="69"/>
        <v>9.8005253310168659E-3</v>
      </c>
    </row>
    <row r="4357" spans="5:6" x14ac:dyDescent="0.35">
      <c r="E4357">
        <v>4354</v>
      </c>
      <c r="F4357">
        <f t="shared" ref="F4357:F4420" ca="1" si="70">_xlfn.NORM.INV(RAND(),M$6,M$7)</f>
        <v>-1.1285784853196579E-2</v>
      </c>
    </row>
    <row r="4358" spans="5:6" x14ac:dyDescent="0.35">
      <c r="E4358">
        <v>4355</v>
      </c>
      <c r="F4358">
        <f t="shared" ca="1" si="70"/>
        <v>-1.3348539537768336E-2</v>
      </c>
    </row>
    <row r="4359" spans="5:6" x14ac:dyDescent="0.35">
      <c r="E4359">
        <v>4356</v>
      </c>
      <c r="F4359">
        <f t="shared" ca="1" si="70"/>
        <v>1.3358302389374025E-3</v>
      </c>
    </row>
    <row r="4360" spans="5:6" x14ac:dyDescent="0.35">
      <c r="E4360">
        <v>4357</v>
      </c>
      <c r="F4360">
        <f t="shared" ca="1" si="70"/>
        <v>2.1663868532075081E-2</v>
      </c>
    </row>
    <row r="4361" spans="5:6" x14ac:dyDescent="0.35">
      <c r="E4361">
        <v>4358</v>
      </c>
      <c r="F4361">
        <f t="shared" ca="1" si="70"/>
        <v>3.1864320415955169E-3</v>
      </c>
    </row>
    <row r="4362" spans="5:6" x14ac:dyDescent="0.35">
      <c r="E4362">
        <v>4359</v>
      </c>
      <c r="F4362">
        <f t="shared" ca="1" si="70"/>
        <v>-3.5164924249994301E-3</v>
      </c>
    </row>
    <row r="4363" spans="5:6" x14ac:dyDescent="0.35">
      <c r="E4363">
        <v>4360</v>
      </c>
      <c r="F4363">
        <f t="shared" ca="1" si="70"/>
        <v>9.6682385101420285E-3</v>
      </c>
    </row>
    <row r="4364" spans="5:6" x14ac:dyDescent="0.35">
      <c r="E4364">
        <v>4361</v>
      </c>
      <c r="F4364">
        <f t="shared" ca="1" si="70"/>
        <v>-2.6272123439886209E-2</v>
      </c>
    </row>
    <row r="4365" spans="5:6" x14ac:dyDescent="0.35">
      <c r="E4365">
        <v>4362</v>
      </c>
      <c r="F4365">
        <f t="shared" ca="1" si="70"/>
        <v>1.7699932839744702E-2</v>
      </c>
    </row>
    <row r="4366" spans="5:6" x14ac:dyDescent="0.35">
      <c r="E4366">
        <v>4363</v>
      </c>
      <c r="F4366">
        <f t="shared" ca="1" si="70"/>
        <v>5.443984719610535E-3</v>
      </c>
    </row>
    <row r="4367" spans="5:6" x14ac:dyDescent="0.35">
      <c r="E4367">
        <v>4364</v>
      </c>
      <c r="F4367">
        <f t="shared" ca="1" si="70"/>
        <v>4.5383158309334733E-3</v>
      </c>
    </row>
    <row r="4368" spans="5:6" x14ac:dyDescent="0.35">
      <c r="E4368">
        <v>4365</v>
      </c>
      <c r="F4368">
        <f t="shared" ca="1" si="70"/>
        <v>-9.4180635660179764E-3</v>
      </c>
    </row>
    <row r="4369" spans="5:6" x14ac:dyDescent="0.35">
      <c r="E4369">
        <v>4366</v>
      </c>
      <c r="F4369">
        <f t="shared" ca="1" si="70"/>
        <v>-4.0720410566249888E-3</v>
      </c>
    </row>
    <row r="4370" spans="5:6" x14ac:dyDescent="0.35">
      <c r="E4370">
        <v>4367</v>
      </c>
      <c r="F4370">
        <f t="shared" ca="1" si="70"/>
        <v>-3.1702806319534226E-2</v>
      </c>
    </row>
    <row r="4371" spans="5:6" x14ac:dyDescent="0.35">
      <c r="E4371">
        <v>4368</v>
      </c>
      <c r="F4371">
        <f t="shared" ca="1" si="70"/>
        <v>-4.0801578894926914E-3</v>
      </c>
    </row>
    <row r="4372" spans="5:6" x14ac:dyDescent="0.35">
      <c r="E4372">
        <v>4369</v>
      </c>
      <c r="F4372">
        <f t="shared" ca="1" si="70"/>
        <v>-2.1862198411369157E-2</v>
      </c>
    </row>
    <row r="4373" spans="5:6" x14ac:dyDescent="0.35">
      <c r="E4373">
        <v>4370</v>
      </c>
      <c r="F4373">
        <f t="shared" ca="1" si="70"/>
        <v>-1.4702532043251485E-2</v>
      </c>
    </row>
    <row r="4374" spans="5:6" x14ac:dyDescent="0.35">
      <c r="E4374">
        <v>4371</v>
      </c>
      <c r="F4374">
        <f t="shared" ca="1" si="70"/>
        <v>2.4528648845615651E-2</v>
      </c>
    </row>
    <row r="4375" spans="5:6" x14ac:dyDescent="0.35">
      <c r="E4375">
        <v>4372</v>
      </c>
      <c r="F4375">
        <f t="shared" ca="1" si="70"/>
        <v>2.6139020020204788E-5</v>
      </c>
    </row>
    <row r="4376" spans="5:6" x14ac:dyDescent="0.35">
      <c r="E4376">
        <v>4373</v>
      </c>
      <c r="F4376">
        <f t="shared" ca="1" si="70"/>
        <v>-5.4663149598332345E-3</v>
      </c>
    </row>
    <row r="4377" spans="5:6" x14ac:dyDescent="0.35">
      <c r="E4377">
        <v>4374</v>
      </c>
      <c r="F4377">
        <f t="shared" ca="1" si="70"/>
        <v>1.1318032500627281E-2</v>
      </c>
    </row>
    <row r="4378" spans="5:6" x14ac:dyDescent="0.35">
      <c r="E4378">
        <v>4375</v>
      </c>
      <c r="F4378">
        <f t="shared" ca="1" si="70"/>
        <v>-2.0791268899526937E-2</v>
      </c>
    </row>
    <row r="4379" spans="5:6" x14ac:dyDescent="0.35">
      <c r="E4379">
        <v>4376</v>
      </c>
      <c r="F4379">
        <f t="shared" ca="1" si="70"/>
        <v>-2.5354223466399699E-2</v>
      </c>
    </row>
    <row r="4380" spans="5:6" x14ac:dyDescent="0.35">
      <c r="E4380">
        <v>4377</v>
      </c>
      <c r="F4380">
        <f t="shared" ca="1" si="70"/>
        <v>-1.5383576563277442E-2</v>
      </c>
    </row>
    <row r="4381" spans="5:6" x14ac:dyDescent="0.35">
      <c r="E4381">
        <v>4378</v>
      </c>
      <c r="F4381">
        <f t="shared" ca="1" si="70"/>
        <v>1.3002130085052906E-2</v>
      </c>
    </row>
    <row r="4382" spans="5:6" x14ac:dyDescent="0.35">
      <c r="E4382">
        <v>4379</v>
      </c>
      <c r="F4382">
        <f t="shared" ca="1" si="70"/>
        <v>-1.5945552779835906E-2</v>
      </c>
    </row>
    <row r="4383" spans="5:6" x14ac:dyDescent="0.35">
      <c r="E4383">
        <v>4380</v>
      </c>
      <c r="F4383">
        <f t="shared" ca="1" si="70"/>
        <v>2.2581681353122007E-2</v>
      </c>
    </row>
    <row r="4384" spans="5:6" x14ac:dyDescent="0.35">
      <c r="E4384">
        <v>4381</v>
      </c>
      <c r="F4384">
        <f t="shared" ca="1" si="70"/>
        <v>-3.2115745785383835E-3</v>
      </c>
    </row>
    <row r="4385" spans="5:6" x14ac:dyDescent="0.35">
      <c r="E4385">
        <v>4382</v>
      </c>
      <c r="F4385">
        <f t="shared" ca="1" si="70"/>
        <v>-8.6956344656945444E-4</v>
      </c>
    </row>
    <row r="4386" spans="5:6" x14ac:dyDescent="0.35">
      <c r="E4386">
        <v>4383</v>
      </c>
      <c r="F4386">
        <f t="shared" ca="1" si="70"/>
        <v>-6.890540144746909E-4</v>
      </c>
    </row>
    <row r="4387" spans="5:6" x14ac:dyDescent="0.35">
      <c r="E4387">
        <v>4384</v>
      </c>
      <c r="F4387">
        <f t="shared" ca="1" si="70"/>
        <v>4.3798999467290323E-2</v>
      </c>
    </row>
    <row r="4388" spans="5:6" x14ac:dyDescent="0.35">
      <c r="E4388">
        <v>4385</v>
      </c>
      <c r="F4388">
        <f t="shared" ca="1" si="70"/>
        <v>4.5439857304524888E-3</v>
      </c>
    </row>
    <row r="4389" spans="5:6" x14ac:dyDescent="0.35">
      <c r="E4389">
        <v>4386</v>
      </c>
      <c r="F4389">
        <f t="shared" ca="1" si="70"/>
        <v>-9.2925879690375201E-3</v>
      </c>
    </row>
    <row r="4390" spans="5:6" x14ac:dyDescent="0.35">
      <c r="E4390">
        <v>4387</v>
      </c>
      <c r="F4390">
        <f t="shared" ca="1" si="70"/>
        <v>-4.9631914255199782E-3</v>
      </c>
    </row>
    <row r="4391" spans="5:6" x14ac:dyDescent="0.35">
      <c r="E4391">
        <v>4388</v>
      </c>
      <c r="F4391">
        <f t="shared" ca="1" si="70"/>
        <v>-7.8060608949932428E-3</v>
      </c>
    </row>
    <row r="4392" spans="5:6" x14ac:dyDescent="0.35">
      <c r="E4392">
        <v>4389</v>
      </c>
      <c r="F4392">
        <f t="shared" ca="1" si="70"/>
        <v>1.530872844503209E-2</v>
      </c>
    </row>
    <row r="4393" spans="5:6" x14ac:dyDescent="0.35">
      <c r="E4393">
        <v>4390</v>
      </c>
      <c r="F4393">
        <f t="shared" ca="1" si="70"/>
        <v>5.9327011320580323E-3</v>
      </c>
    </row>
    <row r="4394" spans="5:6" x14ac:dyDescent="0.35">
      <c r="E4394">
        <v>4391</v>
      </c>
      <c r="F4394">
        <f t="shared" ca="1" si="70"/>
        <v>1.1246346575143271E-2</v>
      </c>
    </row>
    <row r="4395" spans="5:6" x14ac:dyDescent="0.35">
      <c r="E4395">
        <v>4392</v>
      </c>
      <c r="F4395">
        <f t="shared" ca="1" si="70"/>
        <v>1.1470336844642333E-2</v>
      </c>
    </row>
    <row r="4396" spans="5:6" x14ac:dyDescent="0.35">
      <c r="E4396">
        <v>4393</v>
      </c>
      <c r="F4396">
        <f t="shared" ca="1" si="70"/>
        <v>-2.2817068304864324E-2</v>
      </c>
    </row>
    <row r="4397" spans="5:6" x14ac:dyDescent="0.35">
      <c r="E4397">
        <v>4394</v>
      </c>
      <c r="F4397">
        <f t="shared" ca="1" si="70"/>
        <v>-2.4058094181145979E-2</v>
      </c>
    </row>
    <row r="4398" spans="5:6" x14ac:dyDescent="0.35">
      <c r="E4398">
        <v>4395</v>
      </c>
      <c r="F4398">
        <f t="shared" ca="1" si="70"/>
        <v>1.5275503289138513E-2</v>
      </c>
    </row>
    <row r="4399" spans="5:6" x14ac:dyDescent="0.35">
      <c r="E4399">
        <v>4396</v>
      </c>
      <c r="F4399">
        <f t="shared" ca="1" si="70"/>
        <v>-8.2556041961672297E-3</v>
      </c>
    </row>
    <row r="4400" spans="5:6" x14ac:dyDescent="0.35">
      <c r="E4400">
        <v>4397</v>
      </c>
      <c r="F4400">
        <f t="shared" ca="1" si="70"/>
        <v>-1.9631062782920494E-2</v>
      </c>
    </row>
    <row r="4401" spans="5:6" x14ac:dyDescent="0.35">
      <c r="E4401">
        <v>4398</v>
      </c>
      <c r="F4401">
        <f t="shared" ca="1" si="70"/>
        <v>7.8727865539097216E-3</v>
      </c>
    </row>
    <row r="4402" spans="5:6" x14ac:dyDescent="0.35">
      <c r="E4402">
        <v>4399</v>
      </c>
      <c r="F4402">
        <f t="shared" ca="1" si="70"/>
        <v>1.638265244074117E-2</v>
      </c>
    </row>
    <row r="4403" spans="5:6" x14ac:dyDescent="0.35">
      <c r="E4403">
        <v>4400</v>
      </c>
      <c r="F4403">
        <f t="shared" ca="1" si="70"/>
        <v>-1.4264388890653037E-2</v>
      </c>
    </row>
    <row r="4404" spans="5:6" x14ac:dyDescent="0.35">
      <c r="E4404">
        <v>4401</v>
      </c>
      <c r="F4404">
        <f t="shared" ca="1" si="70"/>
        <v>1.5753706332771601E-2</v>
      </c>
    </row>
    <row r="4405" spans="5:6" x14ac:dyDescent="0.35">
      <c r="E4405">
        <v>4402</v>
      </c>
      <c r="F4405">
        <f t="shared" ca="1" si="70"/>
        <v>-5.5734251919470909E-3</v>
      </c>
    </row>
    <row r="4406" spans="5:6" x14ac:dyDescent="0.35">
      <c r="E4406">
        <v>4403</v>
      </c>
      <c r="F4406">
        <f t="shared" ca="1" si="70"/>
        <v>-1.8350645201985226E-2</v>
      </c>
    </row>
    <row r="4407" spans="5:6" x14ac:dyDescent="0.35">
      <c r="E4407">
        <v>4404</v>
      </c>
      <c r="F4407">
        <f t="shared" ca="1" si="70"/>
        <v>-1.0243840874543103E-2</v>
      </c>
    </row>
    <row r="4408" spans="5:6" x14ac:dyDescent="0.35">
      <c r="E4408">
        <v>4405</v>
      </c>
      <c r="F4408">
        <f t="shared" ca="1" si="70"/>
        <v>-2.1269115905688902E-3</v>
      </c>
    </row>
    <row r="4409" spans="5:6" x14ac:dyDescent="0.35">
      <c r="E4409">
        <v>4406</v>
      </c>
      <c r="F4409">
        <f t="shared" ca="1" si="70"/>
        <v>-3.3364399611018615E-4</v>
      </c>
    </row>
    <row r="4410" spans="5:6" x14ac:dyDescent="0.35">
      <c r="E4410">
        <v>4407</v>
      </c>
      <c r="F4410">
        <f t="shared" ca="1" si="70"/>
        <v>-8.8299084346862462E-3</v>
      </c>
    </row>
    <row r="4411" spans="5:6" x14ac:dyDescent="0.35">
      <c r="E4411">
        <v>4408</v>
      </c>
      <c r="F4411">
        <f t="shared" ca="1" si="70"/>
        <v>6.614851866575777E-3</v>
      </c>
    </row>
    <row r="4412" spans="5:6" x14ac:dyDescent="0.35">
      <c r="E4412">
        <v>4409</v>
      </c>
      <c r="F4412">
        <f t="shared" ca="1" si="70"/>
        <v>-5.9738956659941269E-3</v>
      </c>
    </row>
    <row r="4413" spans="5:6" x14ac:dyDescent="0.35">
      <c r="E4413">
        <v>4410</v>
      </c>
      <c r="F4413">
        <f t="shared" ca="1" si="70"/>
        <v>-2.8845928039033436E-2</v>
      </c>
    </row>
    <row r="4414" spans="5:6" x14ac:dyDescent="0.35">
      <c r="E4414">
        <v>4411</v>
      </c>
      <c r="F4414">
        <f t="shared" ca="1" si="70"/>
        <v>-1.0395518804130017E-2</v>
      </c>
    </row>
    <row r="4415" spans="5:6" x14ac:dyDescent="0.35">
      <c r="E4415">
        <v>4412</v>
      </c>
      <c r="F4415">
        <f t="shared" ca="1" si="70"/>
        <v>1.5798684661103218E-2</v>
      </c>
    </row>
    <row r="4416" spans="5:6" x14ac:dyDescent="0.35">
      <c r="E4416">
        <v>4413</v>
      </c>
      <c r="F4416">
        <f t="shared" ca="1" si="70"/>
        <v>8.8651598506823779E-3</v>
      </c>
    </row>
    <row r="4417" spans="5:6" x14ac:dyDescent="0.35">
      <c r="E4417">
        <v>4414</v>
      </c>
      <c r="F4417">
        <f t="shared" ca="1" si="70"/>
        <v>-9.8347351162677548E-3</v>
      </c>
    </row>
    <row r="4418" spans="5:6" x14ac:dyDescent="0.35">
      <c r="E4418">
        <v>4415</v>
      </c>
      <c r="F4418">
        <f t="shared" ca="1" si="70"/>
        <v>-3.4403805185862911E-2</v>
      </c>
    </row>
    <row r="4419" spans="5:6" x14ac:dyDescent="0.35">
      <c r="E4419">
        <v>4416</v>
      </c>
      <c r="F4419">
        <f t="shared" ca="1" si="70"/>
        <v>1.9780568140212026E-3</v>
      </c>
    </row>
    <row r="4420" spans="5:6" x14ac:dyDescent="0.35">
      <c r="E4420">
        <v>4417</v>
      </c>
      <c r="F4420">
        <f t="shared" ca="1" si="70"/>
        <v>-1.3669391355579661E-2</v>
      </c>
    </row>
    <row r="4421" spans="5:6" x14ac:dyDescent="0.35">
      <c r="E4421">
        <v>4418</v>
      </c>
      <c r="F4421">
        <f t="shared" ref="F4421:F4484" ca="1" si="71">_xlfn.NORM.INV(RAND(),M$6,M$7)</f>
        <v>3.2377895552201034E-3</v>
      </c>
    </row>
    <row r="4422" spans="5:6" x14ac:dyDescent="0.35">
      <c r="E4422">
        <v>4419</v>
      </c>
      <c r="F4422">
        <f t="shared" ca="1" si="71"/>
        <v>3.4415177757882282E-3</v>
      </c>
    </row>
    <row r="4423" spans="5:6" x14ac:dyDescent="0.35">
      <c r="E4423">
        <v>4420</v>
      </c>
      <c r="F4423">
        <f t="shared" ca="1" si="71"/>
        <v>1.9449942493988028E-3</v>
      </c>
    </row>
    <row r="4424" spans="5:6" x14ac:dyDescent="0.35">
      <c r="E4424">
        <v>4421</v>
      </c>
      <c r="F4424">
        <f t="shared" ca="1" si="71"/>
        <v>1.8155409513571683E-2</v>
      </c>
    </row>
    <row r="4425" spans="5:6" x14ac:dyDescent="0.35">
      <c r="E4425">
        <v>4422</v>
      </c>
      <c r="F4425">
        <f t="shared" ca="1" si="71"/>
        <v>1.6446566789773475E-2</v>
      </c>
    </row>
    <row r="4426" spans="5:6" x14ac:dyDescent="0.35">
      <c r="E4426">
        <v>4423</v>
      </c>
      <c r="F4426">
        <f t="shared" ca="1" si="71"/>
        <v>1.0087575247758223E-2</v>
      </c>
    </row>
    <row r="4427" spans="5:6" x14ac:dyDescent="0.35">
      <c r="E4427">
        <v>4424</v>
      </c>
      <c r="F4427">
        <f t="shared" ca="1" si="71"/>
        <v>-3.3726659241394599E-4</v>
      </c>
    </row>
    <row r="4428" spans="5:6" x14ac:dyDescent="0.35">
      <c r="E4428">
        <v>4425</v>
      </c>
      <c r="F4428">
        <f t="shared" ca="1" si="71"/>
        <v>1.0642372522478722E-2</v>
      </c>
    </row>
    <row r="4429" spans="5:6" x14ac:dyDescent="0.35">
      <c r="E4429">
        <v>4426</v>
      </c>
      <c r="F4429">
        <f t="shared" ca="1" si="71"/>
        <v>-4.526074735885806E-3</v>
      </c>
    </row>
    <row r="4430" spans="5:6" x14ac:dyDescent="0.35">
      <c r="E4430">
        <v>4427</v>
      </c>
      <c r="F4430">
        <f t="shared" ca="1" si="71"/>
        <v>-4.5730684130198575E-5</v>
      </c>
    </row>
    <row r="4431" spans="5:6" x14ac:dyDescent="0.35">
      <c r="E4431">
        <v>4428</v>
      </c>
      <c r="F4431">
        <f t="shared" ca="1" si="71"/>
        <v>-2.7273449958848126E-3</v>
      </c>
    </row>
    <row r="4432" spans="5:6" x14ac:dyDescent="0.35">
      <c r="E4432">
        <v>4429</v>
      </c>
      <c r="F4432">
        <f t="shared" ca="1" si="71"/>
        <v>8.9435031818855884E-3</v>
      </c>
    </row>
    <row r="4433" spans="5:6" x14ac:dyDescent="0.35">
      <c r="E4433">
        <v>4430</v>
      </c>
      <c r="F4433">
        <f t="shared" ca="1" si="71"/>
        <v>2.0814858368716636E-2</v>
      </c>
    </row>
    <row r="4434" spans="5:6" x14ac:dyDescent="0.35">
      <c r="E4434">
        <v>4431</v>
      </c>
      <c r="F4434">
        <f t="shared" ca="1" si="71"/>
        <v>2.1566588705664136E-2</v>
      </c>
    </row>
    <row r="4435" spans="5:6" x14ac:dyDescent="0.35">
      <c r="E4435">
        <v>4432</v>
      </c>
      <c r="F4435">
        <f t="shared" ca="1" si="71"/>
        <v>-8.8959517882203094E-3</v>
      </c>
    </row>
    <row r="4436" spans="5:6" x14ac:dyDescent="0.35">
      <c r="E4436">
        <v>4433</v>
      </c>
      <c r="F4436">
        <f t="shared" ca="1" si="71"/>
        <v>2.9998832344154978E-2</v>
      </c>
    </row>
    <row r="4437" spans="5:6" x14ac:dyDescent="0.35">
      <c r="E4437">
        <v>4434</v>
      </c>
      <c r="F4437">
        <f t="shared" ca="1" si="71"/>
        <v>-7.0973064775728036E-3</v>
      </c>
    </row>
    <row r="4438" spans="5:6" x14ac:dyDescent="0.35">
      <c r="E4438">
        <v>4435</v>
      </c>
      <c r="F4438">
        <f t="shared" ca="1" si="71"/>
        <v>8.4642372013415696E-3</v>
      </c>
    </row>
    <row r="4439" spans="5:6" x14ac:dyDescent="0.35">
      <c r="E4439">
        <v>4436</v>
      </c>
      <c r="F4439">
        <f t="shared" ca="1" si="71"/>
        <v>-3.0609228734097185E-3</v>
      </c>
    </row>
    <row r="4440" spans="5:6" x14ac:dyDescent="0.35">
      <c r="E4440">
        <v>4437</v>
      </c>
      <c r="F4440">
        <f t="shared" ca="1" si="71"/>
        <v>3.1446636811771813E-3</v>
      </c>
    </row>
    <row r="4441" spans="5:6" x14ac:dyDescent="0.35">
      <c r="E4441">
        <v>4438</v>
      </c>
      <c r="F4441">
        <f t="shared" ca="1" si="71"/>
        <v>-2.8566883087089434E-2</v>
      </c>
    </row>
    <row r="4442" spans="5:6" x14ac:dyDescent="0.35">
      <c r="E4442">
        <v>4439</v>
      </c>
      <c r="F4442">
        <f t="shared" ca="1" si="71"/>
        <v>1.0661906004458686E-2</v>
      </c>
    </row>
    <row r="4443" spans="5:6" x14ac:dyDescent="0.35">
      <c r="E4443">
        <v>4440</v>
      </c>
      <c r="F4443">
        <f t="shared" ca="1" si="71"/>
        <v>2.2555189273877702E-2</v>
      </c>
    </row>
    <row r="4444" spans="5:6" x14ac:dyDescent="0.35">
      <c r="E4444">
        <v>4441</v>
      </c>
      <c r="F4444">
        <f t="shared" ca="1" si="71"/>
        <v>2.3655632940261773E-3</v>
      </c>
    </row>
    <row r="4445" spans="5:6" x14ac:dyDescent="0.35">
      <c r="E4445">
        <v>4442</v>
      </c>
      <c r="F4445">
        <f t="shared" ca="1" si="71"/>
        <v>-2.5784988860227389E-3</v>
      </c>
    </row>
    <row r="4446" spans="5:6" x14ac:dyDescent="0.35">
      <c r="E4446">
        <v>4443</v>
      </c>
      <c r="F4446">
        <f t="shared" ca="1" si="71"/>
        <v>1.3199711306823264E-2</v>
      </c>
    </row>
    <row r="4447" spans="5:6" x14ac:dyDescent="0.35">
      <c r="E4447">
        <v>4444</v>
      </c>
      <c r="F4447">
        <f t="shared" ca="1" si="71"/>
        <v>-1.7943994809336686E-2</v>
      </c>
    </row>
    <row r="4448" spans="5:6" x14ac:dyDescent="0.35">
      <c r="E4448">
        <v>4445</v>
      </c>
      <c r="F4448">
        <f t="shared" ca="1" si="71"/>
        <v>5.8202945792575509E-3</v>
      </c>
    </row>
    <row r="4449" spans="5:6" x14ac:dyDescent="0.35">
      <c r="E4449">
        <v>4446</v>
      </c>
      <c r="F4449">
        <f t="shared" ca="1" si="71"/>
        <v>7.1720413460387008E-3</v>
      </c>
    </row>
    <row r="4450" spans="5:6" x14ac:dyDescent="0.35">
      <c r="E4450">
        <v>4447</v>
      </c>
      <c r="F4450">
        <f t="shared" ca="1" si="71"/>
        <v>-1.721440493541708E-2</v>
      </c>
    </row>
    <row r="4451" spans="5:6" x14ac:dyDescent="0.35">
      <c r="E4451">
        <v>4448</v>
      </c>
      <c r="F4451">
        <f t="shared" ca="1" si="71"/>
        <v>-2.4206532961278764E-2</v>
      </c>
    </row>
    <row r="4452" spans="5:6" x14ac:dyDescent="0.35">
      <c r="E4452">
        <v>4449</v>
      </c>
      <c r="F4452">
        <f t="shared" ca="1" si="71"/>
        <v>-3.5588441496832374E-3</v>
      </c>
    </row>
    <row r="4453" spans="5:6" x14ac:dyDescent="0.35">
      <c r="E4453">
        <v>4450</v>
      </c>
      <c r="F4453">
        <f t="shared" ca="1" si="71"/>
        <v>-2.5064379751385314E-3</v>
      </c>
    </row>
    <row r="4454" spans="5:6" x14ac:dyDescent="0.35">
      <c r="E4454">
        <v>4451</v>
      </c>
      <c r="F4454">
        <f t="shared" ca="1" si="71"/>
        <v>-8.0285487387567259E-3</v>
      </c>
    </row>
    <row r="4455" spans="5:6" x14ac:dyDescent="0.35">
      <c r="E4455">
        <v>4452</v>
      </c>
      <c r="F4455">
        <f t="shared" ca="1" si="71"/>
        <v>2.8055186929911626E-2</v>
      </c>
    </row>
    <row r="4456" spans="5:6" x14ac:dyDescent="0.35">
      <c r="E4456">
        <v>4453</v>
      </c>
      <c r="F4456">
        <f t="shared" ca="1" si="71"/>
        <v>6.142649674559345E-3</v>
      </c>
    </row>
    <row r="4457" spans="5:6" x14ac:dyDescent="0.35">
      <c r="E4457">
        <v>4454</v>
      </c>
      <c r="F4457">
        <f t="shared" ca="1" si="71"/>
        <v>-4.3964507442224389E-2</v>
      </c>
    </row>
    <row r="4458" spans="5:6" x14ac:dyDescent="0.35">
      <c r="E4458">
        <v>4455</v>
      </c>
      <c r="F4458">
        <f t="shared" ca="1" si="71"/>
        <v>2.774021613409108E-3</v>
      </c>
    </row>
    <row r="4459" spans="5:6" x14ac:dyDescent="0.35">
      <c r="E4459">
        <v>4456</v>
      </c>
      <c r="F4459">
        <f t="shared" ca="1" si="71"/>
        <v>-3.6913037004700257E-2</v>
      </c>
    </row>
    <row r="4460" spans="5:6" x14ac:dyDescent="0.35">
      <c r="E4460">
        <v>4457</v>
      </c>
      <c r="F4460">
        <f t="shared" ca="1" si="71"/>
        <v>5.2700020347130269E-3</v>
      </c>
    </row>
    <row r="4461" spans="5:6" x14ac:dyDescent="0.35">
      <c r="E4461">
        <v>4458</v>
      </c>
      <c r="F4461">
        <f t="shared" ca="1" si="71"/>
        <v>1.5034688053410083E-2</v>
      </c>
    </row>
    <row r="4462" spans="5:6" x14ac:dyDescent="0.35">
      <c r="E4462">
        <v>4459</v>
      </c>
      <c r="F4462">
        <f t="shared" ca="1" si="71"/>
        <v>1.5091780394676724E-2</v>
      </c>
    </row>
    <row r="4463" spans="5:6" x14ac:dyDescent="0.35">
      <c r="E4463">
        <v>4460</v>
      </c>
      <c r="F4463">
        <f t="shared" ca="1" si="71"/>
        <v>-4.6008177471687202E-3</v>
      </c>
    </row>
    <row r="4464" spans="5:6" x14ac:dyDescent="0.35">
      <c r="E4464">
        <v>4461</v>
      </c>
      <c r="F4464">
        <f t="shared" ca="1" si="71"/>
        <v>-1.8994557350620004E-2</v>
      </c>
    </row>
    <row r="4465" spans="5:6" x14ac:dyDescent="0.35">
      <c r="E4465">
        <v>4462</v>
      </c>
      <c r="F4465">
        <f t="shared" ca="1" si="71"/>
        <v>2.8122582274258479E-3</v>
      </c>
    </row>
    <row r="4466" spans="5:6" x14ac:dyDescent="0.35">
      <c r="E4466">
        <v>4463</v>
      </c>
      <c r="F4466">
        <f t="shared" ca="1" si="71"/>
        <v>2.262096887538046E-3</v>
      </c>
    </row>
    <row r="4467" spans="5:6" x14ac:dyDescent="0.35">
      <c r="E4467">
        <v>4464</v>
      </c>
      <c r="F4467">
        <f t="shared" ca="1" si="71"/>
        <v>1.2388182609568215E-3</v>
      </c>
    </row>
    <row r="4468" spans="5:6" x14ac:dyDescent="0.35">
      <c r="E4468">
        <v>4465</v>
      </c>
      <c r="F4468">
        <f t="shared" ca="1" si="71"/>
        <v>-1.8231874520632071E-2</v>
      </c>
    </row>
    <row r="4469" spans="5:6" x14ac:dyDescent="0.35">
      <c r="E4469">
        <v>4466</v>
      </c>
      <c r="F4469">
        <f t="shared" ca="1" si="71"/>
        <v>-2.952307821003702E-3</v>
      </c>
    </row>
    <row r="4470" spans="5:6" x14ac:dyDescent="0.35">
      <c r="E4470">
        <v>4467</v>
      </c>
      <c r="F4470">
        <f t="shared" ca="1" si="71"/>
        <v>-2.3018565436625491E-3</v>
      </c>
    </row>
    <row r="4471" spans="5:6" x14ac:dyDescent="0.35">
      <c r="E4471">
        <v>4468</v>
      </c>
      <c r="F4471">
        <f t="shared" ca="1" si="71"/>
        <v>2.2872734946927559E-2</v>
      </c>
    </row>
    <row r="4472" spans="5:6" x14ac:dyDescent="0.35">
      <c r="E4472">
        <v>4469</v>
      </c>
      <c r="F4472">
        <f t="shared" ca="1" si="71"/>
        <v>1.185735730725688E-2</v>
      </c>
    </row>
    <row r="4473" spans="5:6" x14ac:dyDescent="0.35">
      <c r="E4473">
        <v>4470</v>
      </c>
      <c r="F4473">
        <f t="shared" ca="1" si="71"/>
        <v>-1.0403329214766811E-2</v>
      </c>
    </row>
    <row r="4474" spans="5:6" x14ac:dyDescent="0.35">
      <c r="E4474">
        <v>4471</v>
      </c>
      <c r="F4474">
        <f t="shared" ca="1" si="71"/>
        <v>9.3481990055563954E-3</v>
      </c>
    </row>
    <row r="4475" spans="5:6" x14ac:dyDescent="0.35">
      <c r="E4475">
        <v>4472</v>
      </c>
      <c r="F4475">
        <f t="shared" ca="1" si="71"/>
        <v>7.3791069807347363E-3</v>
      </c>
    </row>
    <row r="4476" spans="5:6" x14ac:dyDescent="0.35">
      <c r="E4476">
        <v>4473</v>
      </c>
      <c r="F4476">
        <f t="shared" ca="1" si="71"/>
        <v>-1.4176089821799713E-2</v>
      </c>
    </row>
    <row r="4477" spans="5:6" x14ac:dyDescent="0.35">
      <c r="E4477">
        <v>4474</v>
      </c>
      <c r="F4477">
        <f t="shared" ca="1" si="71"/>
        <v>-7.7801890577702919E-3</v>
      </c>
    </row>
    <row r="4478" spans="5:6" x14ac:dyDescent="0.35">
      <c r="E4478">
        <v>4475</v>
      </c>
      <c r="F4478">
        <f t="shared" ca="1" si="71"/>
        <v>6.9677203908981725E-3</v>
      </c>
    </row>
    <row r="4479" spans="5:6" x14ac:dyDescent="0.35">
      <c r="E4479">
        <v>4476</v>
      </c>
      <c r="F4479">
        <f t="shared" ca="1" si="71"/>
        <v>-1.286432324950809E-2</v>
      </c>
    </row>
    <row r="4480" spans="5:6" x14ac:dyDescent="0.35">
      <c r="E4480">
        <v>4477</v>
      </c>
      <c r="F4480">
        <f t="shared" ca="1" si="71"/>
        <v>-3.8709407322619072E-3</v>
      </c>
    </row>
    <row r="4481" spans="5:6" x14ac:dyDescent="0.35">
      <c r="E4481">
        <v>4478</v>
      </c>
      <c r="F4481">
        <f t="shared" ca="1" si="71"/>
        <v>1.9966265743270633E-2</v>
      </c>
    </row>
    <row r="4482" spans="5:6" x14ac:dyDescent="0.35">
      <c r="E4482">
        <v>4479</v>
      </c>
      <c r="F4482">
        <f t="shared" ca="1" si="71"/>
        <v>-8.4454781343841056E-3</v>
      </c>
    </row>
    <row r="4483" spans="5:6" x14ac:dyDescent="0.35">
      <c r="E4483">
        <v>4480</v>
      </c>
      <c r="F4483">
        <f t="shared" ca="1" si="71"/>
        <v>1.6790824292284862E-2</v>
      </c>
    </row>
    <row r="4484" spans="5:6" x14ac:dyDescent="0.35">
      <c r="E4484">
        <v>4481</v>
      </c>
      <c r="F4484">
        <f t="shared" ca="1" si="71"/>
        <v>1.8245234955663781E-3</v>
      </c>
    </row>
    <row r="4485" spans="5:6" x14ac:dyDescent="0.35">
      <c r="E4485">
        <v>4482</v>
      </c>
      <c r="F4485">
        <f t="shared" ref="F4485:F4548" ca="1" si="72">_xlfn.NORM.INV(RAND(),M$6,M$7)</f>
        <v>1.9392955832192259E-2</v>
      </c>
    </row>
    <row r="4486" spans="5:6" x14ac:dyDescent="0.35">
      <c r="E4486">
        <v>4483</v>
      </c>
      <c r="F4486">
        <f t="shared" ca="1" si="72"/>
        <v>6.0064630466566404E-3</v>
      </c>
    </row>
    <row r="4487" spans="5:6" x14ac:dyDescent="0.35">
      <c r="E4487">
        <v>4484</v>
      </c>
      <c r="F4487">
        <f t="shared" ca="1" si="72"/>
        <v>8.2365739913499419E-3</v>
      </c>
    </row>
    <row r="4488" spans="5:6" x14ac:dyDescent="0.35">
      <c r="E4488">
        <v>4485</v>
      </c>
      <c r="F4488">
        <f t="shared" ca="1" si="72"/>
        <v>2.5523990323678043E-2</v>
      </c>
    </row>
    <row r="4489" spans="5:6" x14ac:dyDescent="0.35">
      <c r="E4489">
        <v>4486</v>
      </c>
      <c r="F4489">
        <f t="shared" ca="1" si="72"/>
        <v>1.7848139763159885E-2</v>
      </c>
    </row>
    <row r="4490" spans="5:6" x14ac:dyDescent="0.35">
      <c r="E4490">
        <v>4487</v>
      </c>
      <c r="F4490">
        <f t="shared" ca="1" si="72"/>
        <v>-1.3121945700177424E-2</v>
      </c>
    </row>
    <row r="4491" spans="5:6" x14ac:dyDescent="0.35">
      <c r="E4491">
        <v>4488</v>
      </c>
      <c r="F4491">
        <f t="shared" ca="1" si="72"/>
        <v>-5.8542339033773212E-3</v>
      </c>
    </row>
    <row r="4492" spans="5:6" x14ac:dyDescent="0.35">
      <c r="E4492">
        <v>4489</v>
      </c>
      <c r="F4492">
        <f t="shared" ca="1" si="72"/>
        <v>1.2615122400341034E-2</v>
      </c>
    </row>
    <row r="4493" spans="5:6" x14ac:dyDescent="0.35">
      <c r="E4493">
        <v>4490</v>
      </c>
      <c r="F4493">
        <f t="shared" ca="1" si="72"/>
        <v>-1.4014446602488859E-2</v>
      </c>
    </row>
    <row r="4494" spans="5:6" x14ac:dyDescent="0.35">
      <c r="E4494">
        <v>4491</v>
      </c>
      <c r="F4494">
        <f t="shared" ca="1" si="72"/>
        <v>1.395530765589929E-3</v>
      </c>
    </row>
    <row r="4495" spans="5:6" x14ac:dyDescent="0.35">
      <c r="E4495">
        <v>4492</v>
      </c>
      <c r="F4495">
        <f t="shared" ca="1" si="72"/>
        <v>-1.7296202498038399E-2</v>
      </c>
    </row>
    <row r="4496" spans="5:6" x14ac:dyDescent="0.35">
      <c r="E4496">
        <v>4493</v>
      </c>
      <c r="F4496">
        <f t="shared" ca="1" si="72"/>
        <v>-5.7654975657362231E-3</v>
      </c>
    </row>
    <row r="4497" spans="5:6" x14ac:dyDescent="0.35">
      <c r="E4497">
        <v>4494</v>
      </c>
      <c r="F4497">
        <f t="shared" ca="1" si="72"/>
        <v>1.1957997575126817E-2</v>
      </c>
    </row>
    <row r="4498" spans="5:6" x14ac:dyDescent="0.35">
      <c r="E4498">
        <v>4495</v>
      </c>
      <c r="F4498">
        <f t="shared" ca="1" si="72"/>
        <v>1.7533996576272207E-2</v>
      </c>
    </row>
    <row r="4499" spans="5:6" x14ac:dyDescent="0.35">
      <c r="E4499">
        <v>4496</v>
      </c>
      <c r="F4499">
        <f t="shared" ca="1" si="72"/>
        <v>-8.1154354472629652E-3</v>
      </c>
    </row>
    <row r="4500" spans="5:6" x14ac:dyDescent="0.35">
      <c r="E4500">
        <v>4497</v>
      </c>
      <c r="F4500">
        <f t="shared" ca="1" si="72"/>
        <v>-2.443163404817178E-2</v>
      </c>
    </row>
    <row r="4501" spans="5:6" x14ac:dyDescent="0.35">
      <c r="E4501">
        <v>4498</v>
      </c>
      <c r="F4501">
        <f t="shared" ca="1" si="72"/>
        <v>-2.5507628934712738E-3</v>
      </c>
    </row>
    <row r="4502" spans="5:6" x14ac:dyDescent="0.35">
      <c r="E4502">
        <v>4499</v>
      </c>
      <c r="F4502">
        <f t="shared" ca="1" si="72"/>
        <v>-2.2470167512474395E-2</v>
      </c>
    </row>
    <row r="4503" spans="5:6" x14ac:dyDescent="0.35">
      <c r="E4503">
        <v>4500</v>
      </c>
      <c r="F4503">
        <f t="shared" ca="1" si="72"/>
        <v>2.8201748301455659E-4</v>
      </c>
    </row>
    <row r="4504" spans="5:6" x14ac:dyDescent="0.35">
      <c r="E4504">
        <v>4501</v>
      </c>
      <c r="F4504">
        <f t="shared" ca="1" si="72"/>
        <v>-5.9636908139478959E-3</v>
      </c>
    </row>
    <row r="4505" spans="5:6" x14ac:dyDescent="0.35">
      <c r="E4505">
        <v>4502</v>
      </c>
      <c r="F4505">
        <f t="shared" ca="1" si="72"/>
        <v>2.0203875569967389E-2</v>
      </c>
    </row>
    <row r="4506" spans="5:6" x14ac:dyDescent="0.35">
      <c r="E4506">
        <v>4503</v>
      </c>
      <c r="F4506">
        <f t="shared" ca="1" si="72"/>
        <v>-2.6739594073506574E-2</v>
      </c>
    </row>
    <row r="4507" spans="5:6" x14ac:dyDescent="0.35">
      <c r="E4507">
        <v>4504</v>
      </c>
      <c r="F4507">
        <f t="shared" ca="1" si="72"/>
        <v>1.4912135350541378E-3</v>
      </c>
    </row>
    <row r="4508" spans="5:6" x14ac:dyDescent="0.35">
      <c r="E4508">
        <v>4505</v>
      </c>
      <c r="F4508">
        <f t="shared" ca="1" si="72"/>
        <v>-1.8147990195880589E-2</v>
      </c>
    </row>
    <row r="4509" spans="5:6" x14ac:dyDescent="0.35">
      <c r="E4509">
        <v>4506</v>
      </c>
      <c r="F4509">
        <f t="shared" ca="1" si="72"/>
        <v>-2.2844761496841458E-2</v>
      </c>
    </row>
    <row r="4510" spans="5:6" x14ac:dyDescent="0.35">
      <c r="E4510">
        <v>4507</v>
      </c>
      <c r="F4510">
        <f t="shared" ca="1" si="72"/>
        <v>1.388008970098358E-2</v>
      </c>
    </row>
    <row r="4511" spans="5:6" x14ac:dyDescent="0.35">
      <c r="E4511">
        <v>4508</v>
      </c>
      <c r="F4511">
        <f t="shared" ca="1" si="72"/>
        <v>1.7673042024225191E-2</v>
      </c>
    </row>
    <row r="4512" spans="5:6" x14ac:dyDescent="0.35">
      <c r="E4512">
        <v>4509</v>
      </c>
      <c r="F4512">
        <f t="shared" ca="1" si="72"/>
        <v>-1.4672922274684554E-2</v>
      </c>
    </row>
    <row r="4513" spans="5:6" x14ac:dyDescent="0.35">
      <c r="E4513">
        <v>4510</v>
      </c>
      <c r="F4513">
        <f t="shared" ca="1" si="72"/>
        <v>5.8888936752551383E-3</v>
      </c>
    </row>
    <row r="4514" spans="5:6" x14ac:dyDescent="0.35">
      <c r="E4514">
        <v>4511</v>
      </c>
      <c r="F4514">
        <f t="shared" ca="1" si="72"/>
        <v>1.168527362192842E-2</v>
      </c>
    </row>
    <row r="4515" spans="5:6" x14ac:dyDescent="0.35">
      <c r="E4515">
        <v>4512</v>
      </c>
      <c r="F4515">
        <f t="shared" ca="1" si="72"/>
        <v>-9.6641915264352382E-3</v>
      </c>
    </row>
    <row r="4516" spans="5:6" x14ac:dyDescent="0.35">
      <c r="E4516">
        <v>4513</v>
      </c>
      <c r="F4516">
        <f t="shared" ca="1" si="72"/>
        <v>-2.9756659845059617E-3</v>
      </c>
    </row>
    <row r="4517" spans="5:6" x14ac:dyDescent="0.35">
      <c r="E4517">
        <v>4514</v>
      </c>
      <c r="F4517">
        <f t="shared" ca="1" si="72"/>
        <v>3.9932724916060119E-3</v>
      </c>
    </row>
    <row r="4518" spans="5:6" x14ac:dyDescent="0.35">
      <c r="E4518">
        <v>4515</v>
      </c>
      <c r="F4518">
        <f t="shared" ca="1" si="72"/>
        <v>2.8034651776030654E-2</v>
      </c>
    </row>
    <row r="4519" spans="5:6" x14ac:dyDescent="0.35">
      <c r="E4519">
        <v>4516</v>
      </c>
      <c r="F4519">
        <f t="shared" ca="1" si="72"/>
        <v>5.4111562078979752E-3</v>
      </c>
    </row>
    <row r="4520" spans="5:6" x14ac:dyDescent="0.35">
      <c r="E4520">
        <v>4517</v>
      </c>
      <c r="F4520">
        <f t="shared" ca="1" si="72"/>
        <v>2.4827416799688803E-2</v>
      </c>
    </row>
    <row r="4521" spans="5:6" x14ac:dyDescent="0.35">
      <c r="E4521">
        <v>4518</v>
      </c>
      <c r="F4521">
        <f t="shared" ca="1" si="72"/>
        <v>2.0363719067504463E-2</v>
      </c>
    </row>
    <row r="4522" spans="5:6" x14ac:dyDescent="0.35">
      <c r="E4522">
        <v>4519</v>
      </c>
      <c r="F4522">
        <f t="shared" ca="1" si="72"/>
        <v>-9.8771451976702642E-3</v>
      </c>
    </row>
    <row r="4523" spans="5:6" x14ac:dyDescent="0.35">
      <c r="E4523">
        <v>4520</v>
      </c>
      <c r="F4523">
        <f t="shared" ca="1" si="72"/>
        <v>-1.0268011012984461E-3</v>
      </c>
    </row>
    <row r="4524" spans="5:6" x14ac:dyDescent="0.35">
      <c r="E4524">
        <v>4521</v>
      </c>
      <c r="F4524">
        <f t="shared" ca="1" si="72"/>
        <v>-1.395477010263868E-4</v>
      </c>
    </row>
    <row r="4525" spans="5:6" x14ac:dyDescent="0.35">
      <c r="E4525">
        <v>4522</v>
      </c>
      <c r="F4525">
        <f t="shared" ca="1" si="72"/>
        <v>-2.4289186378480116E-2</v>
      </c>
    </row>
    <row r="4526" spans="5:6" x14ac:dyDescent="0.35">
      <c r="E4526">
        <v>4523</v>
      </c>
      <c r="F4526">
        <f t="shared" ca="1" si="72"/>
        <v>1.1791432456046134E-2</v>
      </c>
    </row>
    <row r="4527" spans="5:6" x14ac:dyDescent="0.35">
      <c r="E4527">
        <v>4524</v>
      </c>
      <c r="F4527">
        <f t="shared" ca="1" si="72"/>
        <v>-1.6060821261197105E-2</v>
      </c>
    </row>
    <row r="4528" spans="5:6" x14ac:dyDescent="0.35">
      <c r="E4528">
        <v>4525</v>
      </c>
      <c r="F4528">
        <f t="shared" ca="1" si="72"/>
        <v>3.7464079912869486E-3</v>
      </c>
    </row>
    <row r="4529" spans="5:6" x14ac:dyDescent="0.35">
      <c r="E4529">
        <v>4526</v>
      </c>
      <c r="F4529">
        <f t="shared" ca="1" si="72"/>
        <v>1.2558080641556712E-2</v>
      </c>
    </row>
    <row r="4530" spans="5:6" x14ac:dyDescent="0.35">
      <c r="E4530">
        <v>4527</v>
      </c>
      <c r="F4530">
        <f t="shared" ca="1" si="72"/>
        <v>1.1882234931625297E-3</v>
      </c>
    </row>
    <row r="4531" spans="5:6" x14ac:dyDescent="0.35">
      <c r="E4531">
        <v>4528</v>
      </c>
      <c r="F4531">
        <f t="shared" ca="1" si="72"/>
        <v>-1.1865431095733686E-2</v>
      </c>
    </row>
    <row r="4532" spans="5:6" x14ac:dyDescent="0.35">
      <c r="E4532">
        <v>4529</v>
      </c>
      <c r="F4532">
        <f t="shared" ca="1" si="72"/>
        <v>-2.1207972786449612E-2</v>
      </c>
    </row>
    <row r="4533" spans="5:6" x14ac:dyDescent="0.35">
      <c r="E4533">
        <v>4530</v>
      </c>
      <c r="F4533">
        <f t="shared" ca="1" si="72"/>
        <v>-4.0537245155229506E-3</v>
      </c>
    </row>
    <row r="4534" spans="5:6" x14ac:dyDescent="0.35">
      <c r="E4534">
        <v>4531</v>
      </c>
      <c r="F4534">
        <f t="shared" ca="1" si="72"/>
        <v>-4.888612872737905E-3</v>
      </c>
    </row>
    <row r="4535" spans="5:6" x14ac:dyDescent="0.35">
      <c r="E4535">
        <v>4532</v>
      </c>
      <c r="F4535">
        <f t="shared" ca="1" si="72"/>
        <v>-2.5253816387715405E-4</v>
      </c>
    </row>
    <row r="4536" spans="5:6" x14ac:dyDescent="0.35">
      <c r="E4536">
        <v>4533</v>
      </c>
      <c r="F4536">
        <f t="shared" ca="1" si="72"/>
        <v>8.9192756377800917E-3</v>
      </c>
    </row>
    <row r="4537" spans="5:6" x14ac:dyDescent="0.35">
      <c r="E4537">
        <v>4534</v>
      </c>
      <c r="F4537">
        <f t="shared" ca="1" si="72"/>
        <v>2.4298717253063411E-2</v>
      </c>
    </row>
    <row r="4538" spans="5:6" x14ac:dyDescent="0.35">
      <c r="E4538">
        <v>4535</v>
      </c>
      <c r="F4538">
        <f t="shared" ca="1" si="72"/>
        <v>7.0662937934684892E-3</v>
      </c>
    </row>
    <row r="4539" spans="5:6" x14ac:dyDescent="0.35">
      <c r="E4539">
        <v>4536</v>
      </c>
      <c r="F4539">
        <f t="shared" ca="1" si="72"/>
        <v>1.5870831423053545E-2</v>
      </c>
    </row>
    <row r="4540" spans="5:6" x14ac:dyDescent="0.35">
      <c r="E4540">
        <v>4537</v>
      </c>
      <c r="F4540">
        <f t="shared" ca="1" si="72"/>
        <v>-7.0784531822460977E-3</v>
      </c>
    </row>
    <row r="4541" spans="5:6" x14ac:dyDescent="0.35">
      <c r="E4541">
        <v>4538</v>
      </c>
      <c r="F4541">
        <f t="shared" ca="1" si="72"/>
        <v>5.6712423927279404E-3</v>
      </c>
    </row>
    <row r="4542" spans="5:6" x14ac:dyDescent="0.35">
      <c r="E4542">
        <v>4539</v>
      </c>
      <c r="F4542">
        <f t="shared" ca="1" si="72"/>
        <v>1.2535370749716756E-2</v>
      </c>
    </row>
    <row r="4543" spans="5:6" x14ac:dyDescent="0.35">
      <c r="E4543">
        <v>4540</v>
      </c>
      <c r="F4543">
        <f t="shared" ca="1" si="72"/>
        <v>-1.4533395706052629E-2</v>
      </c>
    </row>
    <row r="4544" spans="5:6" x14ac:dyDescent="0.35">
      <c r="E4544">
        <v>4541</v>
      </c>
      <c r="F4544">
        <f t="shared" ca="1" si="72"/>
        <v>-1.2471184901392726E-2</v>
      </c>
    </row>
    <row r="4545" spans="5:6" x14ac:dyDescent="0.35">
      <c r="E4545">
        <v>4542</v>
      </c>
      <c r="F4545">
        <f t="shared" ca="1" si="72"/>
        <v>1.1336805111546546E-2</v>
      </c>
    </row>
    <row r="4546" spans="5:6" x14ac:dyDescent="0.35">
      <c r="E4546">
        <v>4543</v>
      </c>
      <c r="F4546">
        <f t="shared" ca="1" si="72"/>
        <v>-1.4122752990136749E-2</v>
      </c>
    </row>
    <row r="4547" spans="5:6" x14ac:dyDescent="0.35">
      <c r="E4547">
        <v>4544</v>
      </c>
      <c r="F4547">
        <f t="shared" ca="1" si="72"/>
        <v>-2.106781934358453E-2</v>
      </c>
    </row>
    <row r="4548" spans="5:6" x14ac:dyDescent="0.35">
      <c r="E4548">
        <v>4545</v>
      </c>
      <c r="F4548">
        <f t="shared" ca="1" si="72"/>
        <v>-9.4328252343566857E-3</v>
      </c>
    </row>
    <row r="4549" spans="5:6" x14ac:dyDescent="0.35">
      <c r="E4549">
        <v>4546</v>
      </c>
      <c r="F4549">
        <f t="shared" ref="F4549:F4612" ca="1" si="73">_xlfn.NORM.INV(RAND(),M$6,M$7)</f>
        <v>8.6099164081476273E-3</v>
      </c>
    </row>
    <row r="4550" spans="5:6" x14ac:dyDescent="0.35">
      <c r="E4550">
        <v>4547</v>
      </c>
      <c r="F4550">
        <f t="shared" ca="1" si="73"/>
        <v>8.9266047187055997E-3</v>
      </c>
    </row>
    <row r="4551" spans="5:6" x14ac:dyDescent="0.35">
      <c r="E4551">
        <v>4548</v>
      </c>
      <c r="F4551">
        <f t="shared" ca="1" si="73"/>
        <v>1.7814424327461855E-2</v>
      </c>
    </row>
    <row r="4552" spans="5:6" x14ac:dyDescent="0.35">
      <c r="E4552">
        <v>4549</v>
      </c>
      <c r="F4552">
        <f t="shared" ca="1" si="73"/>
        <v>2.269964087703423E-2</v>
      </c>
    </row>
    <row r="4553" spans="5:6" x14ac:dyDescent="0.35">
      <c r="E4553">
        <v>4550</v>
      </c>
      <c r="F4553">
        <f t="shared" ca="1" si="73"/>
        <v>-2.1031714058659601E-2</v>
      </c>
    </row>
    <row r="4554" spans="5:6" x14ac:dyDescent="0.35">
      <c r="E4554">
        <v>4551</v>
      </c>
      <c r="F4554">
        <f t="shared" ca="1" si="73"/>
        <v>4.0202965622254195E-3</v>
      </c>
    </row>
    <row r="4555" spans="5:6" x14ac:dyDescent="0.35">
      <c r="E4555">
        <v>4552</v>
      </c>
      <c r="F4555">
        <f t="shared" ca="1" si="73"/>
        <v>-1.2732477334759861E-2</v>
      </c>
    </row>
    <row r="4556" spans="5:6" x14ac:dyDescent="0.35">
      <c r="E4556">
        <v>4553</v>
      </c>
      <c r="F4556">
        <f t="shared" ca="1" si="73"/>
        <v>-1.3486204702230484E-2</v>
      </c>
    </row>
    <row r="4557" spans="5:6" x14ac:dyDescent="0.35">
      <c r="E4557">
        <v>4554</v>
      </c>
      <c r="F4557">
        <f t="shared" ca="1" si="73"/>
        <v>4.3420913556482208E-4</v>
      </c>
    </row>
    <row r="4558" spans="5:6" x14ac:dyDescent="0.35">
      <c r="E4558">
        <v>4555</v>
      </c>
      <c r="F4558">
        <f t="shared" ca="1" si="73"/>
        <v>3.1096736026890734E-3</v>
      </c>
    </row>
    <row r="4559" spans="5:6" x14ac:dyDescent="0.35">
      <c r="E4559">
        <v>4556</v>
      </c>
      <c r="F4559">
        <f t="shared" ca="1" si="73"/>
        <v>-1.4568137724381399E-2</v>
      </c>
    </row>
    <row r="4560" spans="5:6" x14ac:dyDescent="0.35">
      <c r="E4560">
        <v>4557</v>
      </c>
      <c r="F4560">
        <f t="shared" ca="1" si="73"/>
        <v>1.0048374091139758E-2</v>
      </c>
    </row>
    <row r="4561" spans="5:6" x14ac:dyDescent="0.35">
      <c r="E4561">
        <v>4558</v>
      </c>
      <c r="F4561">
        <f t="shared" ca="1" si="73"/>
        <v>4.6696349883677615E-3</v>
      </c>
    </row>
    <row r="4562" spans="5:6" x14ac:dyDescent="0.35">
      <c r="E4562">
        <v>4559</v>
      </c>
      <c r="F4562">
        <f t="shared" ca="1" si="73"/>
        <v>1.6112176251754914E-2</v>
      </c>
    </row>
    <row r="4563" spans="5:6" x14ac:dyDescent="0.35">
      <c r="E4563">
        <v>4560</v>
      </c>
      <c r="F4563">
        <f t="shared" ca="1" si="73"/>
        <v>-9.209732416634097E-3</v>
      </c>
    </row>
    <row r="4564" spans="5:6" x14ac:dyDescent="0.35">
      <c r="E4564">
        <v>4561</v>
      </c>
      <c r="F4564">
        <f t="shared" ca="1" si="73"/>
        <v>-1.400634571033755E-3</v>
      </c>
    </row>
    <row r="4565" spans="5:6" x14ac:dyDescent="0.35">
      <c r="E4565">
        <v>4562</v>
      </c>
      <c r="F4565">
        <f t="shared" ca="1" si="73"/>
        <v>1.8019922159160798E-3</v>
      </c>
    </row>
    <row r="4566" spans="5:6" x14ac:dyDescent="0.35">
      <c r="E4566">
        <v>4563</v>
      </c>
      <c r="F4566">
        <f t="shared" ca="1" si="73"/>
        <v>-5.6273046569860186E-4</v>
      </c>
    </row>
    <row r="4567" spans="5:6" x14ac:dyDescent="0.35">
      <c r="E4567">
        <v>4564</v>
      </c>
      <c r="F4567">
        <f t="shared" ca="1" si="73"/>
        <v>1.21741410524612E-2</v>
      </c>
    </row>
    <row r="4568" spans="5:6" x14ac:dyDescent="0.35">
      <c r="E4568">
        <v>4565</v>
      </c>
      <c r="F4568">
        <f t="shared" ca="1" si="73"/>
        <v>1.2499394068599819E-3</v>
      </c>
    </row>
    <row r="4569" spans="5:6" x14ac:dyDescent="0.35">
      <c r="E4569">
        <v>4566</v>
      </c>
      <c r="F4569">
        <f t="shared" ca="1" si="73"/>
        <v>-2.6686275948088566E-4</v>
      </c>
    </row>
    <row r="4570" spans="5:6" x14ac:dyDescent="0.35">
      <c r="E4570">
        <v>4567</v>
      </c>
      <c r="F4570">
        <f t="shared" ca="1" si="73"/>
        <v>1.6635133715734805E-2</v>
      </c>
    </row>
    <row r="4571" spans="5:6" x14ac:dyDescent="0.35">
      <c r="E4571">
        <v>4568</v>
      </c>
      <c r="F4571">
        <f t="shared" ca="1" si="73"/>
        <v>3.9627481377537237E-2</v>
      </c>
    </row>
    <row r="4572" spans="5:6" x14ac:dyDescent="0.35">
      <c r="E4572">
        <v>4569</v>
      </c>
      <c r="F4572">
        <f t="shared" ca="1" si="73"/>
        <v>-6.8100305598938864E-3</v>
      </c>
    </row>
    <row r="4573" spans="5:6" x14ac:dyDescent="0.35">
      <c r="E4573">
        <v>4570</v>
      </c>
      <c r="F4573">
        <f t="shared" ca="1" si="73"/>
        <v>2.4787708437875484E-3</v>
      </c>
    </row>
    <row r="4574" spans="5:6" x14ac:dyDescent="0.35">
      <c r="E4574">
        <v>4571</v>
      </c>
      <c r="F4574">
        <f t="shared" ca="1" si="73"/>
        <v>6.7439313755277685E-3</v>
      </c>
    </row>
    <row r="4575" spans="5:6" x14ac:dyDescent="0.35">
      <c r="E4575">
        <v>4572</v>
      </c>
      <c r="F4575">
        <f t="shared" ca="1" si="73"/>
        <v>-1.2161371060366901E-2</v>
      </c>
    </row>
    <row r="4576" spans="5:6" x14ac:dyDescent="0.35">
      <c r="E4576">
        <v>4573</v>
      </c>
      <c r="F4576">
        <f t="shared" ca="1" si="73"/>
        <v>7.7516305553946268E-3</v>
      </c>
    </row>
    <row r="4577" spans="5:6" x14ac:dyDescent="0.35">
      <c r="E4577">
        <v>4574</v>
      </c>
      <c r="F4577">
        <f t="shared" ca="1" si="73"/>
        <v>1.972143648970549E-2</v>
      </c>
    </row>
    <row r="4578" spans="5:6" x14ac:dyDescent="0.35">
      <c r="E4578">
        <v>4575</v>
      </c>
      <c r="F4578">
        <f t="shared" ca="1" si="73"/>
        <v>-1.7315211946969281E-2</v>
      </c>
    </row>
    <row r="4579" spans="5:6" x14ac:dyDescent="0.35">
      <c r="E4579">
        <v>4576</v>
      </c>
      <c r="F4579">
        <f t="shared" ca="1" si="73"/>
        <v>5.3531528101303924E-3</v>
      </c>
    </row>
    <row r="4580" spans="5:6" x14ac:dyDescent="0.35">
      <c r="E4580">
        <v>4577</v>
      </c>
      <c r="F4580">
        <f t="shared" ca="1" si="73"/>
        <v>7.5449782613706958E-4</v>
      </c>
    </row>
    <row r="4581" spans="5:6" x14ac:dyDescent="0.35">
      <c r="E4581">
        <v>4578</v>
      </c>
      <c r="F4581">
        <f t="shared" ca="1" si="73"/>
        <v>-2.4923340594999489E-2</v>
      </c>
    </row>
    <row r="4582" spans="5:6" x14ac:dyDescent="0.35">
      <c r="E4582">
        <v>4579</v>
      </c>
      <c r="F4582">
        <f t="shared" ca="1" si="73"/>
        <v>6.0930979362893074E-4</v>
      </c>
    </row>
    <row r="4583" spans="5:6" x14ac:dyDescent="0.35">
      <c r="E4583">
        <v>4580</v>
      </c>
      <c r="F4583">
        <f t="shared" ca="1" si="73"/>
        <v>1.3918647319103783E-2</v>
      </c>
    </row>
    <row r="4584" spans="5:6" x14ac:dyDescent="0.35">
      <c r="E4584">
        <v>4581</v>
      </c>
      <c r="F4584">
        <f t="shared" ca="1" si="73"/>
        <v>6.3337083860907266E-3</v>
      </c>
    </row>
    <row r="4585" spans="5:6" x14ac:dyDescent="0.35">
      <c r="E4585">
        <v>4582</v>
      </c>
      <c r="F4585">
        <f t="shared" ca="1" si="73"/>
        <v>3.5130487051082257E-3</v>
      </c>
    </row>
    <row r="4586" spans="5:6" x14ac:dyDescent="0.35">
      <c r="E4586">
        <v>4583</v>
      </c>
      <c r="F4586">
        <f t="shared" ca="1" si="73"/>
        <v>3.9391653442909409E-3</v>
      </c>
    </row>
    <row r="4587" spans="5:6" x14ac:dyDescent="0.35">
      <c r="E4587">
        <v>4584</v>
      </c>
      <c r="F4587">
        <f t="shared" ca="1" si="73"/>
        <v>-2.6872371518046206E-2</v>
      </c>
    </row>
    <row r="4588" spans="5:6" x14ac:dyDescent="0.35">
      <c r="E4588">
        <v>4585</v>
      </c>
      <c r="F4588">
        <f t="shared" ca="1" si="73"/>
        <v>-1.5627700108497813E-2</v>
      </c>
    </row>
    <row r="4589" spans="5:6" x14ac:dyDescent="0.35">
      <c r="E4589">
        <v>4586</v>
      </c>
      <c r="F4589">
        <f t="shared" ca="1" si="73"/>
        <v>-2.3535237607519743E-2</v>
      </c>
    </row>
    <row r="4590" spans="5:6" x14ac:dyDescent="0.35">
      <c r="E4590">
        <v>4587</v>
      </c>
      <c r="F4590">
        <f t="shared" ca="1" si="73"/>
        <v>-1.6140408564629418E-2</v>
      </c>
    </row>
    <row r="4591" spans="5:6" x14ac:dyDescent="0.35">
      <c r="E4591">
        <v>4588</v>
      </c>
      <c r="F4591">
        <f t="shared" ca="1" si="73"/>
        <v>-4.4597802845286359E-3</v>
      </c>
    </row>
    <row r="4592" spans="5:6" x14ac:dyDescent="0.35">
      <c r="E4592">
        <v>4589</v>
      </c>
      <c r="F4592">
        <f t="shared" ca="1" si="73"/>
        <v>9.7912740803898553E-3</v>
      </c>
    </row>
    <row r="4593" spans="5:6" x14ac:dyDescent="0.35">
      <c r="E4593">
        <v>4590</v>
      </c>
      <c r="F4593">
        <f t="shared" ca="1" si="73"/>
        <v>2.6564355362533972E-4</v>
      </c>
    </row>
    <row r="4594" spans="5:6" x14ac:dyDescent="0.35">
      <c r="E4594">
        <v>4591</v>
      </c>
      <c r="F4594">
        <f t="shared" ca="1" si="73"/>
        <v>-6.679973657422269E-3</v>
      </c>
    </row>
    <row r="4595" spans="5:6" x14ac:dyDescent="0.35">
      <c r="E4595">
        <v>4592</v>
      </c>
      <c r="F4595">
        <f t="shared" ca="1" si="73"/>
        <v>-4.9850622821056125E-4</v>
      </c>
    </row>
    <row r="4596" spans="5:6" x14ac:dyDescent="0.35">
      <c r="E4596">
        <v>4593</v>
      </c>
      <c r="F4596">
        <f t="shared" ca="1" si="73"/>
        <v>9.934907780739818E-3</v>
      </c>
    </row>
    <row r="4597" spans="5:6" x14ac:dyDescent="0.35">
      <c r="E4597">
        <v>4594</v>
      </c>
      <c r="F4597">
        <f t="shared" ca="1" si="73"/>
        <v>7.5822173534611072E-3</v>
      </c>
    </row>
    <row r="4598" spans="5:6" x14ac:dyDescent="0.35">
      <c r="E4598">
        <v>4595</v>
      </c>
      <c r="F4598">
        <f t="shared" ca="1" si="73"/>
        <v>-1.6884495496311176E-2</v>
      </c>
    </row>
    <row r="4599" spans="5:6" x14ac:dyDescent="0.35">
      <c r="E4599">
        <v>4596</v>
      </c>
      <c r="F4599">
        <f t="shared" ca="1" si="73"/>
        <v>1.6112354863803927E-2</v>
      </c>
    </row>
    <row r="4600" spans="5:6" x14ac:dyDescent="0.35">
      <c r="E4600">
        <v>4597</v>
      </c>
      <c r="F4600">
        <f t="shared" ca="1" si="73"/>
        <v>1.6432400364620899E-2</v>
      </c>
    </row>
    <row r="4601" spans="5:6" x14ac:dyDescent="0.35">
      <c r="E4601">
        <v>4598</v>
      </c>
      <c r="F4601">
        <f t="shared" ca="1" si="73"/>
        <v>-1.1427258862654149E-2</v>
      </c>
    </row>
    <row r="4602" spans="5:6" x14ac:dyDescent="0.35">
      <c r="E4602">
        <v>4599</v>
      </c>
      <c r="F4602">
        <f t="shared" ca="1" si="73"/>
        <v>4.5170259426911448E-3</v>
      </c>
    </row>
    <row r="4603" spans="5:6" x14ac:dyDescent="0.35">
      <c r="E4603">
        <v>4600</v>
      </c>
      <c r="F4603">
        <f t="shared" ca="1" si="73"/>
        <v>5.3322003352685148E-3</v>
      </c>
    </row>
    <row r="4604" spans="5:6" x14ac:dyDescent="0.35">
      <c r="E4604">
        <v>4601</v>
      </c>
      <c r="F4604">
        <f t="shared" ca="1" si="73"/>
        <v>8.2280890576540491E-3</v>
      </c>
    </row>
    <row r="4605" spans="5:6" x14ac:dyDescent="0.35">
      <c r="E4605">
        <v>4602</v>
      </c>
      <c r="F4605">
        <f t="shared" ca="1" si="73"/>
        <v>3.7949551886438402E-3</v>
      </c>
    </row>
    <row r="4606" spans="5:6" x14ac:dyDescent="0.35">
      <c r="E4606">
        <v>4603</v>
      </c>
      <c r="F4606">
        <f t="shared" ca="1" si="73"/>
        <v>1.7093090036497911E-2</v>
      </c>
    </row>
    <row r="4607" spans="5:6" x14ac:dyDescent="0.35">
      <c r="E4607">
        <v>4604</v>
      </c>
      <c r="F4607">
        <f t="shared" ca="1" si="73"/>
        <v>2.392379243668049E-2</v>
      </c>
    </row>
    <row r="4608" spans="5:6" x14ac:dyDescent="0.35">
      <c r="E4608">
        <v>4605</v>
      </c>
      <c r="F4608">
        <f t="shared" ca="1" si="73"/>
        <v>4.5819535356562482E-3</v>
      </c>
    </row>
    <row r="4609" spans="5:6" x14ac:dyDescent="0.35">
      <c r="E4609">
        <v>4606</v>
      </c>
      <c r="F4609">
        <f t="shared" ca="1" si="73"/>
        <v>-2.4574983405489876E-2</v>
      </c>
    </row>
    <row r="4610" spans="5:6" x14ac:dyDescent="0.35">
      <c r="E4610">
        <v>4607</v>
      </c>
      <c r="F4610">
        <f t="shared" ca="1" si="73"/>
        <v>1.3835525049290953E-2</v>
      </c>
    </row>
    <row r="4611" spans="5:6" x14ac:dyDescent="0.35">
      <c r="E4611">
        <v>4608</v>
      </c>
      <c r="F4611">
        <f t="shared" ca="1" si="73"/>
        <v>2.3452980519796426E-2</v>
      </c>
    </row>
    <row r="4612" spans="5:6" x14ac:dyDescent="0.35">
      <c r="E4612">
        <v>4609</v>
      </c>
      <c r="F4612">
        <f t="shared" ca="1" si="73"/>
        <v>-4.5476286609613774E-3</v>
      </c>
    </row>
    <row r="4613" spans="5:6" x14ac:dyDescent="0.35">
      <c r="E4613">
        <v>4610</v>
      </c>
      <c r="F4613">
        <f t="shared" ref="F4613:F4676" ca="1" si="74">_xlfn.NORM.INV(RAND(),M$6,M$7)</f>
        <v>4.1932048292942069E-3</v>
      </c>
    </row>
    <row r="4614" spans="5:6" x14ac:dyDescent="0.35">
      <c r="E4614">
        <v>4611</v>
      </c>
      <c r="F4614">
        <f t="shared" ca="1" si="74"/>
        <v>-5.9407939507888927E-4</v>
      </c>
    </row>
    <row r="4615" spans="5:6" x14ac:dyDescent="0.35">
      <c r="E4615">
        <v>4612</v>
      </c>
      <c r="F4615">
        <f t="shared" ca="1" si="74"/>
        <v>1.9481142556178686E-2</v>
      </c>
    </row>
    <row r="4616" spans="5:6" x14ac:dyDescent="0.35">
      <c r="E4616">
        <v>4613</v>
      </c>
      <c r="F4616">
        <f t="shared" ca="1" si="74"/>
        <v>4.9424240435314388E-3</v>
      </c>
    </row>
    <row r="4617" spans="5:6" x14ac:dyDescent="0.35">
      <c r="E4617">
        <v>4614</v>
      </c>
      <c r="F4617">
        <f t="shared" ca="1" si="74"/>
        <v>-5.9221163275009897E-3</v>
      </c>
    </row>
    <row r="4618" spans="5:6" x14ac:dyDescent="0.35">
      <c r="E4618">
        <v>4615</v>
      </c>
      <c r="F4618">
        <f t="shared" ca="1" si="74"/>
        <v>2.8702472833210544E-3</v>
      </c>
    </row>
    <row r="4619" spans="5:6" x14ac:dyDescent="0.35">
      <c r="E4619">
        <v>4616</v>
      </c>
      <c r="F4619">
        <f t="shared" ca="1" si="74"/>
        <v>8.4973497966231021E-3</v>
      </c>
    </row>
    <row r="4620" spans="5:6" x14ac:dyDescent="0.35">
      <c r="E4620">
        <v>4617</v>
      </c>
      <c r="F4620">
        <f t="shared" ca="1" si="74"/>
        <v>1.217120719580761E-2</v>
      </c>
    </row>
    <row r="4621" spans="5:6" x14ac:dyDescent="0.35">
      <c r="E4621">
        <v>4618</v>
      </c>
      <c r="F4621">
        <f t="shared" ca="1" si="74"/>
        <v>5.7265226101237384E-3</v>
      </c>
    </row>
    <row r="4622" spans="5:6" x14ac:dyDescent="0.35">
      <c r="E4622">
        <v>4619</v>
      </c>
      <c r="F4622">
        <f t="shared" ca="1" si="74"/>
        <v>-7.7702106567183551E-4</v>
      </c>
    </row>
    <row r="4623" spans="5:6" x14ac:dyDescent="0.35">
      <c r="E4623">
        <v>4620</v>
      </c>
      <c r="F4623">
        <f t="shared" ca="1" si="74"/>
        <v>3.4671468945908744E-2</v>
      </c>
    </row>
    <row r="4624" spans="5:6" x14ac:dyDescent="0.35">
      <c r="E4624">
        <v>4621</v>
      </c>
      <c r="F4624">
        <f t="shared" ca="1" si="74"/>
        <v>8.7155147049370971E-3</v>
      </c>
    </row>
    <row r="4625" spans="5:6" x14ac:dyDescent="0.35">
      <c r="E4625">
        <v>4622</v>
      </c>
      <c r="F4625">
        <f t="shared" ca="1" si="74"/>
        <v>-7.0698007587706273E-3</v>
      </c>
    </row>
    <row r="4626" spans="5:6" x14ac:dyDescent="0.35">
      <c r="E4626">
        <v>4623</v>
      </c>
      <c r="F4626">
        <f t="shared" ca="1" si="74"/>
        <v>4.9347980870684182E-3</v>
      </c>
    </row>
    <row r="4627" spans="5:6" x14ac:dyDescent="0.35">
      <c r="E4627">
        <v>4624</v>
      </c>
      <c r="F4627">
        <f t="shared" ca="1" si="74"/>
        <v>-2.6303222766468355E-2</v>
      </c>
    </row>
    <row r="4628" spans="5:6" x14ac:dyDescent="0.35">
      <c r="E4628">
        <v>4625</v>
      </c>
      <c r="F4628">
        <f t="shared" ca="1" si="74"/>
        <v>1.5986252909693913E-2</v>
      </c>
    </row>
    <row r="4629" spans="5:6" x14ac:dyDescent="0.35">
      <c r="E4629">
        <v>4626</v>
      </c>
      <c r="F4629">
        <f t="shared" ca="1" si="74"/>
        <v>2.9769396492063283E-2</v>
      </c>
    </row>
    <row r="4630" spans="5:6" x14ac:dyDescent="0.35">
      <c r="E4630">
        <v>4627</v>
      </c>
      <c r="F4630">
        <f t="shared" ca="1" si="74"/>
        <v>1.3140131114882949E-3</v>
      </c>
    </row>
    <row r="4631" spans="5:6" x14ac:dyDescent="0.35">
      <c r="E4631">
        <v>4628</v>
      </c>
      <c r="F4631">
        <f t="shared" ca="1" si="74"/>
        <v>-1.6458334539013022E-3</v>
      </c>
    </row>
    <row r="4632" spans="5:6" x14ac:dyDescent="0.35">
      <c r="E4632">
        <v>4629</v>
      </c>
      <c r="F4632">
        <f t="shared" ca="1" si="74"/>
        <v>-4.743697374524217E-3</v>
      </c>
    </row>
    <row r="4633" spans="5:6" x14ac:dyDescent="0.35">
      <c r="E4633">
        <v>4630</v>
      </c>
      <c r="F4633">
        <f t="shared" ca="1" si="74"/>
        <v>-1.3966468781238719E-3</v>
      </c>
    </row>
    <row r="4634" spans="5:6" x14ac:dyDescent="0.35">
      <c r="E4634">
        <v>4631</v>
      </c>
      <c r="F4634">
        <f t="shared" ca="1" si="74"/>
        <v>-2.0078680585398453E-2</v>
      </c>
    </row>
    <row r="4635" spans="5:6" x14ac:dyDescent="0.35">
      <c r="E4635">
        <v>4632</v>
      </c>
      <c r="F4635">
        <f t="shared" ca="1" si="74"/>
        <v>6.1599215805048591E-3</v>
      </c>
    </row>
    <row r="4636" spans="5:6" x14ac:dyDescent="0.35">
      <c r="E4636">
        <v>4633</v>
      </c>
      <c r="F4636">
        <f t="shared" ca="1" si="74"/>
        <v>-3.7471049809504548E-3</v>
      </c>
    </row>
    <row r="4637" spans="5:6" x14ac:dyDescent="0.35">
      <c r="E4637">
        <v>4634</v>
      </c>
      <c r="F4637">
        <f t="shared" ca="1" si="74"/>
        <v>2.7733937131454011E-3</v>
      </c>
    </row>
    <row r="4638" spans="5:6" x14ac:dyDescent="0.35">
      <c r="E4638">
        <v>4635</v>
      </c>
      <c r="F4638">
        <f t="shared" ca="1" si="74"/>
        <v>-1.5379021172997574E-2</v>
      </c>
    </row>
    <row r="4639" spans="5:6" x14ac:dyDescent="0.35">
      <c r="E4639">
        <v>4636</v>
      </c>
      <c r="F4639">
        <f t="shared" ca="1" si="74"/>
        <v>-2.081089249148204E-2</v>
      </c>
    </row>
    <row r="4640" spans="5:6" x14ac:dyDescent="0.35">
      <c r="E4640">
        <v>4637</v>
      </c>
      <c r="F4640">
        <f t="shared" ca="1" si="74"/>
        <v>1.4690229183164939E-2</v>
      </c>
    </row>
    <row r="4641" spans="5:6" x14ac:dyDescent="0.35">
      <c r="E4641">
        <v>4638</v>
      </c>
      <c r="F4641">
        <f t="shared" ca="1" si="74"/>
        <v>-9.7905634467105387E-3</v>
      </c>
    </row>
    <row r="4642" spans="5:6" x14ac:dyDescent="0.35">
      <c r="E4642">
        <v>4639</v>
      </c>
      <c r="F4642">
        <f t="shared" ca="1" si="74"/>
        <v>-9.8768386283048203E-3</v>
      </c>
    </row>
    <row r="4643" spans="5:6" x14ac:dyDescent="0.35">
      <c r="E4643">
        <v>4640</v>
      </c>
      <c r="F4643">
        <f t="shared" ca="1" si="74"/>
        <v>-2.9277002159546789E-2</v>
      </c>
    </row>
    <row r="4644" spans="5:6" x14ac:dyDescent="0.35">
      <c r="E4644">
        <v>4641</v>
      </c>
      <c r="F4644">
        <f t="shared" ca="1" si="74"/>
        <v>-3.7416945078458039E-2</v>
      </c>
    </row>
    <row r="4645" spans="5:6" x14ac:dyDescent="0.35">
      <c r="E4645">
        <v>4642</v>
      </c>
      <c r="F4645">
        <f t="shared" ca="1" si="74"/>
        <v>-2.2601226494221787E-2</v>
      </c>
    </row>
    <row r="4646" spans="5:6" x14ac:dyDescent="0.35">
      <c r="E4646">
        <v>4643</v>
      </c>
      <c r="F4646">
        <f t="shared" ca="1" si="74"/>
        <v>-5.6963313394380348E-3</v>
      </c>
    </row>
    <row r="4647" spans="5:6" x14ac:dyDescent="0.35">
      <c r="E4647">
        <v>4644</v>
      </c>
      <c r="F4647">
        <f t="shared" ca="1" si="74"/>
        <v>2.0894137964580072E-2</v>
      </c>
    </row>
    <row r="4648" spans="5:6" x14ac:dyDescent="0.35">
      <c r="E4648">
        <v>4645</v>
      </c>
      <c r="F4648">
        <f t="shared" ca="1" si="74"/>
        <v>6.3189745902361419E-3</v>
      </c>
    </row>
    <row r="4649" spans="5:6" x14ac:dyDescent="0.35">
      <c r="E4649">
        <v>4646</v>
      </c>
      <c r="F4649">
        <f t="shared" ca="1" si="74"/>
        <v>-1.2122689105892596E-2</v>
      </c>
    </row>
    <row r="4650" spans="5:6" x14ac:dyDescent="0.35">
      <c r="E4650">
        <v>4647</v>
      </c>
      <c r="F4650">
        <f t="shared" ca="1" si="74"/>
        <v>9.0893676082219096E-3</v>
      </c>
    </row>
    <row r="4651" spans="5:6" x14ac:dyDescent="0.35">
      <c r="E4651">
        <v>4648</v>
      </c>
      <c r="F4651">
        <f t="shared" ca="1" si="74"/>
        <v>1.3979394770282288E-2</v>
      </c>
    </row>
    <row r="4652" spans="5:6" x14ac:dyDescent="0.35">
      <c r="E4652">
        <v>4649</v>
      </c>
      <c r="F4652">
        <f t="shared" ca="1" si="74"/>
        <v>-2.1369157326145112E-3</v>
      </c>
    </row>
    <row r="4653" spans="5:6" x14ac:dyDescent="0.35">
      <c r="E4653">
        <v>4650</v>
      </c>
      <c r="F4653">
        <f t="shared" ca="1" si="74"/>
        <v>-7.1828059072307189E-3</v>
      </c>
    </row>
    <row r="4654" spans="5:6" x14ac:dyDescent="0.35">
      <c r="E4654">
        <v>4651</v>
      </c>
      <c r="F4654">
        <f t="shared" ca="1" si="74"/>
        <v>-6.5182783910150881E-3</v>
      </c>
    </row>
    <row r="4655" spans="5:6" x14ac:dyDescent="0.35">
      <c r="E4655">
        <v>4652</v>
      </c>
      <c r="F4655">
        <f t="shared" ca="1" si="74"/>
        <v>-3.5745882358504823E-2</v>
      </c>
    </row>
    <row r="4656" spans="5:6" x14ac:dyDescent="0.35">
      <c r="E4656">
        <v>4653</v>
      </c>
      <c r="F4656">
        <f t="shared" ca="1" si="74"/>
        <v>9.9339101283274956E-4</v>
      </c>
    </row>
    <row r="4657" spans="5:6" x14ac:dyDescent="0.35">
      <c r="E4657">
        <v>4654</v>
      </c>
      <c r="F4657">
        <f t="shared" ca="1" si="74"/>
        <v>-3.1315206701086139E-2</v>
      </c>
    </row>
    <row r="4658" spans="5:6" x14ac:dyDescent="0.35">
      <c r="E4658">
        <v>4655</v>
      </c>
      <c r="F4658">
        <f t="shared" ca="1" si="74"/>
        <v>-7.3298904887362133E-3</v>
      </c>
    </row>
    <row r="4659" spans="5:6" x14ac:dyDescent="0.35">
      <c r="E4659">
        <v>4656</v>
      </c>
      <c r="F4659">
        <f t="shared" ca="1" si="74"/>
        <v>2.0255865199869643E-2</v>
      </c>
    </row>
    <row r="4660" spans="5:6" x14ac:dyDescent="0.35">
      <c r="E4660">
        <v>4657</v>
      </c>
      <c r="F4660">
        <f t="shared" ca="1" si="74"/>
        <v>-1.6971323907362185E-2</v>
      </c>
    </row>
    <row r="4661" spans="5:6" x14ac:dyDescent="0.35">
      <c r="E4661">
        <v>4658</v>
      </c>
      <c r="F4661">
        <f t="shared" ca="1" si="74"/>
        <v>8.4537489831264141E-3</v>
      </c>
    </row>
    <row r="4662" spans="5:6" x14ac:dyDescent="0.35">
      <c r="E4662">
        <v>4659</v>
      </c>
      <c r="F4662">
        <f t="shared" ca="1" si="74"/>
        <v>1.7189566263573409E-2</v>
      </c>
    </row>
    <row r="4663" spans="5:6" x14ac:dyDescent="0.35">
      <c r="E4663">
        <v>4660</v>
      </c>
      <c r="F4663">
        <f t="shared" ca="1" si="74"/>
        <v>9.9206003244576117E-3</v>
      </c>
    </row>
    <row r="4664" spans="5:6" x14ac:dyDescent="0.35">
      <c r="E4664">
        <v>4661</v>
      </c>
      <c r="F4664">
        <f t="shared" ca="1" si="74"/>
        <v>-1.6249584383805374E-2</v>
      </c>
    </row>
    <row r="4665" spans="5:6" x14ac:dyDescent="0.35">
      <c r="E4665">
        <v>4662</v>
      </c>
      <c r="F4665">
        <f t="shared" ca="1" si="74"/>
        <v>-8.7768879353925851E-3</v>
      </c>
    </row>
    <row r="4666" spans="5:6" x14ac:dyDescent="0.35">
      <c r="E4666">
        <v>4663</v>
      </c>
      <c r="F4666">
        <f t="shared" ca="1" si="74"/>
        <v>9.01647855525332E-4</v>
      </c>
    </row>
    <row r="4667" spans="5:6" x14ac:dyDescent="0.35">
      <c r="E4667">
        <v>4664</v>
      </c>
      <c r="F4667">
        <f t="shared" ca="1" si="74"/>
        <v>-2.2776163018180702E-2</v>
      </c>
    </row>
    <row r="4668" spans="5:6" x14ac:dyDescent="0.35">
      <c r="E4668">
        <v>4665</v>
      </c>
      <c r="F4668">
        <f t="shared" ca="1" si="74"/>
        <v>1.1866759685242607E-2</v>
      </c>
    </row>
    <row r="4669" spans="5:6" x14ac:dyDescent="0.35">
      <c r="E4669">
        <v>4666</v>
      </c>
      <c r="F4669">
        <f t="shared" ca="1" si="74"/>
        <v>-1.7010490237488664E-2</v>
      </c>
    </row>
    <row r="4670" spans="5:6" x14ac:dyDescent="0.35">
      <c r="E4670">
        <v>4667</v>
      </c>
      <c r="F4670">
        <f t="shared" ca="1" si="74"/>
        <v>-5.9545030637340882E-3</v>
      </c>
    </row>
    <row r="4671" spans="5:6" x14ac:dyDescent="0.35">
      <c r="E4671">
        <v>4668</v>
      </c>
      <c r="F4671">
        <f t="shared" ca="1" si="74"/>
        <v>-1.1425104817252096E-2</v>
      </c>
    </row>
    <row r="4672" spans="5:6" x14ac:dyDescent="0.35">
      <c r="E4672">
        <v>4669</v>
      </c>
      <c r="F4672">
        <f t="shared" ca="1" si="74"/>
        <v>8.0293101041661805E-3</v>
      </c>
    </row>
    <row r="4673" spans="5:6" x14ac:dyDescent="0.35">
      <c r="E4673">
        <v>4670</v>
      </c>
      <c r="F4673">
        <f t="shared" ca="1" si="74"/>
        <v>9.6233150812743123E-3</v>
      </c>
    </row>
    <row r="4674" spans="5:6" x14ac:dyDescent="0.35">
      <c r="E4674">
        <v>4671</v>
      </c>
      <c r="F4674">
        <f t="shared" ca="1" si="74"/>
        <v>-4.6982951554500113E-3</v>
      </c>
    </row>
    <row r="4675" spans="5:6" x14ac:dyDescent="0.35">
      <c r="E4675">
        <v>4672</v>
      </c>
      <c r="F4675">
        <f t="shared" ca="1" si="74"/>
        <v>-1.1258688588433744E-3</v>
      </c>
    </row>
    <row r="4676" spans="5:6" x14ac:dyDescent="0.35">
      <c r="E4676">
        <v>4673</v>
      </c>
      <c r="F4676">
        <f t="shared" ca="1" si="74"/>
        <v>-1.3121737022960432E-2</v>
      </c>
    </row>
    <row r="4677" spans="5:6" x14ac:dyDescent="0.35">
      <c r="E4677">
        <v>4674</v>
      </c>
      <c r="F4677">
        <f t="shared" ref="F4677:F4740" ca="1" si="75">_xlfn.NORM.INV(RAND(),M$6,M$7)</f>
        <v>-7.5943842675808663E-3</v>
      </c>
    </row>
    <row r="4678" spans="5:6" x14ac:dyDescent="0.35">
      <c r="E4678">
        <v>4675</v>
      </c>
      <c r="F4678">
        <f t="shared" ca="1" si="75"/>
        <v>-1.1356957877709964E-3</v>
      </c>
    </row>
    <row r="4679" spans="5:6" x14ac:dyDescent="0.35">
      <c r="E4679">
        <v>4676</v>
      </c>
      <c r="F4679">
        <f t="shared" ca="1" si="75"/>
        <v>1.0773096735517853E-2</v>
      </c>
    </row>
    <row r="4680" spans="5:6" x14ac:dyDescent="0.35">
      <c r="E4680">
        <v>4677</v>
      </c>
      <c r="F4680">
        <f t="shared" ca="1" si="75"/>
        <v>2.8471329453789072E-3</v>
      </c>
    </row>
    <row r="4681" spans="5:6" x14ac:dyDescent="0.35">
      <c r="E4681">
        <v>4678</v>
      </c>
      <c r="F4681">
        <f t="shared" ca="1" si="75"/>
        <v>1.1509988822049779E-2</v>
      </c>
    </row>
    <row r="4682" spans="5:6" x14ac:dyDescent="0.35">
      <c r="E4682">
        <v>4679</v>
      </c>
      <c r="F4682">
        <f t="shared" ca="1" si="75"/>
        <v>-4.8881119587027315E-3</v>
      </c>
    </row>
    <row r="4683" spans="5:6" x14ac:dyDescent="0.35">
      <c r="E4683">
        <v>4680</v>
      </c>
      <c r="F4683">
        <f t="shared" ca="1" si="75"/>
        <v>2.7032116964735191E-3</v>
      </c>
    </row>
    <row r="4684" spans="5:6" x14ac:dyDescent="0.35">
      <c r="E4684">
        <v>4681</v>
      </c>
      <c r="F4684">
        <f t="shared" ca="1" si="75"/>
        <v>7.1270043808681609E-3</v>
      </c>
    </row>
    <row r="4685" spans="5:6" x14ac:dyDescent="0.35">
      <c r="E4685">
        <v>4682</v>
      </c>
      <c r="F4685">
        <f t="shared" ca="1" si="75"/>
        <v>-1.2009656455726362E-2</v>
      </c>
    </row>
    <row r="4686" spans="5:6" x14ac:dyDescent="0.35">
      <c r="E4686">
        <v>4683</v>
      </c>
      <c r="F4686">
        <f t="shared" ca="1" si="75"/>
        <v>-1.2723370674163492E-2</v>
      </c>
    </row>
    <row r="4687" spans="5:6" x14ac:dyDescent="0.35">
      <c r="E4687">
        <v>4684</v>
      </c>
      <c r="F4687">
        <f t="shared" ca="1" si="75"/>
        <v>1.4152781412612501E-2</v>
      </c>
    </row>
    <row r="4688" spans="5:6" x14ac:dyDescent="0.35">
      <c r="E4688">
        <v>4685</v>
      </c>
      <c r="F4688">
        <f t="shared" ca="1" si="75"/>
        <v>-2.1022624301915666E-2</v>
      </c>
    </row>
    <row r="4689" spans="5:6" x14ac:dyDescent="0.35">
      <c r="E4689">
        <v>4686</v>
      </c>
      <c r="F4689">
        <f t="shared" ca="1" si="75"/>
        <v>-8.5626614004190114E-3</v>
      </c>
    </row>
    <row r="4690" spans="5:6" x14ac:dyDescent="0.35">
      <c r="E4690">
        <v>4687</v>
      </c>
      <c r="F4690">
        <f t="shared" ca="1" si="75"/>
        <v>1.7106048747894964E-3</v>
      </c>
    </row>
    <row r="4691" spans="5:6" x14ac:dyDescent="0.35">
      <c r="E4691">
        <v>4688</v>
      </c>
      <c r="F4691">
        <f t="shared" ca="1" si="75"/>
        <v>1.2322895137728475E-3</v>
      </c>
    </row>
    <row r="4692" spans="5:6" x14ac:dyDescent="0.35">
      <c r="E4692">
        <v>4689</v>
      </c>
      <c r="F4692">
        <f t="shared" ca="1" si="75"/>
        <v>2.036612364797203E-3</v>
      </c>
    </row>
    <row r="4693" spans="5:6" x14ac:dyDescent="0.35">
      <c r="E4693">
        <v>4690</v>
      </c>
      <c r="F4693">
        <f t="shared" ca="1" si="75"/>
        <v>9.8092896458824054E-3</v>
      </c>
    </row>
    <row r="4694" spans="5:6" x14ac:dyDescent="0.35">
      <c r="E4694">
        <v>4691</v>
      </c>
      <c r="F4694">
        <f t="shared" ca="1" si="75"/>
        <v>-1.7865772533214405E-2</v>
      </c>
    </row>
    <row r="4695" spans="5:6" x14ac:dyDescent="0.35">
      <c r="E4695">
        <v>4692</v>
      </c>
      <c r="F4695">
        <f t="shared" ca="1" si="75"/>
        <v>-2.9556219070522353E-2</v>
      </c>
    </row>
    <row r="4696" spans="5:6" x14ac:dyDescent="0.35">
      <c r="E4696">
        <v>4693</v>
      </c>
      <c r="F4696">
        <f t="shared" ca="1" si="75"/>
        <v>-1.1503916237174691E-2</v>
      </c>
    </row>
    <row r="4697" spans="5:6" x14ac:dyDescent="0.35">
      <c r="E4697">
        <v>4694</v>
      </c>
      <c r="F4697">
        <f t="shared" ca="1" si="75"/>
        <v>-2.5730552343931554E-2</v>
      </c>
    </row>
    <row r="4698" spans="5:6" x14ac:dyDescent="0.35">
      <c r="E4698">
        <v>4695</v>
      </c>
      <c r="F4698">
        <f t="shared" ca="1" si="75"/>
        <v>2.8611166416055302E-2</v>
      </c>
    </row>
    <row r="4699" spans="5:6" x14ac:dyDescent="0.35">
      <c r="E4699">
        <v>4696</v>
      </c>
      <c r="F4699">
        <f t="shared" ca="1" si="75"/>
        <v>5.7021166124160139E-3</v>
      </c>
    </row>
    <row r="4700" spans="5:6" x14ac:dyDescent="0.35">
      <c r="E4700">
        <v>4697</v>
      </c>
      <c r="F4700">
        <f t="shared" ca="1" si="75"/>
        <v>2.6102023121369704E-2</v>
      </c>
    </row>
    <row r="4701" spans="5:6" x14ac:dyDescent="0.35">
      <c r="E4701">
        <v>4698</v>
      </c>
      <c r="F4701">
        <f t="shared" ca="1" si="75"/>
        <v>-5.4686214934624305E-3</v>
      </c>
    </row>
    <row r="4702" spans="5:6" x14ac:dyDescent="0.35">
      <c r="E4702">
        <v>4699</v>
      </c>
      <c r="F4702">
        <f t="shared" ca="1" si="75"/>
        <v>-3.4816220227556031E-2</v>
      </c>
    </row>
    <row r="4703" spans="5:6" x14ac:dyDescent="0.35">
      <c r="E4703">
        <v>4700</v>
      </c>
      <c r="F4703">
        <f t="shared" ca="1" si="75"/>
        <v>-1.5027931548690025E-2</v>
      </c>
    </row>
    <row r="4704" spans="5:6" x14ac:dyDescent="0.35">
      <c r="E4704">
        <v>4701</v>
      </c>
      <c r="F4704">
        <f t="shared" ca="1" si="75"/>
        <v>-1.1843897269602655E-2</v>
      </c>
    </row>
    <row r="4705" spans="5:6" x14ac:dyDescent="0.35">
      <c r="E4705">
        <v>4702</v>
      </c>
      <c r="F4705">
        <f t="shared" ca="1" si="75"/>
        <v>2.3177780293880863E-2</v>
      </c>
    </row>
    <row r="4706" spans="5:6" x14ac:dyDescent="0.35">
      <c r="E4706">
        <v>4703</v>
      </c>
      <c r="F4706">
        <f t="shared" ca="1" si="75"/>
        <v>1.7522258096615557E-3</v>
      </c>
    </row>
    <row r="4707" spans="5:6" x14ac:dyDescent="0.35">
      <c r="E4707">
        <v>4704</v>
      </c>
      <c r="F4707">
        <f t="shared" ca="1" si="75"/>
        <v>-1.5469157866479802E-2</v>
      </c>
    </row>
    <row r="4708" spans="5:6" x14ac:dyDescent="0.35">
      <c r="E4708">
        <v>4705</v>
      </c>
      <c r="F4708">
        <f t="shared" ca="1" si="75"/>
        <v>-1.2587972273627566E-2</v>
      </c>
    </row>
    <row r="4709" spans="5:6" x14ac:dyDescent="0.35">
      <c r="E4709">
        <v>4706</v>
      </c>
      <c r="F4709">
        <f t="shared" ca="1" si="75"/>
        <v>-1.6231647115792759E-2</v>
      </c>
    </row>
    <row r="4710" spans="5:6" x14ac:dyDescent="0.35">
      <c r="E4710">
        <v>4707</v>
      </c>
      <c r="F4710">
        <f t="shared" ca="1" si="75"/>
        <v>-9.7406203624876737E-3</v>
      </c>
    </row>
    <row r="4711" spans="5:6" x14ac:dyDescent="0.35">
      <c r="E4711">
        <v>4708</v>
      </c>
      <c r="F4711">
        <f t="shared" ca="1" si="75"/>
        <v>5.8135175298375868E-3</v>
      </c>
    </row>
    <row r="4712" spans="5:6" x14ac:dyDescent="0.35">
      <c r="E4712">
        <v>4709</v>
      </c>
      <c r="F4712">
        <f t="shared" ca="1" si="75"/>
        <v>2.7365620572551087E-3</v>
      </c>
    </row>
    <row r="4713" spans="5:6" x14ac:dyDescent="0.35">
      <c r="E4713">
        <v>4710</v>
      </c>
      <c r="F4713">
        <f t="shared" ca="1" si="75"/>
        <v>-4.5979575870524775E-3</v>
      </c>
    </row>
    <row r="4714" spans="5:6" x14ac:dyDescent="0.35">
      <c r="E4714">
        <v>4711</v>
      </c>
      <c r="F4714">
        <f t="shared" ca="1" si="75"/>
        <v>-3.557872974736289E-2</v>
      </c>
    </row>
    <row r="4715" spans="5:6" x14ac:dyDescent="0.35">
      <c r="E4715">
        <v>4712</v>
      </c>
      <c r="F4715">
        <f t="shared" ca="1" si="75"/>
        <v>-2.0176099752192242E-2</v>
      </c>
    </row>
    <row r="4716" spans="5:6" x14ac:dyDescent="0.35">
      <c r="E4716">
        <v>4713</v>
      </c>
      <c r="F4716">
        <f t="shared" ca="1" si="75"/>
        <v>-5.5105442998726068E-3</v>
      </c>
    </row>
    <row r="4717" spans="5:6" x14ac:dyDescent="0.35">
      <c r="E4717">
        <v>4714</v>
      </c>
      <c r="F4717">
        <f t="shared" ca="1" si="75"/>
        <v>-1.6055010575571961E-3</v>
      </c>
    </row>
    <row r="4718" spans="5:6" x14ac:dyDescent="0.35">
      <c r="E4718">
        <v>4715</v>
      </c>
      <c r="F4718">
        <f t="shared" ca="1" si="75"/>
        <v>2.8487050823755068E-2</v>
      </c>
    </row>
    <row r="4719" spans="5:6" x14ac:dyDescent="0.35">
      <c r="E4719">
        <v>4716</v>
      </c>
      <c r="F4719">
        <f t="shared" ca="1" si="75"/>
        <v>-1.8825122771492939E-2</v>
      </c>
    </row>
    <row r="4720" spans="5:6" x14ac:dyDescent="0.35">
      <c r="E4720">
        <v>4717</v>
      </c>
      <c r="F4720">
        <f t="shared" ca="1" si="75"/>
        <v>-1.2017920885332954E-3</v>
      </c>
    </row>
    <row r="4721" spans="5:6" x14ac:dyDescent="0.35">
      <c r="E4721">
        <v>4718</v>
      </c>
      <c r="F4721">
        <f t="shared" ca="1" si="75"/>
        <v>-1.0976002887068341E-2</v>
      </c>
    </row>
    <row r="4722" spans="5:6" x14ac:dyDescent="0.35">
      <c r="E4722">
        <v>4719</v>
      </c>
      <c r="F4722">
        <f t="shared" ca="1" si="75"/>
        <v>-1.6675785287637922E-2</v>
      </c>
    </row>
    <row r="4723" spans="5:6" x14ac:dyDescent="0.35">
      <c r="E4723">
        <v>4720</v>
      </c>
      <c r="F4723">
        <f t="shared" ca="1" si="75"/>
        <v>-1.3921198242114744E-2</v>
      </c>
    </row>
    <row r="4724" spans="5:6" x14ac:dyDescent="0.35">
      <c r="E4724">
        <v>4721</v>
      </c>
      <c r="F4724">
        <f t="shared" ca="1" si="75"/>
        <v>-1.4510494497521363E-2</v>
      </c>
    </row>
    <row r="4725" spans="5:6" x14ac:dyDescent="0.35">
      <c r="E4725">
        <v>4722</v>
      </c>
      <c r="F4725">
        <f t="shared" ca="1" si="75"/>
        <v>2.3271764506923569E-3</v>
      </c>
    </row>
    <row r="4726" spans="5:6" x14ac:dyDescent="0.35">
      <c r="E4726">
        <v>4723</v>
      </c>
      <c r="F4726">
        <f t="shared" ca="1" si="75"/>
        <v>6.9162838818610604E-3</v>
      </c>
    </row>
    <row r="4727" spans="5:6" x14ac:dyDescent="0.35">
      <c r="E4727">
        <v>4724</v>
      </c>
      <c r="F4727">
        <f t="shared" ca="1" si="75"/>
        <v>8.8427372088097801E-3</v>
      </c>
    </row>
    <row r="4728" spans="5:6" x14ac:dyDescent="0.35">
      <c r="E4728">
        <v>4725</v>
      </c>
      <c r="F4728">
        <f t="shared" ca="1" si="75"/>
        <v>8.4601664347692361E-3</v>
      </c>
    </row>
    <row r="4729" spans="5:6" x14ac:dyDescent="0.35">
      <c r="E4729">
        <v>4726</v>
      </c>
      <c r="F4729">
        <f t="shared" ca="1" si="75"/>
        <v>9.5735528474383564E-3</v>
      </c>
    </row>
    <row r="4730" spans="5:6" x14ac:dyDescent="0.35">
      <c r="E4730">
        <v>4727</v>
      </c>
      <c r="F4730">
        <f t="shared" ca="1" si="75"/>
        <v>-3.6988343203159506E-3</v>
      </c>
    </row>
    <row r="4731" spans="5:6" x14ac:dyDescent="0.35">
      <c r="E4731">
        <v>4728</v>
      </c>
      <c r="F4731">
        <f t="shared" ca="1" si="75"/>
        <v>-6.5137435999581385E-3</v>
      </c>
    </row>
    <row r="4732" spans="5:6" x14ac:dyDescent="0.35">
      <c r="E4732">
        <v>4729</v>
      </c>
      <c r="F4732">
        <f t="shared" ca="1" si="75"/>
        <v>-6.0890022120007473E-3</v>
      </c>
    </row>
    <row r="4733" spans="5:6" x14ac:dyDescent="0.35">
      <c r="E4733">
        <v>4730</v>
      </c>
      <c r="F4733">
        <f t="shared" ca="1" si="75"/>
        <v>1.4792512009300388E-2</v>
      </c>
    </row>
    <row r="4734" spans="5:6" x14ac:dyDescent="0.35">
      <c r="E4734">
        <v>4731</v>
      </c>
      <c r="F4734">
        <f t="shared" ca="1" si="75"/>
        <v>-8.1043017772527426E-3</v>
      </c>
    </row>
    <row r="4735" spans="5:6" x14ac:dyDescent="0.35">
      <c r="E4735">
        <v>4732</v>
      </c>
      <c r="F4735">
        <f t="shared" ca="1" si="75"/>
        <v>3.7077945728270448E-3</v>
      </c>
    </row>
    <row r="4736" spans="5:6" x14ac:dyDescent="0.35">
      <c r="E4736">
        <v>4733</v>
      </c>
      <c r="F4736">
        <f t="shared" ca="1" si="75"/>
        <v>2.9778921944940227E-2</v>
      </c>
    </row>
    <row r="4737" spans="5:6" x14ac:dyDescent="0.35">
      <c r="E4737">
        <v>4734</v>
      </c>
      <c r="F4737">
        <f t="shared" ca="1" si="75"/>
        <v>6.5782435593065873E-3</v>
      </c>
    </row>
    <row r="4738" spans="5:6" x14ac:dyDescent="0.35">
      <c r="E4738">
        <v>4735</v>
      </c>
      <c r="F4738">
        <f t="shared" ca="1" si="75"/>
        <v>-3.3477714689277844E-3</v>
      </c>
    </row>
    <row r="4739" spans="5:6" x14ac:dyDescent="0.35">
      <c r="E4739">
        <v>4736</v>
      </c>
      <c r="F4739">
        <f t="shared" ca="1" si="75"/>
        <v>5.9162639646201986E-3</v>
      </c>
    </row>
    <row r="4740" spans="5:6" x14ac:dyDescent="0.35">
      <c r="E4740">
        <v>4737</v>
      </c>
      <c r="F4740">
        <f t="shared" ca="1" si="75"/>
        <v>-1.896003541515168E-3</v>
      </c>
    </row>
    <row r="4741" spans="5:6" x14ac:dyDescent="0.35">
      <c r="E4741">
        <v>4738</v>
      </c>
      <c r="F4741">
        <f t="shared" ref="F4741:F4804" ca="1" si="76">_xlfn.NORM.INV(RAND(),M$6,M$7)</f>
        <v>3.0459728613938905E-2</v>
      </c>
    </row>
    <row r="4742" spans="5:6" x14ac:dyDescent="0.35">
      <c r="E4742">
        <v>4739</v>
      </c>
      <c r="F4742">
        <f t="shared" ca="1" si="76"/>
        <v>1.3065097631629091E-2</v>
      </c>
    </row>
    <row r="4743" spans="5:6" x14ac:dyDescent="0.35">
      <c r="E4743">
        <v>4740</v>
      </c>
      <c r="F4743">
        <f t="shared" ca="1" si="76"/>
        <v>5.2183245303587429E-3</v>
      </c>
    </row>
    <row r="4744" spans="5:6" x14ac:dyDescent="0.35">
      <c r="E4744">
        <v>4741</v>
      </c>
      <c r="F4744">
        <f t="shared" ca="1" si="76"/>
        <v>-5.510049433890031E-3</v>
      </c>
    </row>
    <row r="4745" spans="5:6" x14ac:dyDescent="0.35">
      <c r="E4745">
        <v>4742</v>
      </c>
      <c r="F4745">
        <f t="shared" ca="1" si="76"/>
        <v>3.3652026164058238E-3</v>
      </c>
    </row>
    <row r="4746" spans="5:6" x14ac:dyDescent="0.35">
      <c r="E4746">
        <v>4743</v>
      </c>
      <c r="F4746">
        <f t="shared" ca="1" si="76"/>
        <v>1.5927194502132806E-2</v>
      </c>
    </row>
    <row r="4747" spans="5:6" x14ac:dyDescent="0.35">
      <c r="E4747">
        <v>4744</v>
      </c>
      <c r="F4747">
        <f t="shared" ca="1" si="76"/>
        <v>1.5793352571210048E-2</v>
      </c>
    </row>
    <row r="4748" spans="5:6" x14ac:dyDescent="0.35">
      <c r="E4748">
        <v>4745</v>
      </c>
      <c r="F4748">
        <f t="shared" ca="1" si="76"/>
        <v>5.9218942794815885E-3</v>
      </c>
    </row>
    <row r="4749" spans="5:6" x14ac:dyDescent="0.35">
      <c r="E4749">
        <v>4746</v>
      </c>
      <c r="F4749">
        <f t="shared" ca="1" si="76"/>
        <v>3.5469883787473955E-3</v>
      </c>
    </row>
    <row r="4750" spans="5:6" x14ac:dyDescent="0.35">
      <c r="E4750">
        <v>4747</v>
      </c>
      <c r="F4750">
        <f t="shared" ca="1" si="76"/>
        <v>6.398893843186787E-3</v>
      </c>
    </row>
    <row r="4751" spans="5:6" x14ac:dyDescent="0.35">
      <c r="E4751">
        <v>4748</v>
      </c>
      <c r="F4751">
        <f t="shared" ca="1" si="76"/>
        <v>2.6749801428337657E-2</v>
      </c>
    </row>
    <row r="4752" spans="5:6" x14ac:dyDescent="0.35">
      <c r="E4752">
        <v>4749</v>
      </c>
      <c r="F4752">
        <f t="shared" ca="1" si="76"/>
        <v>1.9055394227829942E-2</v>
      </c>
    </row>
    <row r="4753" spans="5:6" x14ac:dyDescent="0.35">
      <c r="E4753">
        <v>4750</v>
      </c>
      <c r="F4753">
        <f t="shared" ca="1" si="76"/>
        <v>-1.5964035032928474E-2</v>
      </c>
    </row>
    <row r="4754" spans="5:6" x14ac:dyDescent="0.35">
      <c r="E4754">
        <v>4751</v>
      </c>
      <c r="F4754">
        <f t="shared" ca="1" si="76"/>
        <v>3.9899601918337389E-3</v>
      </c>
    </row>
    <row r="4755" spans="5:6" x14ac:dyDescent="0.35">
      <c r="E4755">
        <v>4752</v>
      </c>
      <c r="F4755">
        <f t="shared" ca="1" si="76"/>
        <v>-7.1972513987953162E-3</v>
      </c>
    </row>
    <row r="4756" spans="5:6" x14ac:dyDescent="0.35">
      <c r="E4756">
        <v>4753</v>
      </c>
      <c r="F4756">
        <f t="shared" ca="1" si="76"/>
        <v>5.9776442339373086E-3</v>
      </c>
    </row>
    <row r="4757" spans="5:6" x14ac:dyDescent="0.35">
      <c r="E4757">
        <v>4754</v>
      </c>
      <c r="F4757">
        <f t="shared" ca="1" si="76"/>
        <v>1.2446365487963183E-2</v>
      </c>
    </row>
    <row r="4758" spans="5:6" x14ac:dyDescent="0.35">
      <c r="E4758">
        <v>4755</v>
      </c>
      <c r="F4758">
        <f t="shared" ca="1" si="76"/>
        <v>-1.5784002047530409E-2</v>
      </c>
    </row>
    <row r="4759" spans="5:6" x14ac:dyDescent="0.35">
      <c r="E4759">
        <v>4756</v>
      </c>
      <c r="F4759">
        <f t="shared" ca="1" si="76"/>
        <v>-9.4775928504846878E-3</v>
      </c>
    </row>
    <row r="4760" spans="5:6" x14ac:dyDescent="0.35">
      <c r="E4760">
        <v>4757</v>
      </c>
      <c r="F4760">
        <f t="shared" ca="1" si="76"/>
        <v>-1.299694162016079E-2</v>
      </c>
    </row>
    <row r="4761" spans="5:6" x14ac:dyDescent="0.35">
      <c r="E4761">
        <v>4758</v>
      </c>
      <c r="F4761">
        <f t="shared" ca="1" si="76"/>
        <v>-7.526540234391553E-3</v>
      </c>
    </row>
    <row r="4762" spans="5:6" x14ac:dyDescent="0.35">
      <c r="E4762">
        <v>4759</v>
      </c>
      <c r="F4762">
        <f t="shared" ca="1" si="76"/>
        <v>-9.4484458726737143E-3</v>
      </c>
    </row>
    <row r="4763" spans="5:6" x14ac:dyDescent="0.35">
      <c r="E4763">
        <v>4760</v>
      </c>
      <c r="F4763">
        <f t="shared" ca="1" si="76"/>
        <v>6.5631676971583414E-3</v>
      </c>
    </row>
    <row r="4764" spans="5:6" x14ac:dyDescent="0.35">
      <c r="E4764">
        <v>4761</v>
      </c>
      <c r="F4764">
        <f t="shared" ca="1" si="76"/>
        <v>9.3508833060844364E-3</v>
      </c>
    </row>
    <row r="4765" spans="5:6" x14ac:dyDescent="0.35">
      <c r="E4765">
        <v>4762</v>
      </c>
      <c r="F4765">
        <f t="shared" ca="1" si="76"/>
        <v>2.4354276849507563E-2</v>
      </c>
    </row>
    <row r="4766" spans="5:6" x14ac:dyDescent="0.35">
      <c r="E4766">
        <v>4763</v>
      </c>
      <c r="F4766">
        <f t="shared" ca="1" si="76"/>
        <v>1.5634019050187952E-3</v>
      </c>
    </row>
    <row r="4767" spans="5:6" x14ac:dyDescent="0.35">
      <c r="E4767">
        <v>4764</v>
      </c>
      <c r="F4767">
        <f t="shared" ca="1" si="76"/>
        <v>1.2525229920881413E-2</v>
      </c>
    </row>
    <row r="4768" spans="5:6" x14ac:dyDescent="0.35">
      <c r="E4768">
        <v>4765</v>
      </c>
      <c r="F4768">
        <f t="shared" ca="1" si="76"/>
        <v>5.4143169932695653E-3</v>
      </c>
    </row>
    <row r="4769" spans="5:6" x14ac:dyDescent="0.35">
      <c r="E4769">
        <v>4766</v>
      </c>
      <c r="F4769">
        <f t="shared" ca="1" si="76"/>
        <v>-3.8314236991152439E-2</v>
      </c>
    </row>
    <row r="4770" spans="5:6" x14ac:dyDescent="0.35">
      <c r="E4770">
        <v>4767</v>
      </c>
      <c r="F4770">
        <f t="shared" ca="1" si="76"/>
        <v>-1.3275755639426654E-2</v>
      </c>
    </row>
    <row r="4771" spans="5:6" x14ac:dyDescent="0.35">
      <c r="E4771">
        <v>4768</v>
      </c>
      <c r="F4771">
        <f t="shared" ca="1" si="76"/>
        <v>-9.7176138174411139E-4</v>
      </c>
    </row>
    <row r="4772" spans="5:6" x14ac:dyDescent="0.35">
      <c r="E4772">
        <v>4769</v>
      </c>
      <c r="F4772">
        <f t="shared" ca="1" si="76"/>
        <v>-1.6088057553220951E-2</v>
      </c>
    </row>
    <row r="4773" spans="5:6" x14ac:dyDescent="0.35">
      <c r="E4773">
        <v>4770</v>
      </c>
      <c r="F4773">
        <f t="shared" ca="1" si="76"/>
        <v>1.6406657749457338E-2</v>
      </c>
    </row>
    <row r="4774" spans="5:6" x14ac:dyDescent="0.35">
      <c r="E4774">
        <v>4771</v>
      </c>
      <c r="F4774">
        <f t="shared" ca="1" si="76"/>
        <v>2.9006640358668887E-3</v>
      </c>
    </row>
    <row r="4775" spans="5:6" x14ac:dyDescent="0.35">
      <c r="E4775">
        <v>4772</v>
      </c>
      <c r="F4775">
        <f t="shared" ca="1" si="76"/>
        <v>-2.3200201946285744E-2</v>
      </c>
    </row>
    <row r="4776" spans="5:6" x14ac:dyDescent="0.35">
      <c r="E4776">
        <v>4773</v>
      </c>
      <c r="F4776">
        <f t="shared" ca="1" si="76"/>
        <v>-2.2802035016911804E-2</v>
      </c>
    </row>
    <row r="4777" spans="5:6" x14ac:dyDescent="0.35">
      <c r="E4777">
        <v>4774</v>
      </c>
      <c r="F4777">
        <f t="shared" ca="1" si="76"/>
        <v>-6.5582946448833968E-3</v>
      </c>
    </row>
    <row r="4778" spans="5:6" x14ac:dyDescent="0.35">
      <c r="E4778">
        <v>4775</v>
      </c>
      <c r="F4778">
        <f t="shared" ca="1" si="76"/>
        <v>-2.2797112746019586E-3</v>
      </c>
    </row>
    <row r="4779" spans="5:6" x14ac:dyDescent="0.35">
      <c r="E4779">
        <v>4776</v>
      </c>
      <c r="F4779">
        <f t="shared" ca="1" si="76"/>
        <v>-1.1655967469295954E-2</v>
      </c>
    </row>
    <row r="4780" spans="5:6" x14ac:dyDescent="0.35">
      <c r="E4780">
        <v>4777</v>
      </c>
      <c r="F4780">
        <f t="shared" ca="1" si="76"/>
        <v>-1.0523770053982325E-4</v>
      </c>
    </row>
    <row r="4781" spans="5:6" x14ac:dyDescent="0.35">
      <c r="E4781">
        <v>4778</v>
      </c>
      <c r="F4781">
        <f t="shared" ca="1" si="76"/>
        <v>1.8284359268889834E-2</v>
      </c>
    </row>
    <row r="4782" spans="5:6" x14ac:dyDescent="0.35">
      <c r="E4782">
        <v>4779</v>
      </c>
      <c r="F4782">
        <f t="shared" ca="1" si="76"/>
        <v>3.8990544884152196E-3</v>
      </c>
    </row>
    <row r="4783" spans="5:6" x14ac:dyDescent="0.35">
      <c r="E4783">
        <v>4780</v>
      </c>
      <c r="F4783">
        <f t="shared" ca="1" si="76"/>
        <v>2.9049292480455846E-2</v>
      </c>
    </row>
    <row r="4784" spans="5:6" x14ac:dyDescent="0.35">
      <c r="E4784">
        <v>4781</v>
      </c>
      <c r="F4784">
        <f t="shared" ca="1" si="76"/>
        <v>2.0498712735108161E-2</v>
      </c>
    </row>
    <row r="4785" spans="5:6" x14ac:dyDescent="0.35">
      <c r="E4785">
        <v>4782</v>
      </c>
      <c r="F4785">
        <f t="shared" ca="1" si="76"/>
        <v>1.2006883049403484E-2</v>
      </c>
    </row>
    <row r="4786" spans="5:6" x14ac:dyDescent="0.35">
      <c r="E4786">
        <v>4783</v>
      </c>
      <c r="F4786">
        <f t="shared" ca="1" si="76"/>
        <v>-3.7709614422727911E-3</v>
      </c>
    </row>
    <row r="4787" spans="5:6" x14ac:dyDescent="0.35">
      <c r="E4787">
        <v>4784</v>
      </c>
      <c r="F4787">
        <f t="shared" ca="1" si="76"/>
        <v>2.5476880543386368E-2</v>
      </c>
    </row>
    <row r="4788" spans="5:6" x14ac:dyDescent="0.35">
      <c r="E4788">
        <v>4785</v>
      </c>
      <c r="F4788">
        <f t="shared" ca="1" si="76"/>
        <v>2.7427873500000216E-3</v>
      </c>
    </row>
    <row r="4789" spans="5:6" x14ac:dyDescent="0.35">
      <c r="E4789">
        <v>4786</v>
      </c>
      <c r="F4789">
        <f t="shared" ca="1" si="76"/>
        <v>-4.2860909750404323E-3</v>
      </c>
    </row>
    <row r="4790" spans="5:6" x14ac:dyDescent="0.35">
      <c r="E4790">
        <v>4787</v>
      </c>
      <c r="F4790">
        <f t="shared" ca="1" si="76"/>
        <v>-1.0235839061127648E-2</v>
      </c>
    </row>
    <row r="4791" spans="5:6" x14ac:dyDescent="0.35">
      <c r="E4791">
        <v>4788</v>
      </c>
      <c r="F4791">
        <f t="shared" ca="1" si="76"/>
        <v>5.5340581004233056E-3</v>
      </c>
    </row>
    <row r="4792" spans="5:6" x14ac:dyDescent="0.35">
      <c r="E4792">
        <v>4789</v>
      </c>
      <c r="F4792">
        <f t="shared" ca="1" si="76"/>
        <v>2.5330120716234292E-2</v>
      </c>
    </row>
    <row r="4793" spans="5:6" x14ac:dyDescent="0.35">
      <c r="E4793">
        <v>4790</v>
      </c>
      <c r="F4793">
        <f t="shared" ca="1" si="76"/>
        <v>2.2874197017699913E-2</v>
      </c>
    </row>
    <row r="4794" spans="5:6" x14ac:dyDescent="0.35">
      <c r="E4794">
        <v>4791</v>
      </c>
      <c r="F4794">
        <f t="shared" ca="1" si="76"/>
        <v>-2.1567732598733631E-2</v>
      </c>
    </row>
    <row r="4795" spans="5:6" x14ac:dyDescent="0.35">
      <c r="E4795">
        <v>4792</v>
      </c>
      <c r="F4795">
        <f t="shared" ca="1" si="76"/>
        <v>4.5455756760027352E-3</v>
      </c>
    </row>
    <row r="4796" spans="5:6" x14ac:dyDescent="0.35">
      <c r="E4796">
        <v>4793</v>
      </c>
      <c r="F4796">
        <f t="shared" ca="1" si="76"/>
        <v>2.4825364103469978E-2</v>
      </c>
    </row>
    <row r="4797" spans="5:6" x14ac:dyDescent="0.35">
      <c r="E4797">
        <v>4794</v>
      </c>
      <c r="F4797">
        <f t="shared" ca="1" si="76"/>
        <v>-2.0310292451560337E-3</v>
      </c>
    </row>
    <row r="4798" spans="5:6" x14ac:dyDescent="0.35">
      <c r="E4798">
        <v>4795</v>
      </c>
      <c r="F4798">
        <f t="shared" ca="1" si="76"/>
        <v>-1.1791702555694977E-2</v>
      </c>
    </row>
    <row r="4799" spans="5:6" x14ac:dyDescent="0.35">
      <c r="E4799">
        <v>4796</v>
      </c>
      <c r="F4799">
        <f t="shared" ca="1" si="76"/>
        <v>-9.045711589229715E-3</v>
      </c>
    </row>
    <row r="4800" spans="5:6" x14ac:dyDescent="0.35">
      <c r="E4800">
        <v>4797</v>
      </c>
      <c r="F4800">
        <f t="shared" ca="1" si="76"/>
        <v>-4.191691974035102E-4</v>
      </c>
    </row>
    <row r="4801" spans="5:6" x14ac:dyDescent="0.35">
      <c r="E4801">
        <v>4798</v>
      </c>
      <c r="F4801">
        <f t="shared" ca="1" si="76"/>
        <v>-5.489545371147187E-3</v>
      </c>
    </row>
    <row r="4802" spans="5:6" x14ac:dyDescent="0.35">
      <c r="E4802">
        <v>4799</v>
      </c>
      <c r="F4802">
        <f t="shared" ca="1" si="76"/>
        <v>1.9827441412958247E-3</v>
      </c>
    </row>
    <row r="4803" spans="5:6" x14ac:dyDescent="0.35">
      <c r="E4803">
        <v>4800</v>
      </c>
      <c r="F4803">
        <f t="shared" ca="1" si="76"/>
        <v>-2.0309996770669549E-3</v>
      </c>
    </row>
    <row r="4804" spans="5:6" x14ac:dyDescent="0.35">
      <c r="E4804">
        <v>4801</v>
      </c>
      <c r="F4804">
        <f t="shared" ca="1" si="76"/>
        <v>-5.4306802012085102E-3</v>
      </c>
    </row>
    <row r="4805" spans="5:6" x14ac:dyDescent="0.35">
      <c r="E4805">
        <v>4802</v>
      </c>
      <c r="F4805">
        <f t="shared" ref="F4805:F4868" ca="1" si="77">_xlfn.NORM.INV(RAND(),M$6,M$7)</f>
        <v>-2.4994272360689001E-2</v>
      </c>
    </row>
    <row r="4806" spans="5:6" x14ac:dyDescent="0.35">
      <c r="E4806">
        <v>4803</v>
      </c>
      <c r="F4806">
        <f t="shared" ca="1" si="77"/>
        <v>-8.5106384016599007E-3</v>
      </c>
    </row>
    <row r="4807" spans="5:6" x14ac:dyDescent="0.35">
      <c r="E4807">
        <v>4804</v>
      </c>
      <c r="F4807">
        <f t="shared" ca="1" si="77"/>
        <v>8.4778437062580665E-3</v>
      </c>
    </row>
    <row r="4808" spans="5:6" x14ac:dyDescent="0.35">
      <c r="E4808">
        <v>4805</v>
      </c>
      <c r="F4808">
        <f t="shared" ca="1" si="77"/>
        <v>-2.1586838922504441E-2</v>
      </c>
    </row>
    <row r="4809" spans="5:6" x14ac:dyDescent="0.35">
      <c r="E4809">
        <v>4806</v>
      </c>
      <c r="F4809">
        <f t="shared" ca="1" si="77"/>
        <v>-1.2758586162050091E-2</v>
      </c>
    </row>
    <row r="4810" spans="5:6" x14ac:dyDescent="0.35">
      <c r="E4810">
        <v>4807</v>
      </c>
      <c r="F4810">
        <f t="shared" ca="1" si="77"/>
        <v>-7.7721890177942891E-3</v>
      </c>
    </row>
    <row r="4811" spans="5:6" x14ac:dyDescent="0.35">
      <c r="E4811">
        <v>4808</v>
      </c>
      <c r="F4811">
        <f t="shared" ca="1" si="77"/>
        <v>7.6946098123267465E-3</v>
      </c>
    </row>
    <row r="4812" spans="5:6" x14ac:dyDescent="0.35">
      <c r="E4812">
        <v>4809</v>
      </c>
      <c r="F4812">
        <f t="shared" ca="1" si="77"/>
        <v>-8.4213561959455441E-3</v>
      </c>
    </row>
    <row r="4813" spans="5:6" x14ac:dyDescent="0.35">
      <c r="E4813">
        <v>4810</v>
      </c>
      <c r="F4813">
        <f t="shared" ca="1" si="77"/>
        <v>1.0325906038025344E-2</v>
      </c>
    </row>
    <row r="4814" spans="5:6" x14ac:dyDescent="0.35">
      <c r="E4814">
        <v>4811</v>
      </c>
      <c r="F4814">
        <f t="shared" ca="1" si="77"/>
        <v>1.8107294364091881E-2</v>
      </c>
    </row>
    <row r="4815" spans="5:6" x14ac:dyDescent="0.35">
      <c r="E4815">
        <v>4812</v>
      </c>
      <c r="F4815">
        <f t="shared" ca="1" si="77"/>
        <v>9.2327870968361581E-3</v>
      </c>
    </row>
    <row r="4816" spans="5:6" x14ac:dyDescent="0.35">
      <c r="E4816">
        <v>4813</v>
      </c>
      <c r="F4816">
        <f t="shared" ca="1" si="77"/>
        <v>3.1712305751486172E-3</v>
      </c>
    </row>
    <row r="4817" spans="5:6" x14ac:dyDescent="0.35">
      <c r="E4817">
        <v>4814</v>
      </c>
      <c r="F4817">
        <f t="shared" ca="1" si="77"/>
        <v>-4.6216385361981258E-3</v>
      </c>
    </row>
    <row r="4818" spans="5:6" x14ac:dyDescent="0.35">
      <c r="E4818">
        <v>4815</v>
      </c>
      <c r="F4818">
        <f t="shared" ca="1" si="77"/>
        <v>-3.2934619160434882E-3</v>
      </c>
    </row>
    <row r="4819" spans="5:6" x14ac:dyDescent="0.35">
      <c r="E4819">
        <v>4816</v>
      </c>
      <c r="F4819">
        <f t="shared" ca="1" si="77"/>
        <v>-2.1083403032108494E-2</v>
      </c>
    </row>
    <row r="4820" spans="5:6" x14ac:dyDescent="0.35">
      <c r="E4820">
        <v>4817</v>
      </c>
      <c r="F4820">
        <f t="shared" ca="1" si="77"/>
        <v>2.9643431001755791E-3</v>
      </c>
    </row>
    <row r="4821" spans="5:6" x14ac:dyDescent="0.35">
      <c r="E4821">
        <v>4818</v>
      </c>
      <c r="F4821">
        <f t="shared" ca="1" si="77"/>
        <v>-1.4009652670823719E-2</v>
      </c>
    </row>
    <row r="4822" spans="5:6" x14ac:dyDescent="0.35">
      <c r="E4822">
        <v>4819</v>
      </c>
      <c r="F4822">
        <f t="shared" ca="1" si="77"/>
        <v>9.2507986026338033E-3</v>
      </c>
    </row>
    <row r="4823" spans="5:6" x14ac:dyDescent="0.35">
      <c r="E4823">
        <v>4820</v>
      </c>
      <c r="F4823">
        <f t="shared" ca="1" si="77"/>
        <v>-3.3192455468474243E-3</v>
      </c>
    </row>
    <row r="4824" spans="5:6" x14ac:dyDescent="0.35">
      <c r="E4824">
        <v>4821</v>
      </c>
      <c r="F4824">
        <f t="shared" ca="1" si="77"/>
        <v>-1.6264529620366331E-3</v>
      </c>
    </row>
    <row r="4825" spans="5:6" x14ac:dyDescent="0.35">
      <c r="E4825">
        <v>4822</v>
      </c>
      <c r="F4825">
        <f t="shared" ca="1" si="77"/>
        <v>-2.5726680455509764E-2</v>
      </c>
    </row>
    <row r="4826" spans="5:6" x14ac:dyDescent="0.35">
      <c r="E4826">
        <v>4823</v>
      </c>
      <c r="F4826">
        <f t="shared" ca="1" si="77"/>
        <v>4.4697625780741367E-3</v>
      </c>
    </row>
    <row r="4827" spans="5:6" x14ac:dyDescent="0.35">
      <c r="E4827">
        <v>4824</v>
      </c>
      <c r="F4827">
        <f t="shared" ca="1" si="77"/>
        <v>-9.6037165449035025E-3</v>
      </c>
    </row>
    <row r="4828" spans="5:6" x14ac:dyDescent="0.35">
      <c r="E4828">
        <v>4825</v>
      </c>
      <c r="F4828">
        <f t="shared" ca="1" si="77"/>
        <v>4.5122313103677708E-3</v>
      </c>
    </row>
    <row r="4829" spans="5:6" x14ac:dyDescent="0.35">
      <c r="E4829">
        <v>4826</v>
      </c>
      <c r="F4829">
        <f t="shared" ca="1" si="77"/>
        <v>-1.8729701596771675E-2</v>
      </c>
    </row>
    <row r="4830" spans="5:6" x14ac:dyDescent="0.35">
      <c r="E4830">
        <v>4827</v>
      </c>
      <c r="F4830">
        <f t="shared" ca="1" si="77"/>
        <v>1.2977509109990962E-2</v>
      </c>
    </row>
    <row r="4831" spans="5:6" x14ac:dyDescent="0.35">
      <c r="E4831">
        <v>4828</v>
      </c>
      <c r="F4831">
        <f t="shared" ca="1" si="77"/>
        <v>-2.9215680027603673E-3</v>
      </c>
    </row>
    <row r="4832" spans="5:6" x14ac:dyDescent="0.35">
      <c r="E4832">
        <v>4829</v>
      </c>
      <c r="F4832">
        <f t="shared" ca="1" si="77"/>
        <v>1.1148042702516535E-2</v>
      </c>
    </row>
    <row r="4833" spans="5:6" x14ac:dyDescent="0.35">
      <c r="E4833">
        <v>4830</v>
      </c>
      <c r="F4833">
        <f t="shared" ca="1" si="77"/>
        <v>6.0159688182544035E-3</v>
      </c>
    </row>
    <row r="4834" spans="5:6" x14ac:dyDescent="0.35">
      <c r="E4834">
        <v>4831</v>
      </c>
      <c r="F4834">
        <f t="shared" ca="1" si="77"/>
        <v>1.4984782952329913E-2</v>
      </c>
    </row>
    <row r="4835" spans="5:6" x14ac:dyDescent="0.35">
      <c r="E4835">
        <v>4832</v>
      </c>
      <c r="F4835">
        <f t="shared" ca="1" si="77"/>
        <v>1.0782602952686805E-2</v>
      </c>
    </row>
    <row r="4836" spans="5:6" x14ac:dyDescent="0.35">
      <c r="E4836">
        <v>4833</v>
      </c>
      <c r="F4836">
        <f t="shared" ca="1" si="77"/>
        <v>4.8219347107636536E-3</v>
      </c>
    </row>
    <row r="4837" spans="5:6" x14ac:dyDescent="0.35">
      <c r="E4837">
        <v>4834</v>
      </c>
      <c r="F4837">
        <f t="shared" ca="1" si="77"/>
        <v>1.1647565632215097E-3</v>
      </c>
    </row>
    <row r="4838" spans="5:6" x14ac:dyDescent="0.35">
      <c r="E4838">
        <v>4835</v>
      </c>
      <c r="F4838">
        <f t="shared" ca="1" si="77"/>
        <v>5.4232440621255918E-3</v>
      </c>
    </row>
    <row r="4839" spans="5:6" x14ac:dyDescent="0.35">
      <c r="E4839">
        <v>4836</v>
      </c>
      <c r="F4839">
        <f t="shared" ca="1" si="77"/>
        <v>2.4185679354931386E-6</v>
      </c>
    </row>
    <row r="4840" spans="5:6" x14ac:dyDescent="0.35">
      <c r="E4840">
        <v>4837</v>
      </c>
      <c r="F4840">
        <f t="shared" ca="1" si="77"/>
        <v>3.1875706614969745E-2</v>
      </c>
    </row>
    <row r="4841" spans="5:6" x14ac:dyDescent="0.35">
      <c r="E4841">
        <v>4838</v>
      </c>
      <c r="F4841">
        <f t="shared" ca="1" si="77"/>
        <v>1.3791110407784829E-3</v>
      </c>
    </row>
    <row r="4842" spans="5:6" x14ac:dyDescent="0.35">
      <c r="E4842">
        <v>4839</v>
      </c>
      <c r="F4842">
        <f t="shared" ca="1" si="77"/>
        <v>-5.9309118467823392E-3</v>
      </c>
    </row>
    <row r="4843" spans="5:6" x14ac:dyDescent="0.35">
      <c r="E4843">
        <v>4840</v>
      </c>
      <c r="F4843">
        <f t="shared" ca="1" si="77"/>
        <v>-2.6453514314047053E-2</v>
      </c>
    </row>
    <row r="4844" spans="5:6" x14ac:dyDescent="0.35">
      <c r="E4844">
        <v>4841</v>
      </c>
      <c r="F4844">
        <f t="shared" ca="1" si="77"/>
        <v>1.8348827955848735E-2</v>
      </c>
    </row>
    <row r="4845" spans="5:6" x14ac:dyDescent="0.35">
      <c r="E4845">
        <v>4842</v>
      </c>
      <c r="F4845">
        <f t="shared" ca="1" si="77"/>
        <v>-5.1282551581319597E-3</v>
      </c>
    </row>
    <row r="4846" spans="5:6" x14ac:dyDescent="0.35">
      <c r="E4846">
        <v>4843</v>
      </c>
      <c r="F4846">
        <f t="shared" ca="1" si="77"/>
        <v>1.0846471601811881E-2</v>
      </c>
    </row>
    <row r="4847" spans="5:6" x14ac:dyDescent="0.35">
      <c r="E4847">
        <v>4844</v>
      </c>
      <c r="F4847">
        <f t="shared" ca="1" si="77"/>
        <v>-5.4974996191524588E-3</v>
      </c>
    </row>
    <row r="4848" spans="5:6" x14ac:dyDescent="0.35">
      <c r="E4848">
        <v>4845</v>
      </c>
      <c r="F4848">
        <f t="shared" ca="1" si="77"/>
        <v>2.1776365993399376E-2</v>
      </c>
    </row>
    <row r="4849" spans="5:6" x14ac:dyDescent="0.35">
      <c r="E4849">
        <v>4846</v>
      </c>
      <c r="F4849">
        <f t="shared" ca="1" si="77"/>
        <v>-9.554232950423942E-3</v>
      </c>
    </row>
    <row r="4850" spans="5:6" x14ac:dyDescent="0.35">
      <c r="E4850">
        <v>4847</v>
      </c>
      <c r="F4850">
        <f t="shared" ca="1" si="77"/>
        <v>-3.6810981770978727E-3</v>
      </c>
    </row>
    <row r="4851" spans="5:6" x14ac:dyDescent="0.35">
      <c r="E4851">
        <v>4848</v>
      </c>
      <c r="F4851">
        <f t="shared" ca="1" si="77"/>
        <v>-1.3499298184954569E-2</v>
      </c>
    </row>
    <row r="4852" spans="5:6" x14ac:dyDescent="0.35">
      <c r="E4852">
        <v>4849</v>
      </c>
      <c r="F4852">
        <f t="shared" ca="1" si="77"/>
        <v>-3.3150110497919784E-3</v>
      </c>
    </row>
    <row r="4853" spans="5:6" x14ac:dyDescent="0.35">
      <c r="E4853">
        <v>4850</v>
      </c>
      <c r="F4853">
        <f t="shared" ca="1" si="77"/>
        <v>-2.7399662229984793E-2</v>
      </c>
    </row>
    <row r="4854" spans="5:6" x14ac:dyDescent="0.35">
      <c r="E4854">
        <v>4851</v>
      </c>
      <c r="F4854">
        <f t="shared" ca="1" si="77"/>
        <v>6.4125703890754527E-3</v>
      </c>
    </row>
    <row r="4855" spans="5:6" x14ac:dyDescent="0.35">
      <c r="E4855">
        <v>4852</v>
      </c>
      <c r="F4855">
        <f t="shared" ca="1" si="77"/>
        <v>4.7632046947787441E-3</v>
      </c>
    </row>
    <row r="4856" spans="5:6" x14ac:dyDescent="0.35">
      <c r="E4856">
        <v>4853</v>
      </c>
      <c r="F4856">
        <f t="shared" ca="1" si="77"/>
        <v>2.1479522276981709E-2</v>
      </c>
    </row>
    <row r="4857" spans="5:6" x14ac:dyDescent="0.35">
      <c r="E4857">
        <v>4854</v>
      </c>
      <c r="F4857">
        <f t="shared" ca="1" si="77"/>
        <v>-2.7536527682337623E-3</v>
      </c>
    </row>
    <row r="4858" spans="5:6" x14ac:dyDescent="0.35">
      <c r="E4858">
        <v>4855</v>
      </c>
      <c r="F4858">
        <f t="shared" ca="1" si="77"/>
        <v>3.7786996142439339E-3</v>
      </c>
    </row>
    <row r="4859" spans="5:6" x14ac:dyDescent="0.35">
      <c r="E4859">
        <v>4856</v>
      </c>
      <c r="F4859">
        <f t="shared" ca="1" si="77"/>
        <v>-1.5982334643561108E-2</v>
      </c>
    </row>
    <row r="4860" spans="5:6" x14ac:dyDescent="0.35">
      <c r="E4860">
        <v>4857</v>
      </c>
      <c r="F4860">
        <f t="shared" ca="1" si="77"/>
        <v>1.5492090940597877E-2</v>
      </c>
    </row>
    <row r="4861" spans="5:6" x14ac:dyDescent="0.35">
      <c r="E4861">
        <v>4858</v>
      </c>
      <c r="F4861">
        <f t="shared" ca="1" si="77"/>
        <v>-1.3891062589984796E-2</v>
      </c>
    </row>
    <row r="4862" spans="5:6" x14ac:dyDescent="0.35">
      <c r="E4862">
        <v>4859</v>
      </c>
      <c r="F4862">
        <f t="shared" ca="1" si="77"/>
        <v>-8.0985489461880712E-3</v>
      </c>
    </row>
    <row r="4863" spans="5:6" x14ac:dyDescent="0.35">
      <c r="E4863">
        <v>4860</v>
      </c>
      <c r="F4863">
        <f t="shared" ca="1" si="77"/>
        <v>6.0733350719699014E-3</v>
      </c>
    </row>
    <row r="4864" spans="5:6" x14ac:dyDescent="0.35">
      <c r="E4864">
        <v>4861</v>
      </c>
      <c r="F4864">
        <f t="shared" ca="1" si="77"/>
        <v>2.0834378013900789E-3</v>
      </c>
    </row>
    <row r="4865" spans="5:6" x14ac:dyDescent="0.35">
      <c r="E4865">
        <v>4862</v>
      </c>
      <c r="F4865">
        <f t="shared" ca="1" si="77"/>
        <v>-2.9106639550730575E-3</v>
      </c>
    </row>
    <row r="4866" spans="5:6" x14ac:dyDescent="0.35">
      <c r="E4866">
        <v>4863</v>
      </c>
      <c r="F4866">
        <f t="shared" ca="1" si="77"/>
        <v>4.0667982370681359E-3</v>
      </c>
    </row>
    <row r="4867" spans="5:6" x14ac:dyDescent="0.35">
      <c r="E4867">
        <v>4864</v>
      </c>
      <c r="F4867">
        <f t="shared" ca="1" si="77"/>
        <v>-1.5839454218978419E-4</v>
      </c>
    </row>
    <row r="4868" spans="5:6" x14ac:dyDescent="0.35">
      <c r="E4868">
        <v>4865</v>
      </c>
      <c r="F4868">
        <f t="shared" ca="1" si="77"/>
        <v>-1.5007560327731262E-2</v>
      </c>
    </row>
    <row r="4869" spans="5:6" x14ac:dyDescent="0.35">
      <c r="E4869">
        <v>4866</v>
      </c>
      <c r="F4869">
        <f t="shared" ref="F4869:F4932" ca="1" si="78">_xlfn.NORM.INV(RAND(),M$6,M$7)</f>
        <v>3.2954017128291628E-3</v>
      </c>
    </row>
    <row r="4870" spans="5:6" x14ac:dyDescent="0.35">
      <c r="E4870">
        <v>4867</v>
      </c>
      <c r="F4870">
        <f t="shared" ca="1" si="78"/>
        <v>-3.1526644356051597E-2</v>
      </c>
    </row>
    <row r="4871" spans="5:6" x14ac:dyDescent="0.35">
      <c r="E4871">
        <v>4868</v>
      </c>
      <c r="F4871">
        <f t="shared" ca="1" si="78"/>
        <v>1.602177505998869E-2</v>
      </c>
    </row>
    <row r="4872" spans="5:6" x14ac:dyDescent="0.35">
      <c r="E4872">
        <v>4869</v>
      </c>
      <c r="F4872">
        <f t="shared" ca="1" si="78"/>
        <v>-1.4456956193668383E-2</v>
      </c>
    </row>
    <row r="4873" spans="5:6" x14ac:dyDescent="0.35">
      <c r="E4873">
        <v>4870</v>
      </c>
      <c r="F4873">
        <f t="shared" ca="1" si="78"/>
        <v>-1.9104241558488954E-2</v>
      </c>
    </row>
    <row r="4874" spans="5:6" x14ac:dyDescent="0.35">
      <c r="E4874">
        <v>4871</v>
      </c>
      <c r="F4874">
        <f t="shared" ca="1" si="78"/>
        <v>-8.505014307826117E-3</v>
      </c>
    </row>
    <row r="4875" spans="5:6" x14ac:dyDescent="0.35">
      <c r="E4875">
        <v>4872</v>
      </c>
      <c r="F4875">
        <f t="shared" ca="1" si="78"/>
        <v>1.0555457627121003E-2</v>
      </c>
    </row>
    <row r="4876" spans="5:6" x14ac:dyDescent="0.35">
      <c r="E4876">
        <v>4873</v>
      </c>
      <c r="F4876">
        <f t="shared" ca="1" si="78"/>
        <v>-1.3272500960857058E-2</v>
      </c>
    </row>
    <row r="4877" spans="5:6" x14ac:dyDescent="0.35">
      <c r="E4877">
        <v>4874</v>
      </c>
      <c r="F4877">
        <f t="shared" ca="1" si="78"/>
        <v>1.2506332281646647E-2</v>
      </c>
    </row>
    <row r="4878" spans="5:6" x14ac:dyDescent="0.35">
      <c r="E4878">
        <v>4875</v>
      </c>
      <c r="F4878">
        <f t="shared" ca="1" si="78"/>
        <v>-2.5460502249170586E-2</v>
      </c>
    </row>
    <row r="4879" spans="5:6" x14ac:dyDescent="0.35">
      <c r="E4879">
        <v>4876</v>
      </c>
      <c r="F4879">
        <f t="shared" ca="1" si="78"/>
        <v>-8.3686463639729217E-3</v>
      </c>
    </row>
    <row r="4880" spans="5:6" x14ac:dyDescent="0.35">
      <c r="E4880">
        <v>4877</v>
      </c>
      <c r="F4880">
        <f t="shared" ca="1" si="78"/>
        <v>1.0799366780329139E-2</v>
      </c>
    </row>
    <row r="4881" spans="5:6" x14ac:dyDescent="0.35">
      <c r="E4881">
        <v>4878</v>
      </c>
      <c r="F4881">
        <f t="shared" ca="1" si="78"/>
        <v>9.8004916552332996E-3</v>
      </c>
    </row>
    <row r="4882" spans="5:6" x14ac:dyDescent="0.35">
      <c r="E4882">
        <v>4879</v>
      </c>
      <c r="F4882">
        <f t="shared" ca="1" si="78"/>
        <v>-3.6053337030339763E-2</v>
      </c>
    </row>
    <row r="4883" spans="5:6" x14ac:dyDescent="0.35">
      <c r="E4883">
        <v>4880</v>
      </c>
      <c r="F4883">
        <f t="shared" ca="1" si="78"/>
        <v>-5.5067324205270284E-3</v>
      </c>
    </row>
    <row r="4884" spans="5:6" x14ac:dyDescent="0.35">
      <c r="E4884">
        <v>4881</v>
      </c>
      <c r="F4884">
        <f t="shared" ca="1" si="78"/>
        <v>-1.1479598258681081E-2</v>
      </c>
    </row>
    <row r="4885" spans="5:6" x14ac:dyDescent="0.35">
      <c r="E4885">
        <v>4882</v>
      </c>
      <c r="F4885">
        <f t="shared" ca="1" si="78"/>
        <v>4.6422269227586474E-3</v>
      </c>
    </row>
    <row r="4886" spans="5:6" x14ac:dyDescent="0.35">
      <c r="E4886">
        <v>4883</v>
      </c>
      <c r="F4886">
        <f t="shared" ca="1" si="78"/>
        <v>1.0917348527026674E-2</v>
      </c>
    </row>
    <row r="4887" spans="5:6" x14ac:dyDescent="0.35">
      <c r="E4887">
        <v>4884</v>
      </c>
      <c r="F4887">
        <f t="shared" ca="1" si="78"/>
        <v>2.6411783217639465E-4</v>
      </c>
    </row>
    <row r="4888" spans="5:6" x14ac:dyDescent="0.35">
      <c r="E4888">
        <v>4885</v>
      </c>
      <c r="F4888">
        <f t="shared" ca="1" si="78"/>
        <v>-4.8374010008531122E-2</v>
      </c>
    </row>
    <row r="4889" spans="5:6" x14ac:dyDescent="0.35">
      <c r="E4889">
        <v>4886</v>
      </c>
      <c r="F4889">
        <f t="shared" ca="1" si="78"/>
        <v>-4.7385025755749899E-3</v>
      </c>
    </row>
    <row r="4890" spans="5:6" x14ac:dyDescent="0.35">
      <c r="E4890">
        <v>4887</v>
      </c>
      <c r="F4890">
        <f t="shared" ca="1" si="78"/>
        <v>2.9866228443462112E-2</v>
      </c>
    </row>
    <row r="4891" spans="5:6" x14ac:dyDescent="0.35">
      <c r="E4891">
        <v>4888</v>
      </c>
      <c r="F4891">
        <f t="shared" ca="1" si="78"/>
        <v>1.3490276903298406E-2</v>
      </c>
    </row>
    <row r="4892" spans="5:6" x14ac:dyDescent="0.35">
      <c r="E4892">
        <v>4889</v>
      </c>
      <c r="F4892">
        <f t="shared" ca="1" si="78"/>
        <v>8.7936956247852329E-3</v>
      </c>
    </row>
    <row r="4893" spans="5:6" x14ac:dyDescent="0.35">
      <c r="E4893">
        <v>4890</v>
      </c>
      <c r="F4893">
        <f t="shared" ca="1" si="78"/>
        <v>-4.1024823509490166E-3</v>
      </c>
    </row>
    <row r="4894" spans="5:6" x14ac:dyDescent="0.35">
      <c r="E4894">
        <v>4891</v>
      </c>
      <c r="F4894">
        <f t="shared" ca="1" si="78"/>
        <v>-3.4278377834976378E-2</v>
      </c>
    </row>
    <row r="4895" spans="5:6" x14ac:dyDescent="0.35">
      <c r="E4895">
        <v>4892</v>
      </c>
      <c r="F4895">
        <f t="shared" ca="1" si="78"/>
        <v>-1.7583963824333901E-2</v>
      </c>
    </row>
    <row r="4896" spans="5:6" x14ac:dyDescent="0.35">
      <c r="E4896">
        <v>4893</v>
      </c>
      <c r="F4896">
        <f t="shared" ca="1" si="78"/>
        <v>-2.3882605577825552E-2</v>
      </c>
    </row>
    <row r="4897" spans="5:6" x14ac:dyDescent="0.35">
      <c r="E4897">
        <v>4894</v>
      </c>
      <c r="F4897">
        <f t="shared" ca="1" si="78"/>
        <v>9.8573609750465183E-3</v>
      </c>
    </row>
    <row r="4898" spans="5:6" x14ac:dyDescent="0.35">
      <c r="E4898">
        <v>4895</v>
      </c>
      <c r="F4898">
        <f t="shared" ca="1" si="78"/>
        <v>-1.6684878554253192E-2</v>
      </c>
    </row>
    <row r="4899" spans="5:6" x14ac:dyDescent="0.35">
      <c r="E4899">
        <v>4896</v>
      </c>
      <c r="F4899">
        <f t="shared" ca="1" si="78"/>
        <v>6.0092826664840324E-3</v>
      </c>
    </row>
    <row r="4900" spans="5:6" x14ac:dyDescent="0.35">
      <c r="E4900">
        <v>4897</v>
      </c>
      <c r="F4900">
        <f t="shared" ca="1" si="78"/>
        <v>9.4303071008482627E-3</v>
      </c>
    </row>
    <row r="4901" spans="5:6" x14ac:dyDescent="0.35">
      <c r="E4901">
        <v>4898</v>
      </c>
      <c r="F4901">
        <f t="shared" ca="1" si="78"/>
        <v>-2.8167988836979869E-2</v>
      </c>
    </row>
    <row r="4902" spans="5:6" x14ac:dyDescent="0.35">
      <c r="E4902">
        <v>4899</v>
      </c>
      <c r="F4902">
        <f t="shared" ca="1" si="78"/>
        <v>-1.717363599032832E-3</v>
      </c>
    </row>
    <row r="4903" spans="5:6" x14ac:dyDescent="0.35">
      <c r="E4903">
        <v>4900</v>
      </c>
      <c r="F4903">
        <f t="shared" ca="1" si="78"/>
        <v>6.9387265027975008E-4</v>
      </c>
    </row>
    <row r="4904" spans="5:6" x14ac:dyDescent="0.35">
      <c r="E4904">
        <v>4901</v>
      </c>
      <c r="F4904">
        <f t="shared" ca="1" si="78"/>
        <v>-1.6293269749563976E-2</v>
      </c>
    </row>
    <row r="4905" spans="5:6" x14ac:dyDescent="0.35">
      <c r="E4905">
        <v>4902</v>
      </c>
      <c r="F4905">
        <f t="shared" ca="1" si="78"/>
        <v>3.8089395742057644E-3</v>
      </c>
    </row>
    <row r="4906" spans="5:6" x14ac:dyDescent="0.35">
      <c r="E4906">
        <v>4903</v>
      </c>
      <c r="F4906">
        <f t="shared" ca="1" si="78"/>
        <v>2.2634054053733846E-3</v>
      </c>
    </row>
    <row r="4907" spans="5:6" x14ac:dyDescent="0.35">
      <c r="E4907">
        <v>4904</v>
      </c>
      <c r="F4907">
        <f t="shared" ca="1" si="78"/>
        <v>-2.562833432639872E-2</v>
      </c>
    </row>
    <row r="4908" spans="5:6" x14ac:dyDescent="0.35">
      <c r="E4908">
        <v>4905</v>
      </c>
      <c r="F4908">
        <f t="shared" ca="1" si="78"/>
        <v>-5.8483494831565851E-3</v>
      </c>
    </row>
    <row r="4909" spans="5:6" x14ac:dyDescent="0.35">
      <c r="E4909">
        <v>4906</v>
      </c>
      <c r="F4909">
        <f t="shared" ca="1" si="78"/>
        <v>1.5100461531090851E-2</v>
      </c>
    </row>
    <row r="4910" spans="5:6" x14ac:dyDescent="0.35">
      <c r="E4910">
        <v>4907</v>
      </c>
      <c r="F4910">
        <f t="shared" ca="1" si="78"/>
        <v>-1.7735431670320035E-3</v>
      </c>
    </row>
    <row r="4911" spans="5:6" x14ac:dyDescent="0.35">
      <c r="E4911">
        <v>4908</v>
      </c>
      <c r="F4911">
        <f t="shared" ca="1" si="78"/>
        <v>-1.0444818737418359E-2</v>
      </c>
    </row>
    <row r="4912" spans="5:6" x14ac:dyDescent="0.35">
      <c r="E4912">
        <v>4909</v>
      </c>
      <c r="F4912">
        <f t="shared" ca="1" si="78"/>
        <v>4.0324314809216083E-2</v>
      </c>
    </row>
    <row r="4913" spans="5:6" x14ac:dyDescent="0.35">
      <c r="E4913">
        <v>4910</v>
      </c>
      <c r="F4913">
        <f t="shared" ca="1" si="78"/>
        <v>1.6639417859569408E-3</v>
      </c>
    </row>
    <row r="4914" spans="5:6" x14ac:dyDescent="0.35">
      <c r="E4914">
        <v>4911</v>
      </c>
      <c r="F4914">
        <f t="shared" ca="1" si="78"/>
        <v>8.6759883922785351E-3</v>
      </c>
    </row>
    <row r="4915" spans="5:6" x14ac:dyDescent="0.35">
      <c r="E4915">
        <v>4912</v>
      </c>
      <c r="F4915">
        <f t="shared" ca="1" si="78"/>
        <v>-6.0494028058446728E-3</v>
      </c>
    </row>
    <row r="4916" spans="5:6" x14ac:dyDescent="0.35">
      <c r="E4916">
        <v>4913</v>
      </c>
      <c r="F4916">
        <f t="shared" ca="1" si="78"/>
        <v>3.9844450710959699E-3</v>
      </c>
    </row>
    <row r="4917" spans="5:6" x14ac:dyDescent="0.35">
      <c r="E4917">
        <v>4914</v>
      </c>
      <c r="F4917">
        <f t="shared" ca="1" si="78"/>
        <v>2.3685992188924386E-2</v>
      </c>
    </row>
    <row r="4918" spans="5:6" x14ac:dyDescent="0.35">
      <c r="E4918">
        <v>4915</v>
      </c>
      <c r="F4918">
        <f t="shared" ca="1" si="78"/>
        <v>-2.0810573199924798E-2</v>
      </c>
    </row>
    <row r="4919" spans="5:6" x14ac:dyDescent="0.35">
      <c r="E4919">
        <v>4916</v>
      </c>
      <c r="F4919">
        <f t="shared" ca="1" si="78"/>
        <v>2.9175781805029527E-2</v>
      </c>
    </row>
    <row r="4920" spans="5:6" x14ac:dyDescent="0.35">
      <c r="E4920">
        <v>4917</v>
      </c>
      <c r="F4920">
        <f t="shared" ca="1" si="78"/>
        <v>-9.1244273782095323E-3</v>
      </c>
    </row>
    <row r="4921" spans="5:6" x14ac:dyDescent="0.35">
      <c r="E4921">
        <v>4918</v>
      </c>
      <c r="F4921">
        <f t="shared" ca="1" si="78"/>
        <v>8.1617442172297258E-3</v>
      </c>
    </row>
    <row r="4922" spans="5:6" x14ac:dyDescent="0.35">
      <c r="E4922">
        <v>4919</v>
      </c>
      <c r="F4922">
        <f t="shared" ca="1" si="78"/>
        <v>-2.0665623185007576E-2</v>
      </c>
    </row>
    <row r="4923" spans="5:6" x14ac:dyDescent="0.35">
      <c r="E4923">
        <v>4920</v>
      </c>
      <c r="F4923">
        <f t="shared" ca="1" si="78"/>
        <v>2.2023746166512513E-3</v>
      </c>
    </row>
    <row r="4924" spans="5:6" x14ac:dyDescent="0.35">
      <c r="E4924">
        <v>4921</v>
      </c>
      <c r="F4924">
        <f t="shared" ca="1" si="78"/>
        <v>1.3470088502185052E-3</v>
      </c>
    </row>
    <row r="4925" spans="5:6" x14ac:dyDescent="0.35">
      <c r="E4925">
        <v>4922</v>
      </c>
      <c r="F4925">
        <f t="shared" ca="1" si="78"/>
        <v>-1.7254499347483337E-2</v>
      </c>
    </row>
    <row r="4926" spans="5:6" x14ac:dyDescent="0.35">
      <c r="E4926">
        <v>4923</v>
      </c>
      <c r="F4926">
        <f t="shared" ca="1" si="78"/>
        <v>2.7115365202496328E-2</v>
      </c>
    </row>
    <row r="4927" spans="5:6" x14ac:dyDescent="0.35">
      <c r="E4927">
        <v>4924</v>
      </c>
      <c r="F4927">
        <f t="shared" ca="1" si="78"/>
        <v>-4.3214091339483521E-2</v>
      </c>
    </row>
    <row r="4928" spans="5:6" x14ac:dyDescent="0.35">
      <c r="E4928">
        <v>4925</v>
      </c>
      <c r="F4928">
        <f t="shared" ca="1" si="78"/>
        <v>6.3034763948084521E-3</v>
      </c>
    </row>
    <row r="4929" spans="5:6" x14ac:dyDescent="0.35">
      <c r="E4929">
        <v>4926</v>
      </c>
      <c r="F4929">
        <f t="shared" ca="1" si="78"/>
        <v>-4.0361631056651535E-4</v>
      </c>
    </row>
    <row r="4930" spans="5:6" x14ac:dyDescent="0.35">
      <c r="E4930">
        <v>4927</v>
      </c>
      <c r="F4930">
        <f t="shared" ca="1" si="78"/>
        <v>4.8132381198263928E-3</v>
      </c>
    </row>
    <row r="4931" spans="5:6" x14ac:dyDescent="0.35">
      <c r="E4931">
        <v>4928</v>
      </c>
      <c r="F4931">
        <f t="shared" ca="1" si="78"/>
        <v>1.8694495525252855E-3</v>
      </c>
    </row>
    <row r="4932" spans="5:6" x14ac:dyDescent="0.35">
      <c r="E4932">
        <v>4929</v>
      </c>
      <c r="F4932">
        <f t="shared" ca="1" si="78"/>
        <v>9.9454682306360041E-3</v>
      </c>
    </row>
    <row r="4933" spans="5:6" x14ac:dyDescent="0.35">
      <c r="E4933">
        <v>4930</v>
      </c>
      <c r="F4933">
        <f t="shared" ref="F4933:F4996" ca="1" si="79">_xlfn.NORM.INV(RAND(),M$6,M$7)</f>
        <v>-2.3258775244207532E-2</v>
      </c>
    </row>
    <row r="4934" spans="5:6" x14ac:dyDescent="0.35">
      <c r="E4934">
        <v>4931</v>
      </c>
      <c r="F4934">
        <f t="shared" ca="1" si="79"/>
        <v>-6.5665927569107914E-3</v>
      </c>
    </row>
    <row r="4935" spans="5:6" x14ac:dyDescent="0.35">
      <c r="E4935">
        <v>4932</v>
      </c>
      <c r="F4935">
        <f t="shared" ca="1" si="79"/>
        <v>2.3858008032369531E-2</v>
      </c>
    </row>
    <row r="4936" spans="5:6" x14ac:dyDescent="0.35">
      <c r="E4936">
        <v>4933</v>
      </c>
      <c r="F4936">
        <f t="shared" ca="1" si="79"/>
        <v>-2.2693000992097527E-2</v>
      </c>
    </row>
    <row r="4937" spans="5:6" x14ac:dyDescent="0.35">
      <c r="E4937">
        <v>4934</v>
      </c>
      <c r="F4937">
        <f t="shared" ca="1" si="79"/>
        <v>1.6160417466521696E-2</v>
      </c>
    </row>
    <row r="4938" spans="5:6" x14ac:dyDescent="0.35">
      <c r="E4938">
        <v>4935</v>
      </c>
      <c r="F4938">
        <f t="shared" ca="1" si="79"/>
        <v>-9.7397905720089904E-3</v>
      </c>
    </row>
    <row r="4939" spans="5:6" x14ac:dyDescent="0.35">
      <c r="E4939">
        <v>4936</v>
      </c>
      <c r="F4939">
        <f t="shared" ca="1" si="79"/>
        <v>-2.1278052129020151E-2</v>
      </c>
    </row>
    <row r="4940" spans="5:6" x14ac:dyDescent="0.35">
      <c r="E4940">
        <v>4937</v>
      </c>
      <c r="F4940">
        <f t="shared" ca="1" si="79"/>
        <v>2.2731939573185795E-4</v>
      </c>
    </row>
    <row r="4941" spans="5:6" x14ac:dyDescent="0.35">
      <c r="E4941">
        <v>4938</v>
      </c>
      <c r="F4941">
        <f t="shared" ca="1" si="79"/>
        <v>4.3571810204086634E-3</v>
      </c>
    </row>
    <row r="4942" spans="5:6" x14ac:dyDescent="0.35">
      <c r="E4942">
        <v>4939</v>
      </c>
      <c r="F4942">
        <f t="shared" ca="1" si="79"/>
        <v>9.7116048552275715E-3</v>
      </c>
    </row>
    <row r="4943" spans="5:6" x14ac:dyDescent="0.35">
      <c r="E4943">
        <v>4940</v>
      </c>
      <c r="F4943">
        <f t="shared" ca="1" si="79"/>
        <v>7.4748385860846376E-3</v>
      </c>
    </row>
    <row r="4944" spans="5:6" x14ac:dyDescent="0.35">
      <c r="E4944">
        <v>4941</v>
      </c>
      <c r="F4944">
        <f t="shared" ca="1" si="79"/>
        <v>-1.8500271623037651E-2</v>
      </c>
    </row>
    <row r="4945" spans="5:6" x14ac:dyDescent="0.35">
      <c r="E4945">
        <v>4942</v>
      </c>
      <c r="F4945">
        <f t="shared" ca="1" si="79"/>
        <v>-1.9734018993527381E-2</v>
      </c>
    </row>
    <row r="4946" spans="5:6" x14ac:dyDescent="0.35">
      <c r="E4946">
        <v>4943</v>
      </c>
      <c r="F4946">
        <f t="shared" ca="1" si="79"/>
        <v>-8.7636024820094728E-3</v>
      </c>
    </row>
    <row r="4947" spans="5:6" x14ac:dyDescent="0.35">
      <c r="E4947">
        <v>4944</v>
      </c>
      <c r="F4947">
        <f t="shared" ca="1" si="79"/>
        <v>7.370619797923395E-3</v>
      </c>
    </row>
    <row r="4948" spans="5:6" x14ac:dyDescent="0.35">
      <c r="E4948">
        <v>4945</v>
      </c>
      <c r="F4948">
        <f t="shared" ca="1" si="79"/>
        <v>-1.1302441468287341E-2</v>
      </c>
    </row>
    <row r="4949" spans="5:6" x14ac:dyDescent="0.35">
      <c r="E4949">
        <v>4946</v>
      </c>
      <c r="F4949">
        <f t="shared" ca="1" si="79"/>
        <v>-2.0877803868747474E-2</v>
      </c>
    </row>
    <row r="4950" spans="5:6" x14ac:dyDescent="0.35">
      <c r="E4950">
        <v>4947</v>
      </c>
      <c r="F4950">
        <f t="shared" ca="1" si="79"/>
        <v>1.3574937301551944E-2</v>
      </c>
    </row>
    <row r="4951" spans="5:6" x14ac:dyDescent="0.35">
      <c r="E4951">
        <v>4948</v>
      </c>
      <c r="F4951">
        <f t="shared" ca="1" si="79"/>
        <v>-1.1818239383926083E-2</v>
      </c>
    </row>
    <row r="4952" spans="5:6" x14ac:dyDescent="0.35">
      <c r="E4952">
        <v>4949</v>
      </c>
      <c r="F4952">
        <f t="shared" ca="1" si="79"/>
        <v>1.0869595468896763E-2</v>
      </c>
    </row>
    <row r="4953" spans="5:6" x14ac:dyDescent="0.35">
      <c r="E4953">
        <v>4950</v>
      </c>
      <c r="F4953">
        <f t="shared" ca="1" si="79"/>
        <v>-7.8714835836701993E-3</v>
      </c>
    </row>
    <row r="4954" spans="5:6" x14ac:dyDescent="0.35">
      <c r="E4954">
        <v>4951</v>
      </c>
      <c r="F4954">
        <f t="shared" ca="1" si="79"/>
        <v>9.2679367416357867E-4</v>
      </c>
    </row>
    <row r="4955" spans="5:6" x14ac:dyDescent="0.35">
      <c r="E4955">
        <v>4952</v>
      </c>
      <c r="F4955">
        <f t="shared" ca="1" si="79"/>
        <v>9.3605519217623973E-3</v>
      </c>
    </row>
    <row r="4956" spans="5:6" x14ac:dyDescent="0.35">
      <c r="E4956">
        <v>4953</v>
      </c>
      <c r="F4956">
        <f t="shared" ca="1" si="79"/>
        <v>-1.0173646411538079E-2</v>
      </c>
    </row>
    <row r="4957" spans="5:6" x14ac:dyDescent="0.35">
      <c r="E4957">
        <v>4954</v>
      </c>
      <c r="F4957">
        <f t="shared" ca="1" si="79"/>
        <v>2.1041881442968209E-2</v>
      </c>
    </row>
    <row r="4958" spans="5:6" x14ac:dyDescent="0.35">
      <c r="E4958">
        <v>4955</v>
      </c>
      <c r="F4958">
        <f t="shared" ca="1" si="79"/>
        <v>-2.5699653685364438E-2</v>
      </c>
    </row>
    <row r="4959" spans="5:6" x14ac:dyDescent="0.35">
      <c r="E4959">
        <v>4956</v>
      </c>
      <c r="F4959">
        <f t="shared" ca="1" si="79"/>
        <v>-1.8590565982937808E-3</v>
      </c>
    </row>
    <row r="4960" spans="5:6" x14ac:dyDescent="0.35">
      <c r="E4960">
        <v>4957</v>
      </c>
      <c r="F4960">
        <f t="shared" ca="1" si="79"/>
        <v>-1.3355752959264729E-2</v>
      </c>
    </row>
    <row r="4961" spans="5:6" x14ac:dyDescent="0.35">
      <c r="E4961">
        <v>4958</v>
      </c>
      <c r="F4961">
        <f t="shared" ca="1" si="79"/>
        <v>-8.3614250000898799E-3</v>
      </c>
    </row>
    <row r="4962" spans="5:6" x14ac:dyDescent="0.35">
      <c r="E4962">
        <v>4959</v>
      </c>
      <c r="F4962">
        <f t="shared" ca="1" si="79"/>
        <v>-1.4651415902861108E-2</v>
      </c>
    </row>
    <row r="4963" spans="5:6" x14ac:dyDescent="0.35">
      <c r="E4963">
        <v>4960</v>
      </c>
      <c r="F4963">
        <f t="shared" ca="1" si="79"/>
        <v>-2.1312957020538262E-2</v>
      </c>
    </row>
    <row r="4964" spans="5:6" x14ac:dyDescent="0.35">
      <c r="E4964">
        <v>4961</v>
      </c>
      <c r="F4964">
        <f t="shared" ca="1" si="79"/>
        <v>1.6122881955720444E-3</v>
      </c>
    </row>
    <row r="4965" spans="5:6" x14ac:dyDescent="0.35">
      <c r="E4965">
        <v>4962</v>
      </c>
      <c r="F4965">
        <f t="shared" ca="1" si="79"/>
        <v>-6.6069107803755746E-3</v>
      </c>
    </row>
    <row r="4966" spans="5:6" x14ac:dyDescent="0.35">
      <c r="E4966">
        <v>4963</v>
      </c>
      <c r="F4966">
        <f t="shared" ca="1" si="79"/>
        <v>-1.7123126631156119E-2</v>
      </c>
    </row>
    <row r="4967" spans="5:6" x14ac:dyDescent="0.35">
      <c r="E4967">
        <v>4964</v>
      </c>
      <c r="F4967">
        <f t="shared" ca="1" si="79"/>
        <v>-6.037273278328527E-3</v>
      </c>
    </row>
    <row r="4968" spans="5:6" x14ac:dyDescent="0.35">
      <c r="E4968">
        <v>4965</v>
      </c>
      <c r="F4968">
        <f t="shared" ca="1" si="79"/>
        <v>-3.8362054303308713E-3</v>
      </c>
    </row>
    <row r="4969" spans="5:6" x14ac:dyDescent="0.35">
      <c r="E4969">
        <v>4966</v>
      </c>
      <c r="F4969">
        <f t="shared" ca="1" si="79"/>
        <v>-1.6238487048020202E-2</v>
      </c>
    </row>
    <row r="4970" spans="5:6" x14ac:dyDescent="0.35">
      <c r="E4970">
        <v>4967</v>
      </c>
      <c r="F4970">
        <f t="shared" ca="1" si="79"/>
        <v>-5.2404769535751615E-3</v>
      </c>
    </row>
    <row r="4971" spans="5:6" x14ac:dyDescent="0.35">
      <c r="E4971">
        <v>4968</v>
      </c>
      <c r="F4971">
        <f t="shared" ca="1" si="79"/>
        <v>1.4814869942062556E-2</v>
      </c>
    </row>
    <row r="4972" spans="5:6" x14ac:dyDescent="0.35">
      <c r="E4972">
        <v>4969</v>
      </c>
      <c r="F4972">
        <f t="shared" ca="1" si="79"/>
        <v>6.6931827486119621E-4</v>
      </c>
    </row>
    <row r="4973" spans="5:6" x14ac:dyDescent="0.35">
      <c r="E4973">
        <v>4970</v>
      </c>
      <c r="F4973">
        <f t="shared" ca="1" si="79"/>
        <v>-3.4758557900434894E-4</v>
      </c>
    </row>
    <row r="4974" spans="5:6" x14ac:dyDescent="0.35">
      <c r="E4974">
        <v>4971</v>
      </c>
      <c r="F4974">
        <f t="shared" ca="1" si="79"/>
        <v>9.6600736661636034E-3</v>
      </c>
    </row>
    <row r="4975" spans="5:6" x14ac:dyDescent="0.35">
      <c r="E4975">
        <v>4972</v>
      </c>
      <c r="F4975">
        <f t="shared" ca="1" si="79"/>
        <v>1.571362249368469E-2</v>
      </c>
    </row>
    <row r="4976" spans="5:6" x14ac:dyDescent="0.35">
      <c r="E4976">
        <v>4973</v>
      </c>
      <c r="F4976">
        <f t="shared" ca="1" si="79"/>
        <v>-2.1409284350451793E-2</v>
      </c>
    </row>
    <row r="4977" spans="5:6" x14ac:dyDescent="0.35">
      <c r="E4977">
        <v>4974</v>
      </c>
      <c r="F4977">
        <f t="shared" ca="1" si="79"/>
        <v>-6.2440357439985704E-3</v>
      </c>
    </row>
    <row r="4978" spans="5:6" x14ac:dyDescent="0.35">
      <c r="E4978">
        <v>4975</v>
      </c>
      <c r="F4978">
        <f t="shared" ca="1" si="79"/>
        <v>-1.9724749058653714E-2</v>
      </c>
    </row>
    <row r="4979" spans="5:6" x14ac:dyDescent="0.35">
      <c r="E4979">
        <v>4976</v>
      </c>
      <c r="F4979">
        <f t="shared" ca="1" si="79"/>
        <v>1.0744576927480626E-2</v>
      </c>
    </row>
    <row r="4980" spans="5:6" x14ac:dyDescent="0.35">
      <c r="E4980">
        <v>4977</v>
      </c>
      <c r="F4980">
        <f t="shared" ca="1" si="79"/>
        <v>-1.0349361262772834E-2</v>
      </c>
    </row>
    <row r="4981" spans="5:6" x14ac:dyDescent="0.35">
      <c r="E4981">
        <v>4978</v>
      </c>
      <c r="F4981">
        <f t="shared" ca="1" si="79"/>
        <v>3.2075872690748592E-3</v>
      </c>
    </row>
    <row r="4982" spans="5:6" x14ac:dyDescent="0.35">
      <c r="E4982">
        <v>4979</v>
      </c>
      <c r="F4982">
        <f t="shared" ca="1" si="79"/>
        <v>1.8459542385396112E-4</v>
      </c>
    </row>
    <row r="4983" spans="5:6" x14ac:dyDescent="0.35">
      <c r="E4983">
        <v>4980</v>
      </c>
      <c r="F4983">
        <f t="shared" ca="1" si="79"/>
        <v>-2.652162714626654E-2</v>
      </c>
    </row>
    <row r="4984" spans="5:6" x14ac:dyDescent="0.35">
      <c r="E4984">
        <v>4981</v>
      </c>
      <c r="F4984">
        <f t="shared" ca="1" si="79"/>
        <v>1.4654711727706986E-2</v>
      </c>
    </row>
    <row r="4985" spans="5:6" x14ac:dyDescent="0.35">
      <c r="E4985">
        <v>4982</v>
      </c>
      <c r="F4985">
        <f t="shared" ca="1" si="79"/>
        <v>1.2236835365768049E-2</v>
      </c>
    </row>
    <row r="4986" spans="5:6" x14ac:dyDescent="0.35">
      <c r="E4986">
        <v>4983</v>
      </c>
      <c r="F4986">
        <f t="shared" ca="1" si="79"/>
        <v>-4.6768259503433889E-4</v>
      </c>
    </row>
    <row r="4987" spans="5:6" x14ac:dyDescent="0.35">
      <c r="E4987">
        <v>4984</v>
      </c>
      <c r="F4987">
        <f t="shared" ca="1" si="79"/>
        <v>-1.4444223539965533E-2</v>
      </c>
    </row>
    <row r="4988" spans="5:6" x14ac:dyDescent="0.35">
      <c r="E4988">
        <v>4985</v>
      </c>
      <c r="F4988">
        <f t="shared" ca="1" si="79"/>
        <v>-2.7134831195997581E-2</v>
      </c>
    </row>
    <row r="4989" spans="5:6" x14ac:dyDescent="0.35">
      <c r="E4989">
        <v>4986</v>
      </c>
      <c r="F4989">
        <f t="shared" ca="1" si="79"/>
        <v>-7.241190165522945E-3</v>
      </c>
    </row>
    <row r="4990" spans="5:6" x14ac:dyDescent="0.35">
      <c r="E4990">
        <v>4987</v>
      </c>
      <c r="F4990">
        <f t="shared" ca="1" si="79"/>
        <v>-1.7685197454909572E-2</v>
      </c>
    </row>
    <row r="4991" spans="5:6" x14ac:dyDescent="0.35">
      <c r="E4991">
        <v>4988</v>
      </c>
      <c r="F4991">
        <f t="shared" ca="1" si="79"/>
        <v>1.6500599533943044E-2</v>
      </c>
    </row>
    <row r="4992" spans="5:6" x14ac:dyDescent="0.35">
      <c r="E4992">
        <v>4989</v>
      </c>
      <c r="F4992">
        <f t="shared" ca="1" si="79"/>
        <v>5.496038903025021E-3</v>
      </c>
    </row>
    <row r="4993" spans="5:6" x14ac:dyDescent="0.35">
      <c r="E4993">
        <v>4990</v>
      </c>
      <c r="F4993">
        <f t="shared" ca="1" si="79"/>
        <v>1.389971669431176E-2</v>
      </c>
    </row>
    <row r="4994" spans="5:6" x14ac:dyDescent="0.35">
      <c r="E4994">
        <v>4991</v>
      </c>
      <c r="F4994">
        <f t="shared" ca="1" si="79"/>
        <v>-7.6183553374464981E-4</v>
      </c>
    </row>
    <row r="4995" spans="5:6" x14ac:dyDescent="0.35">
      <c r="E4995">
        <v>4992</v>
      </c>
      <c r="F4995">
        <f t="shared" ca="1" si="79"/>
        <v>-1.5025394989714618E-2</v>
      </c>
    </row>
    <row r="4996" spans="5:6" x14ac:dyDescent="0.35">
      <c r="E4996">
        <v>4993</v>
      </c>
      <c r="F4996">
        <f t="shared" ca="1" si="79"/>
        <v>-3.6008104773809349E-2</v>
      </c>
    </row>
    <row r="4997" spans="5:6" x14ac:dyDescent="0.35">
      <c r="E4997">
        <v>4994</v>
      </c>
      <c r="F4997">
        <f t="shared" ref="F4997:F5060" ca="1" si="80">_xlfn.NORM.INV(RAND(),M$6,M$7)</f>
        <v>3.411206805654482E-2</v>
      </c>
    </row>
    <row r="4998" spans="5:6" x14ac:dyDescent="0.35">
      <c r="E4998">
        <v>4995</v>
      </c>
      <c r="F4998">
        <f t="shared" ca="1" si="80"/>
        <v>-2.0334784571057113E-2</v>
      </c>
    </row>
    <row r="4999" spans="5:6" x14ac:dyDescent="0.35">
      <c r="E4999">
        <v>4996</v>
      </c>
      <c r="F4999">
        <f t="shared" ca="1" si="80"/>
        <v>1.2693819228789975E-2</v>
      </c>
    </row>
    <row r="5000" spans="5:6" x14ac:dyDescent="0.35">
      <c r="E5000">
        <v>4997</v>
      </c>
      <c r="F5000">
        <f t="shared" ca="1" si="80"/>
        <v>1.1601709261777258E-2</v>
      </c>
    </row>
    <row r="5001" spans="5:6" x14ac:dyDescent="0.35">
      <c r="E5001">
        <v>4998</v>
      </c>
      <c r="F5001">
        <f t="shared" ca="1" si="80"/>
        <v>8.1121040925123782E-3</v>
      </c>
    </row>
    <row r="5002" spans="5:6" x14ac:dyDescent="0.35">
      <c r="E5002">
        <v>4999</v>
      </c>
      <c r="F5002">
        <f t="shared" ca="1" si="80"/>
        <v>-2.7613138407283865E-2</v>
      </c>
    </row>
    <row r="5003" spans="5:6" x14ac:dyDescent="0.35">
      <c r="E5003">
        <v>5000</v>
      </c>
      <c r="F5003">
        <f t="shared" ca="1" si="80"/>
        <v>1.8814355079200668E-2</v>
      </c>
    </row>
    <row r="5004" spans="5:6" x14ac:dyDescent="0.35">
      <c r="E5004">
        <v>5001</v>
      </c>
      <c r="F5004">
        <f t="shared" ca="1" si="80"/>
        <v>-7.9453481453384822E-3</v>
      </c>
    </row>
    <row r="5005" spans="5:6" x14ac:dyDescent="0.35">
      <c r="E5005">
        <v>5002</v>
      </c>
      <c r="F5005">
        <f t="shared" ca="1" si="80"/>
        <v>1.1826896074782949E-2</v>
      </c>
    </row>
    <row r="5006" spans="5:6" x14ac:dyDescent="0.35">
      <c r="E5006">
        <v>5003</v>
      </c>
      <c r="F5006">
        <f t="shared" ca="1" si="80"/>
        <v>-1.1164912185900511E-2</v>
      </c>
    </row>
    <row r="5007" spans="5:6" x14ac:dyDescent="0.35">
      <c r="E5007">
        <v>5004</v>
      </c>
      <c r="F5007">
        <f t="shared" ca="1" si="80"/>
        <v>1.4656887396563624E-2</v>
      </c>
    </row>
    <row r="5008" spans="5:6" x14ac:dyDescent="0.35">
      <c r="E5008">
        <v>5005</v>
      </c>
      <c r="F5008">
        <f t="shared" ca="1" si="80"/>
        <v>-3.7095055581388481E-2</v>
      </c>
    </row>
    <row r="5009" spans="5:6" x14ac:dyDescent="0.35">
      <c r="E5009">
        <v>5006</v>
      </c>
      <c r="F5009">
        <f t="shared" ca="1" si="80"/>
        <v>-2.1260697128724443E-2</v>
      </c>
    </row>
    <row r="5010" spans="5:6" x14ac:dyDescent="0.35">
      <c r="E5010">
        <v>5007</v>
      </c>
      <c r="F5010">
        <f t="shared" ca="1" si="80"/>
        <v>2.1558815235003222E-3</v>
      </c>
    </row>
    <row r="5011" spans="5:6" x14ac:dyDescent="0.35">
      <c r="E5011">
        <v>5008</v>
      </c>
      <c r="F5011">
        <f t="shared" ca="1" si="80"/>
        <v>-8.7345619715726991E-3</v>
      </c>
    </row>
    <row r="5012" spans="5:6" x14ac:dyDescent="0.35">
      <c r="E5012">
        <v>5009</v>
      </c>
      <c r="F5012">
        <f t="shared" ca="1" si="80"/>
        <v>-3.6808914044697334E-2</v>
      </c>
    </row>
    <row r="5013" spans="5:6" x14ac:dyDescent="0.35">
      <c r="E5013">
        <v>5010</v>
      </c>
      <c r="F5013">
        <f t="shared" ca="1" si="80"/>
        <v>-4.4786273908007084E-3</v>
      </c>
    </row>
    <row r="5014" spans="5:6" x14ac:dyDescent="0.35">
      <c r="E5014">
        <v>5011</v>
      </c>
      <c r="F5014">
        <f t="shared" ca="1" si="80"/>
        <v>-2.4364965767759608E-2</v>
      </c>
    </row>
    <row r="5015" spans="5:6" x14ac:dyDescent="0.35">
      <c r="E5015">
        <v>5012</v>
      </c>
      <c r="F5015">
        <f t="shared" ca="1" si="80"/>
        <v>2.6237846702846932E-2</v>
      </c>
    </row>
    <row r="5016" spans="5:6" x14ac:dyDescent="0.35">
      <c r="E5016">
        <v>5013</v>
      </c>
      <c r="F5016">
        <f t="shared" ca="1" si="80"/>
        <v>2.7785002911442317E-2</v>
      </c>
    </row>
    <row r="5017" spans="5:6" x14ac:dyDescent="0.35">
      <c r="E5017">
        <v>5014</v>
      </c>
      <c r="F5017">
        <f t="shared" ca="1" si="80"/>
        <v>-7.6132136193036697E-3</v>
      </c>
    </row>
    <row r="5018" spans="5:6" x14ac:dyDescent="0.35">
      <c r="E5018">
        <v>5015</v>
      </c>
      <c r="F5018">
        <f t="shared" ca="1" si="80"/>
        <v>3.4841049550523341E-2</v>
      </c>
    </row>
    <row r="5019" spans="5:6" x14ac:dyDescent="0.35">
      <c r="E5019">
        <v>5016</v>
      </c>
      <c r="F5019">
        <f t="shared" ca="1" si="80"/>
        <v>7.3495513998711997E-3</v>
      </c>
    </row>
    <row r="5020" spans="5:6" x14ac:dyDescent="0.35">
      <c r="E5020">
        <v>5017</v>
      </c>
      <c r="F5020">
        <f t="shared" ca="1" si="80"/>
        <v>-5.5894230896967522E-3</v>
      </c>
    </row>
    <row r="5021" spans="5:6" x14ac:dyDescent="0.35">
      <c r="E5021">
        <v>5018</v>
      </c>
      <c r="F5021">
        <f t="shared" ca="1" si="80"/>
        <v>2.2794674534870867E-2</v>
      </c>
    </row>
    <row r="5022" spans="5:6" x14ac:dyDescent="0.35">
      <c r="E5022">
        <v>5019</v>
      </c>
      <c r="F5022">
        <f t="shared" ca="1" si="80"/>
        <v>1.4907740654297216E-2</v>
      </c>
    </row>
    <row r="5023" spans="5:6" x14ac:dyDescent="0.35">
      <c r="E5023">
        <v>5020</v>
      </c>
      <c r="F5023">
        <f t="shared" ca="1" si="80"/>
        <v>-7.9295870655488147E-3</v>
      </c>
    </row>
    <row r="5024" spans="5:6" x14ac:dyDescent="0.35">
      <c r="E5024">
        <v>5021</v>
      </c>
      <c r="F5024">
        <f t="shared" ca="1" si="80"/>
        <v>-7.6459128482043118E-3</v>
      </c>
    </row>
    <row r="5025" spans="5:6" x14ac:dyDescent="0.35">
      <c r="E5025">
        <v>5022</v>
      </c>
      <c r="F5025">
        <f t="shared" ca="1" si="80"/>
        <v>1.1700846141149824E-3</v>
      </c>
    </row>
    <row r="5026" spans="5:6" x14ac:dyDescent="0.35">
      <c r="E5026">
        <v>5023</v>
      </c>
      <c r="F5026">
        <f t="shared" ca="1" si="80"/>
        <v>-7.9858523602180723E-3</v>
      </c>
    </row>
    <row r="5027" spans="5:6" x14ac:dyDescent="0.35">
      <c r="E5027">
        <v>5024</v>
      </c>
      <c r="F5027">
        <f t="shared" ca="1" si="80"/>
        <v>-1.0190182982329106E-2</v>
      </c>
    </row>
    <row r="5028" spans="5:6" x14ac:dyDescent="0.35">
      <c r="E5028">
        <v>5025</v>
      </c>
      <c r="F5028">
        <f t="shared" ca="1" si="80"/>
        <v>6.1556308590493469E-3</v>
      </c>
    </row>
    <row r="5029" spans="5:6" x14ac:dyDescent="0.35">
      <c r="E5029">
        <v>5026</v>
      </c>
      <c r="F5029">
        <f t="shared" ca="1" si="80"/>
        <v>-2.1063170645949852E-2</v>
      </c>
    </row>
    <row r="5030" spans="5:6" x14ac:dyDescent="0.35">
      <c r="E5030">
        <v>5027</v>
      </c>
      <c r="F5030">
        <f t="shared" ca="1" si="80"/>
        <v>5.5393860884100574E-3</v>
      </c>
    </row>
    <row r="5031" spans="5:6" x14ac:dyDescent="0.35">
      <c r="E5031">
        <v>5028</v>
      </c>
      <c r="F5031">
        <f t="shared" ca="1" si="80"/>
        <v>-3.7246187927367572E-2</v>
      </c>
    </row>
    <row r="5032" spans="5:6" x14ac:dyDescent="0.35">
      <c r="E5032">
        <v>5029</v>
      </c>
      <c r="F5032">
        <f t="shared" ca="1" si="80"/>
        <v>-3.740831954212466E-3</v>
      </c>
    </row>
    <row r="5033" spans="5:6" x14ac:dyDescent="0.35">
      <c r="E5033">
        <v>5030</v>
      </c>
      <c r="F5033">
        <f t="shared" ca="1" si="80"/>
        <v>6.7941662003528479E-4</v>
      </c>
    </row>
    <row r="5034" spans="5:6" x14ac:dyDescent="0.35">
      <c r="E5034">
        <v>5031</v>
      </c>
      <c r="F5034">
        <f t="shared" ca="1" si="80"/>
        <v>1.3657525557795669E-2</v>
      </c>
    </row>
    <row r="5035" spans="5:6" x14ac:dyDescent="0.35">
      <c r="E5035">
        <v>5032</v>
      </c>
      <c r="F5035">
        <f t="shared" ca="1" si="80"/>
        <v>1.5400341690661504E-3</v>
      </c>
    </row>
    <row r="5036" spans="5:6" x14ac:dyDescent="0.35">
      <c r="E5036">
        <v>5033</v>
      </c>
      <c r="F5036">
        <f t="shared" ca="1" si="80"/>
        <v>-1.6014687227676617E-2</v>
      </c>
    </row>
    <row r="5037" spans="5:6" x14ac:dyDescent="0.35">
      <c r="E5037">
        <v>5034</v>
      </c>
      <c r="F5037">
        <f t="shared" ca="1" si="80"/>
        <v>-1.1623788635191678E-2</v>
      </c>
    </row>
    <row r="5038" spans="5:6" x14ac:dyDescent="0.35">
      <c r="E5038">
        <v>5035</v>
      </c>
      <c r="F5038">
        <f t="shared" ca="1" si="80"/>
        <v>2.5799909818254013E-3</v>
      </c>
    </row>
    <row r="5039" spans="5:6" x14ac:dyDescent="0.35">
      <c r="E5039">
        <v>5036</v>
      </c>
      <c r="F5039">
        <f t="shared" ca="1" si="80"/>
        <v>-1.4782885479717749E-2</v>
      </c>
    </row>
    <row r="5040" spans="5:6" x14ac:dyDescent="0.35">
      <c r="E5040">
        <v>5037</v>
      </c>
      <c r="F5040">
        <f t="shared" ca="1" si="80"/>
        <v>-2.6639177210103851E-3</v>
      </c>
    </row>
    <row r="5041" spans="5:6" x14ac:dyDescent="0.35">
      <c r="E5041">
        <v>5038</v>
      </c>
      <c r="F5041">
        <f t="shared" ca="1" si="80"/>
        <v>6.6157896971914465E-3</v>
      </c>
    </row>
    <row r="5042" spans="5:6" x14ac:dyDescent="0.35">
      <c r="E5042">
        <v>5039</v>
      </c>
      <c r="F5042">
        <f t="shared" ca="1" si="80"/>
        <v>-1.2567551047514051E-2</v>
      </c>
    </row>
    <row r="5043" spans="5:6" x14ac:dyDescent="0.35">
      <c r="E5043">
        <v>5040</v>
      </c>
      <c r="F5043">
        <f t="shared" ca="1" si="80"/>
        <v>-3.4225565703049181E-2</v>
      </c>
    </row>
    <row r="5044" spans="5:6" x14ac:dyDescent="0.35">
      <c r="E5044">
        <v>5041</v>
      </c>
      <c r="F5044">
        <f t="shared" ca="1" si="80"/>
        <v>8.7131300955048188E-3</v>
      </c>
    </row>
    <row r="5045" spans="5:6" x14ac:dyDescent="0.35">
      <c r="E5045">
        <v>5042</v>
      </c>
      <c r="F5045">
        <f t="shared" ca="1" si="80"/>
        <v>5.0615290555620631E-3</v>
      </c>
    </row>
    <row r="5046" spans="5:6" x14ac:dyDescent="0.35">
      <c r="E5046">
        <v>5043</v>
      </c>
      <c r="F5046">
        <f t="shared" ca="1" si="80"/>
        <v>-2.8253308599785597E-2</v>
      </c>
    </row>
    <row r="5047" spans="5:6" x14ac:dyDescent="0.35">
      <c r="E5047">
        <v>5044</v>
      </c>
      <c r="F5047">
        <f t="shared" ca="1" si="80"/>
        <v>-1.6411483627455623E-2</v>
      </c>
    </row>
    <row r="5048" spans="5:6" x14ac:dyDescent="0.35">
      <c r="E5048">
        <v>5045</v>
      </c>
      <c r="F5048">
        <f t="shared" ca="1" si="80"/>
        <v>-3.5183686564875497E-3</v>
      </c>
    </row>
    <row r="5049" spans="5:6" x14ac:dyDescent="0.35">
      <c r="E5049">
        <v>5046</v>
      </c>
      <c r="F5049">
        <f t="shared" ca="1" si="80"/>
        <v>-3.0742533492361696E-2</v>
      </c>
    </row>
    <row r="5050" spans="5:6" x14ac:dyDescent="0.35">
      <c r="E5050">
        <v>5047</v>
      </c>
      <c r="F5050">
        <f t="shared" ca="1" si="80"/>
        <v>-2.0016077462054034E-2</v>
      </c>
    </row>
    <row r="5051" spans="5:6" x14ac:dyDescent="0.35">
      <c r="E5051">
        <v>5048</v>
      </c>
      <c r="F5051">
        <f t="shared" ca="1" si="80"/>
        <v>-6.1670465083125854E-3</v>
      </c>
    </row>
    <row r="5052" spans="5:6" x14ac:dyDescent="0.35">
      <c r="E5052">
        <v>5049</v>
      </c>
      <c r="F5052">
        <f t="shared" ca="1" si="80"/>
        <v>-6.7037474033379129E-4</v>
      </c>
    </row>
    <row r="5053" spans="5:6" x14ac:dyDescent="0.35">
      <c r="E5053">
        <v>5050</v>
      </c>
      <c r="F5053">
        <f t="shared" ca="1" si="80"/>
        <v>-2.0206421290562076E-3</v>
      </c>
    </row>
    <row r="5054" spans="5:6" x14ac:dyDescent="0.35">
      <c r="E5054">
        <v>5051</v>
      </c>
      <c r="F5054">
        <f t="shared" ca="1" si="80"/>
        <v>-8.720776307614345E-3</v>
      </c>
    </row>
    <row r="5055" spans="5:6" x14ac:dyDescent="0.35">
      <c r="E5055">
        <v>5052</v>
      </c>
      <c r="F5055">
        <f t="shared" ca="1" si="80"/>
        <v>3.1203959223400274E-2</v>
      </c>
    </row>
    <row r="5056" spans="5:6" x14ac:dyDescent="0.35">
      <c r="E5056">
        <v>5053</v>
      </c>
      <c r="F5056">
        <f t="shared" ca="1" si="80"/>
        <v>-1.3749633987857399E-2</v>
      </c>
    </row>
    <row r="5057" spans="5:6" x14ac:dyDescent="0.35">
      <c r="E5057">
        <v>5054</v>
      </c>
      <c r="F5057">
        <f t="shared" ca="1" si="80"/>
        <v>4.8015168496072236E-3</v>
      </c>
    </row>
    <row r="5058" spans="5:6" x14ac:dyDescent="0.35">
      <c r="E5058">
        <v>5055</v>
      </c>
      <c r="F5058">
        <f t="shared" ca="1" si="80"/>
        <v>1.3316605728013993E-2</v>
      </c>
    </row>
    <row r="5059" spans="5:6" x14ac:dyDescent="0.35">
      <c r="E5059">
        <v>5056</v>
      </c>
      <c r="F5059">
        <f t="shared" ca="1" si="80"/>
        <v>1.2518745073940117E-2</v>
      </c>
    </row>
    <row r="5060" spans="5:6" x14ac:dyDescent="0.35">
      <c r="E5060">
        <v>5057</v>
      </c>
      <c r="F5060">
        <f t="shared" ca="1" si="80"/>
        <v>1.0463622808898164E-2</v>
      </c>
    </row>
    <row r="5061" spans="5:6" x14ac:dyDescent="0.35">
      <c r="E5061">
        <v>5058</v>
      </c>
      <c r="F5061">
        <f t="shared" ref="F5061:F5124" ca="1" si="81">_xlfn.NORM.INV(RAND(),M$6,M$7)</f>
        <v>-3.4887356337172062E-2</v>
      </c>
    </row>
    <row r="5062" spans="5:6" x14ac:dyDescent="0.35">
      <c r="E5062">
        <v>5059</v>
      </c>
      <c r="F5062">
        <f t="shared" ca="1" si="81"/>
        <v>-6.7877406193749511E-3</v>
      </c>
    </row>
    <row r="5063" spans="5:6" x14ac:dyDescent="0.35">
      <c r="E5063">
        <v>5060</v>
      </c>
      <c r="F5063">
        <f t="shared" ca="1" si="81"/>
        <v>1.8819156418580169E-3</v>
      </c>
    </row>
    <row r="5064" spans="5:6" x14ac:dyDescent="0.35">
      <c r="E5064">
        <v>5061</v>
      </c>
      <c r="F5064">
        <f t="shared" ca="1" si="81"/>
        <v>-2.761832793535778E-3</v>
      </c>
    </row>
    <row r="5065" spans="5:6" x14ac:dyDescent="0.35">
      <c r="E5065">
        <v>5062</v>
      </c>
      <c r="F5065">
        <f t="shared" ca="1" si="81"/>
        <v>-2.6528585332658092E-3</v>
      </c>
    </row>
    <row r="5066" spans="5:6" x14ac:dyDescent="0.35">
      <c r="E5066">
        <v>5063</v>
      </c>
      <c r="F5066">
        <f t="shared" ca="1" si="81"/>
        <v>-4.2312831580911337E-3</v>
      </c>
    </row>
    <row r="5067" spans="5:6" x14ac:dyDescent="0.35">
      <c r="E5067">
        <v>5064</v>
      </c>
      <c r="F5067">
        <f t="shared" ca="1" si="81"/>
        <v>-8.9477092048679072E-3</v>
      </c>
    </row>
    <row r="5068" spans="5:6" x14ac:dyDescent="0.35">
      <c r="E5068">
        <v>5065</v>
      </c>
      <c r="F5068">
        <f t="shared" ca="1" si="81"/>
        <v>-2.7018817608264269E-2</v>
      </c>
    </row>
    <row r="5069" spans="5:6" x14ac:dyDescent="0.35">
      <c r="E5069">
        <v>5066</v>
      </c>
      <c r="F5069">
        <f t="shared" ca="1" si="81"/>
        <v>-1.3005342629957978E-2</v>
      </c>
    </row>
    <row r="5070" spans="5:6" x14ac:dyDescent="0.35">
      <c r="E5070">
        <v>5067</v>
      </c>
      <c r="F5070">
        <f t="shared" ca="1" si="81"/>
        <v>1.178198477368891E-2</v>
      </c>
    </row>
    <row r="5071" spans="5:6" x14ac:dyDescent="0.35">
      <c r="E5071">
        <v>5068</v>
      </c>
      <c r="F5071">
        <f t="shared" ca="1" si="81"/>
        <v>-2.2583494063916187E-2</v>
      </c>
    </row>
    <row r="5072" spans="5:6" x14ac:dyDescent="0.35">
      <c r="E5072">
        <v>5069</v>
      </c>
      <c r="F5072">
        <f t="shared" ca="1" si="81"/>
        <v>5.4718361278115642E-3</v>
      </c>
    </row>
    <row r="5073" spans="5:6" x14ac:dyDescent="0.35">
      <c r="E5073">
        <v>5070</v>
      </c>
      <c r="F5073">
        <f t="shared" ca="1" si="81"/>
        <v>1.8859838534284069E-2</v>
      </c>
    </row>
    <row r="5074" spans="5:6" x14ac:dyDescent="0.35">
      <c r="E5074">
        <v>5071</v>
      </c>
      <c r="F5074">
        <f t="shared" ca="1" si="81"/>
        <v>-3.049052938607434E-3</v>
      </c>
    </row>
    <row r="5075" spans="5:6" x14ac:dyDescent="0.35">
      <c r="E5075">
        <v>5072</v>
      </c>
      <c r="F5075">
        <f t="shared" ca="1" si="81"/>
        <v>6.8386183597849183E-3</v>
      </c>
    </row>
    <row r="5076" spans="5:6" x14ac:dyDescent="0.35">
      <c r="E5076">
        <v>5073</v>
      </c>
      <c r="F5076">
        <f t="shared" ca="1" si="81"/>
        <v>-8.6360411501715181E-3</v>
      </c>
    </row>
    <row r="5077" spans="5:6" x14ac:dyDescent="0.35">
      <c r="E5077">
        <v>5074</v>
      </c>
      <c r="F5077">
        <f t="shared" ca="1" si="81"/>
        <v>1.458585829596808E-2</v>
      </c>
    </row>
    <row r="5078" spans="5:6" x14ac:dyDescent="0.35">
      <c r="E5078">
        <v>5075</v>
      </c>
      <c r="F5078">
        <f t="shared" ca="1" si="81"/>
        <v>-7.645523546942307E-3</v>
      </c>
    </row>
    <row r="5079" spans="5:6" x14ac:dyDescent="0.35">
      <c r="E5079">
        <v>5076</v>
      </c>
      <c r="F5079">
        <f t="shared" ca="1" si="81"/>
        <v>-7.382383531632261E-3</v>
      </c>
    </row>
    <row r="5080" spans="5:6" x14ac:dyDescent="0.35">
      <c r="E5080">
        <v>5077</v>
      </c>
      <c r="F5080">
        <f t="shared" ca="1" si="81"/>
        <v>-3.075861901905474E-3</v>
      </c>
    </row>
    <row r="5081" spans="5:6" x14ac:dyDescent="0.35">
      <c r="E5081">
        <v>5078</v>
      </c>
      <c r="F5081">
        <f t="shared" ca="1" si="81"/>
        <v>1.0312487416395021E-2</v>
      </c>
    </row>
    <row r="5082" spans="5:6" x14ac:dyDescent="0.35">
      <c r="E5082">
        <v>5079</v>
      </c>
      <c r="F5082">
        <f t="shared" ca="1" si="81"/>
        <v>-5.8650020746817489E-3</v>
      </c>
    </row>
    <row r="5083" spans="5:6" x14ac:dyDescent="0.35">
      <c r="E5083">
        <v>5080</v>
      </c>
      <c r="F5083">
        <f t="shared" ca="1" si="81"/>
        <v>-1.1445585652073712E-2</v>
      </c>
    </row>
    <row r="5084" spans="5:6" x14ac:dyDescent="0.35">
      <c r="E5084">
        <v>5081</v>
      </c>
      <c r="F5084">
        <f t="shared" ca="1" si="81"/>
        <v>-2.4241144760272802E-2</v>
      </c>
    </row>
    <row r="5085" spans="5:6" x14ac:dyDescent="0.35">
      <c r="E5085">
        <v>5082</v>
      </c>
      <c r="F5085">
        <f t="shared" ca="1" si="81"/>
        <v>-5.329900144333051E-3</v>
      </c>
    </row>
    <row r="5086" spans="5:6" x14ac:dyDescent="0.35">
      <c r="E5086">
        <v>5083</v>
      </c>
      <c r="F5086">
        <f t="shared" ca="1" si="81"/>
        <v>1.0142030604160026E-2</v>
      </c>
    </row>
    <row r="5087" spans="5:6" x14ac:dyDescent="0.35">
      <c r="E5087">
        <v>5084</v>
      </c>
      <c r="F5087">
        <f t="shared" ca="1" si="81"/>
        <v>3.8073081202520988E-3</v>
      </c>
    </row>
    <row r="5088" spans="5:6" x14ac:dyDescent="0.35">
      <c r="E5088">
        <v>5085</v>
      </c>
      <c r="F5088">
        <f t="shared" ca="1" si="81"/>
        <v>-1.1177864985445389E-2</v>
      </c>
    </row>
    <row r="5089" spans="5:6" x14ac:dyDescent="0.35">
      <c r="E5089">
        <v>5086</v>
      </c>
      <c r="F5089">
        <f t="shared" ca="1" si="81"/>
        <v>-2.8683361689594521E-2</v>
      </c>
    </row>
    <row r="5090" spans="5:6" x14ac:dyDescent="0.35">
      <c r="E5090">
        <v>5087</v>
      </c>
      <c r="F5090">
        <f t="shared" ca="1" si="81"/>
        <v>-4.7714072242844357E-3</v>
      </c>
    </row>
    <row r="5091" spans="5:6" x14ac:dyDescent="0.35">
      <c r="E5091">
        <v>5088</v>
      </c>
      <c r="F5091">
        <f t="shared" ca="1" si="81"/>
        <v>1.2592356719788419E-2</v>
      </c>
    </row>
    <row r="5092" spans="5:6" x14ac:dyDescent="0.35">
      <c r="E5092">
        <v>5089</v>
      </c>
      <c r="F5092">
        <f t="shared" ca="1" si="81"/>
        <v>1.033189868596634E-2</v>
      </c>
    </row>
    <row r="5093" spans="5:6" x14ac:dyDescent="0.35">
      <c r="E5093">
        <v>5090</v>
      </c>
      <c r="F5093">
        <f t="shared" ca="1" si="81"/>
        <v>-1.0529730569487144E-2</v>
      </c>
    </row>
    <row r="5094" spans="5:6" x14ac:dyDescent="0.35">
      <c r="E5094">
        <v>5091</v>
      </c>
      <c r="F5094">
        <f t="shared" ca="1" si="81"/>
        <v>1.850206486242615E-2</v>
      </c>
    </row>
    <row r="5095" spans="5:6" x14ac:dyDescent="0.35">
      <c r="E5095">
        <v>5092</v>
      </c>
      <c r="F5095">
        <f t="shared" ca="1" si="81"/>
        <v>-6.2609243606931327E-3</v>
      </c>
    </row>
    <row r="5096" spans="5:6" x14ac:dyDescent="0.35">
      <c r="E5096">
        <v>5093</v>
      </c>
      <c r="F5096">
        <f t="shared" ca="1" si="81"/>
        <v>1.2891624363442593E-2</v>
      </c>
    </row>
    <row r="5097" spans="5:6" x14ac:dyDescent="0.35">
      <c r="E5097">
        <v>5094</v>
      </c>
      <c r="F5097">
        <f t="shared" ca="1" si="81"/>
        <v>-6.9589039340546381E-3</v>
      </c>
    </row>
    <row r="5098" spans="5:6" x14ac:dyDescent="0.35">
      <c r="E5098">
        <v>5095</v>
      </c>
      <c r="F5098">
        <f t="shared" ca="1" si="81"/>
        <v>2.9555546766715225E-2</v>
      </c>
    </row>
    <row r="5099" spans="5:6" x14ac:dyDescent="0.35">
      <c r="E5099">
        <v>5096</v>
      </c>
      <c r="F5099">
        <f t="shared" ca="1" si="81"/>
        <v>9.5990927028161421E-3</v>
      </c>
    </row>
    <row r="5100" spans="5:6" x14ac:dyDescent="0.35">
      <c r="E5100">
        <v>5097</v>
      </c>
      <c r="F5100">
        <f t="shared" ca="1" si="81"/>
        <v>-1.3438077182613624E-2</v>
      </c>
    </row>
    <row r="5101" spans="5:6" x14ac:dyDescent="0.35">
      <c r="E5101">
        <v>5098</v>
      </c>
      <c r="F5101">
        <f t="shared" ca="1" si="81"/>
        <v>1.3263997372279443E-2</v>
      </c>
    </row>
    <row r="5102" spans="5:6" x14ac:dyDescent="0.35">
      <c r="E5102">
        <v>5099</v>
      </c>
      <c r="F5102">
        <f t="shared" ca="1" si="81"/>
        <v>-4.3631271345752985E-3</v>
      </c>
    </row>
    <row r="5103" spans="5:6" x14ac:dyDescent="0.35">
      <c r="E5103">
        <v>5100</v>
      </c>
      <c r="F5103">
        <f t="shared" ca="1" si="81"/>
        <v>9.3033726726599892E-3</v>
      </c>
    </row>
    <row r="5104" spans="5:6" x14ac:dyDescent="0.35">
      <c r="E5104">
        <v>5101</v>
      </c>
      <c r="F5104">
        <f t="shared" ca="1" si="81"/>
        <v>-1.2866100304542352E-2</v>
      </c>
    </row>
    <row r="5105" spans="5:6" x14ac:dyDescent="0.35">
      <c r="E5105">
        <v>5102</v>
      </c>
      <c r="F5105">
        <f t="shared" ca="1" si="81"/>
        <v>6.560280665120522E-3</v>
      </c>
    </row>
    <row r="5106" spans="5:6" x14ac:dyDescent="0.35">
      <c r="E5106">
        <v>5103</v>
      </c>
      <c r="F5106">
        <f t="shared" ca="1" si="81"/>
        <v>-4.2493618834570958E-3</v>
      </c>
    </row>
    <row r="5107" spans="5:6" x14ac:dyDescent="0.35">
      <c r="E5107">
        <v>5104</v>
      </c>
      <c r="F5107">
        <f t="shared" ca="1" si="81"/>
        <v>4.78182501665219E-3</v>
      </c>
    </row>
    <row r="5108" spans="5:6" x14ac:dyDescent="0.35">
      <c r="E5108">
        <v>5105</v>
      </c>
      <c r="F5108">
        <f t="shared" ca="1" si="81"/>
        <v>-1.7723247712025339E-2</v>
      </c>
    </row>
    <row r="5109" spans="5:6" x14ac:dyDescent="0.35">
      <c r="E5109">
        <v>5106</v>
      </c>
      <c r="F5109">
        <f t="shared" ca="1" si="81"/>
        <v>-1.584670813636074E-2</v>
      </c>
    </row>
    <row r="5110" spans="5:6" x14ac:dyDescent="0.35">
      <c r="E5110">
        <v>5107</v>
      </c>
      <c r="F5110">
        <f t="shared" ca="1" si="81"/>
        <v>3.1562827890379824E-3</v>
      </c>
    </row>
    <row r="5111" spans="5:6" x14ac:dyDescent="0.35">
      <c r="E5111">
        <v>5108</v>
      </c>
      <c r="F5111">
        <f t="shared" ca="1" si="81"/>
        <v>6.3340901142991566E-3</v>
      </c>
    </row>
    <row r="5112" spans="5:6" x14ac:dyDescent="0.35">
      <c r="E5112">
        <v>5109</v>
      </c>
      <c r="F5112">
        <f t="shared" ca="1" si="81"/>
        <v>-9.9139485223358956E-3</v>
      </c>
    </row>
    <row r="5113" spans="5:6" x14ac:dyDescent="0.35">
      <c r="E5113">
        <v>5110</v>
      </c>
      <c r="F5113">
        <f t="shared" ca="1" si="81"/>
        <v>1.9426316606196618E-3</v>
      </c>
    </row>
    <row r="5114" spans="5:6" x14ac:dyDescent="0.35">
      <c r="E5114">
        <v>5111</v>
      </c>
      <c r="F5114">
        <f t="shared" ca="1" si="81"/>
        <v>-3.3817925058844804E-3</v>
      </c>
    </row>
    <row r="5115" spans="5:6" x14ac:dyDescent="0.35">
      <c r="E5115">
        <v>5112</v>
      </c>
      <c r="F5115">
        <f t="shared" ca="1" si="81"/>
        <v>-1.1149717262525291E-2</v>
      </c>
    </row>
    <row r="5116" spans="5:6" x14ac:dyDescent="0.35">
      <c r="E5116">
        <v>5113</v>
      </c>
      <c r="F5116">
        <f t="shared" ca="1" si="81"/>
        <v>1.7630797341096984E-2</v>
      </c>
    </row>
    <row r="5117" spans="5:6" x14ac:dyDescent="0.35">
      <c r="E5117">
        <v>5114</v>
      </c>
      <c r="F5117">
        <f t="shared" ca="1" si="81"/>
        <v>5.7302754581422663E-3</v>
      </c>
    </row>
    <row r="5118" spans="5:6" x14ac:dyDescent="0.35">
      <c r="E5118">
        <v>5115</v>
      </c>
      <c r="F5118">
        <f t="shared" ca="1" si="81"/>
        <v>-1.1474042979275975E-2</v>
      </c>
    </row>
    <row r="5119" spans="5:6" x14ac:dyDescent="0.35">
      <c r="E5119">
        <v>5116</v>
      </c>
      <c r="F5119">
        <f t="shared" ca="1" si="81"/>
        <v>-2.8740357065386874E-2</v>
      </c>
    </row>
    <row r="5120" spans="5:6" x14ac:dyDescent="0.35">
      <c r="E5120">
        <v>5117</v>
      </c>
      <c r="F5120">
        <f t="shared" ca="1" si="81"/>
        <v>5.2873990096467009E-3</v>
      </c>
    </row>
    <row r="5121" spans="5:6" x14ac:dyDescent="0.35">
      <c r="E5121">
        <v>5118</v>
      </c>
      <c r="F5121">
        <f t="shared" ca="1" si="81"/>
        <v>-1.8286331433393709E-2</v>
      </c>
    </row>
    <row r="5122" spans="5:6" x14ac:dyDescent="0.35">
      <c r="E5122">
        <v>5119</v>
      </c>
      <c r="F5122">
        <f t="shared" ca="1" si="81"/>
        <v>-1.1302789681432118E-2</v>
      </c>
    </row>
    <row r="5123" spans="5:6" x14ac:dyDescent="0.35">
      <c r="E5123">
        <v>5120</v>
      </c>
      <c r="F5123">
        <f t="shared" ca="1" si="81"/>
        <v>2.0338142462518513E-2</v>
      </c>
    </row>
    <row r="5124" spans="5:6" x14ac:dyDescent="0.35">
      <c r="E5124">
        <v>5121</v>
      </c>
      <c r="F5124">
        <f t="shared" ca="1" si="81"/>
        <v>-1.7274864781606374E-2</v>
      </c>
    </row>
    <row r="5125" spans="5:6" x14ac:dyDescent="0.35">
      <c r="E5125">
        <v>5122</v>
      </c>
      <c r="F5125">
        <f t="shared" ref="F5125:F5188" ca="1" si="82">_xlfn.NORM.INV(RAND(),M$6,M$7)</f>
        <v>-4.826561065470443E-2</v>
      </c>
    </row>
    <row r="5126" spans="5:6" x14ac:dyDescent="0.35">
      <c r="E5126">
        <v>5123</v>
      </c>
      <c r="F5126">
        <f t="shared" ca="1" si="82"/>
        <v>3.5115216052359708E-3</v>
      </c>
    </row>
    <row r="5127" spans="5:6" x14ac:dyDescent="0.35">
      <c r="E5127">
        <v>5124</v>
      </c>
      <c r="F5127">
        <f t="shared" ca="1" si="82"/>
        <v>5.888963789986522E-3</v>
      </c>
    </row>
    <row r="5128" spans="5:6" x14ac:dyDescent="0.35">
      <c r="E5128">
        <v>5125</v>
      </c>
      <c r="F5128">
        <f t="shared" ca="1" si="82"/>
        <v>-3.80167787027599E-2</v>
      </c>
    </row>
    <row r="5129" spans="5:6" x14ac:dyDescent="0.35">
      <c r="E5129">
        <v>5126</v>
      </c>
      <c r="F5129">
        <f t="shared" ca="1" si="82"/>
        <v>-3.7959547896632096E-3</v>
      </c>
    </row>
    <row r="5130" spans="5:6" x14ac:dyDescent="0.35">
      <c r="E5130">
        <v>5127</v>
      </c>
      <c r="F5130">
        <f t="shared" ca="1" si="82"/>
        <v>2.9751555777210954E-2</v>
      </c>
    </row>
    <row r="5131" spans="5:6" x14ac:dyDescent="0.35">
      <c r="E5131">
        <v>5128</v>
      </c>
      <c r="F5131">
        <f t="shared" ca="1" si="82"/>
        <v>-3.0851607340414257E-3</v>
      </c>
    </row>
    <row r="5132" spans="5:6" x14ac:dyDescent="0.35">
      <c r="E5132">
        <v>5129</v>
      </c>
      <c r="F5132">
        <f t="shared" ca="1" si="82"/>
        <v>3.3582658545638869E-2</v>
      </c>
    </row>
    <row r="5133" spans="5:6" x14ac:dyDescent="0.35">
      <c r="E5133">
        <v>5130</v>
      </c>
      <c r="F5133">
        <f t="shared" ca="1" si="82"/>
        <v>-7.4891025227400224E-3</v>
      </c>
    </row>
    <row r="5134" spans="5:6" x14ac:dyDescent="0.35">
      <c r="E5134">
        <v>5131</v>
      </c>
      <c r="F5134">
        <f t="shared" ca="1" si="82"/>
        <v>2.1886448200297764E-2</v>
      </c>
    </row>
    <row r="5135" spans="5:6" x14ac:dyDescent="0.35">
      <c r="E5135">
        <v>5132</v>
      </c>
      <c r="F5135">
        <f t="shared" ca="1" si="82"/>
        <v>-2.4267620483264646E-3</v>
      </c>
    </row>
    <row r="5136" spans="5:6" x14ac:dyDescent="0.35">
      <c r="E5136">
        <v>5133</v>
      </c>
      <c r="F5136">
        <f t="shared" ca="1" si="82"/>
        <v>3.5442572662415478E-3</v>
      </c>
    </row>
    <row r="5137" spans="5:6" x14ac:dyDescent="0.35">
      <c r="E5137">
        <v>5134</v>
      </c>
      <c r="F5137">
        <f t="shared" ca="1" si="82"/>
        <v>1.729481129490594E-2</v>
      </c>
    </row>
    <row r="5138" spans="5:6" x14ac:dyDescent="0.35">
      <c r="E5138">
        <v>5135</v>
      </c>
      <c r="F5138">
        <f t="shared" ca="1" si="82"/>
        <v>5.0410471708254171E-3</v>
      </c>
    </row>
    <row r="5139" spans="5:6" x14ac:dyDescent="0.35">
      <c r="E5139">
        <v>5136</v>
      </c>
      <c r="F5139">
        <f t="shared" ca="1" si="82"/>
        <v>-1.5399722023047017E-2</v>
      </c>
    </row>
    <row r="5140" spans="5:6" x14ac:dyDescent="0.35">
      <c r="E5140">
        <v>5137</v>
      </c>
      <c r="F5140">
        <f t="shared" ca="1" si="82"/>
        <v>1.1622354066107958E-3</v>
      </c>
    </row>
    <row r="5141" spans="5:6" x14ac:dyDescent="0.35">
      <c r="E5141">
        <v>5138</v>
      </c>
      <c r="F5141">
        <f t="shared" ca="1" si="82"/>
        <v>-5.1078485055607008E-3</v>
      </c>
    </row>
    <row r="5142" spans="5:6" x14ac:dyDescent="0.35">
      <c r="E5142">
        <v>5139</v>
      </c>
      <c r="F5142">
        <f t="shared" ca="1" si="82"/>
        <v>-2.9812359568458387E-3</v>
      </c>
    </row>
    <row r="5143" spans="5:6" x14ac:dyDescent="0.35">
      <c r="E5143">
        <v>5140</v>
      </c>
      <c r="F5143">
        <f t="shared" ca="1" si="82"/>
        <v>-9.2845861445270943E-3</v>
      </c>
    </row>
    <row r="5144" spans="5:6" x14ac:dyDescent="0.35">
      <c r="E5144">
        <v>5141</v>
      </c>
      <c r="F5144">
        <f t="shared" ca="1" si="82"/>
        <v>-1.7899627542338231E-2</v>
      </c>
    </row>
    <row r="5145" spans="5:6" x14ac:dyDescent="0.35">
      <c r="E5145">
        <v>5142</v>
      </c>
      <c r="F5145">
        <f t="shared" ca="1" si="82"/>
        <v>-6.2358680000738518E-3</v>
      </c>
    </row>
    <row r="5146" spans="5:6" x14ac:dyDescent="0.35">
      <c r="E5146">
        <v>5143</v>
      </c>
      <c r="F5146">
        <f t="shared" ca="1" si="82"/>
        <v>1.1581601093305001E-2</v>
      </c>
    </row>
    <row r="5147" spans="5:6" x14ac:dyDescent="0.35">
      <c r="E5147">
        <v>5144</v>
      </c>
      <c r="F5147">
        <f t="shared" ca="1" si="82"/>
        <v>8.7743971827947669E-3</v>
      </c>
    </row>
    <row r="5148" spans="5:6" x14ac:dyDescent="0.35">
      <c r="E5148">
        <v>5145</v>
      </c>
      <c r="F5148">
        <f t="shared" ca="1" si="82"/>
        <v>-2.4314634345400304E-2</v>
      </c>
    </row>
    <row r="5149" spans="5:6" x14ac:dyDescent="0.35">
      <c r="E5149">
        <v>5146</v>
      </c>
      <c r="F5149">
        <f t="shared" ca="1" si="82"/>
        <v>-3.4729603307234491E-4</v>
      </c>
    </row>
    <row r="5150" spans="5:6" x14ac:dyDescent="0.35">
      <c r="E5150">
        <v>5147</v>
      </c>
      <c r="F5150">
        <f t="shared" ca="1" si="82"/>
        <v>-3.0516997823598319E-2</v>
      </c>
    </row>
    <row r="5151" spans="5:6" x14ac:dyDescent="0.35">
      <c r="E5151">
        <v>5148</v>
      </c>
      <c r="F5151">
        <f t="shared" ca="1" si="82"/>
        <v>9.8517992110360181E-3</v>
      </c>
    </row>
    <row r="5152" spans="5:6" x14ac:dyDescent="0.35">
      <c r="E5152">
        <v>5149</v>
      </c>
      <c r="F5152">
        <f t="shared" ca="1" si="82"/>
        <v>-1.9665972721578124E-2</v>
      </c>
    </row>
    <row r="5153" spans="5:6" x14ac:dyDescent="0.35">
      <c r="E5153">
        <v>5150</v>
      </c>
      <c r="F5153">
        <f t="shared" ca="1" si="82"/>
        <v>-1.3231843334357167E-4</v>
      </c>
    </row>
    <row r="5154" spans="5:6" x14ac:dyDescent="0.35">
      <c r="E5154">
        <v>5151</v>
      </c>
      <c r="F5154">
        <f t="shared" ca="1" si="82"/>
        <v>3.6283471889167773E-3</v>
      </c>
    </row>
    <row r="5155" spans="5:6" x14ac:dyDescent="0.35">
      <c r="E5155">
        <v>5152</v>
      </c>
      <c r="F5155">
        <f t="shared" ca="1" si="82"/>
        <v>2.7473341726062906E-2</v>
      </c>
    </row>
    <row r="5156" spans="5:6" x14ac:dyDescent="0.35">
      <c r="E5156">
        <v>5153</v>
      </c>
      <c r="F5156">
        <f t="shared" ca="1" si="82"/>
        <v>1.8039735070267101E-6</v>
      </c>
    </row>
    <row r="5157" spans="5:6" x14ac:dyDescent="0.35">
      <c r="E5157">
        <v>5154</v>
      </c>
      <c r="F5157">
        <f t="shared" ca="1" si="82"/>
        <v>3.225892243117954E-4</v>
      </c>
    </row>
    <row r="5158" spans="5:6" x14ac:dyDescent="0.35">
      <c r="E5158">
        <v>5155</v>
      </c>
      <c r="F5158">
        <f t="shared" ca="1" si="82"/>
        <v>2.1433929647692036E-2</v>
      </c>
    </row>
    <row r="5159" spans="5:6" x14ac:dyDescent="0.35">
      <c r="E5159">
        <v>5156</v>
      </c>
      <c r="F5159">
        <f t="shared" ca="1" si="82"/>
        <v>1.1988534104225993E-2</v>
      </c>
    </row>
    <row r="5160" spans="5:6" x14ac:dyDescent="0.35">
      <c r="E5160">
        <v>5157</v>
      </c>
      <c r="F5160">
        <f t="shared" ca="1" si="82"/>
        <v>-1.2790002147333612E-2</v>
      </c>
    </row>
    <row r="5161" spans="5:6" x14ac:dyDescent="0.35">
      <c r="E5161">
        <v>5158</v>
      </c>
      <c r="F5161">
        <f t="shared" ca="1" si="82"/>
        <v>-8.6920195580846155E-3</v>
      </c>
    </row>
    <row r="5162" spans="5:6" x14ac:dyDescent="0.35">
      <c r="E5162">
        <v>5159</v>
      </c>
      <c r="F5162">
        <f t="shared" ca="1" si="82"/>
        <v>1.5448850118094709E-2</v>
      </c>
    </row>
    <row r="5163" spans="5:6" x14ac:dyDescent="0.35">
      <c r="E5163">
        <v>5160</v>
      </c>
      <c r="F5163">
        <f t="shared" ca="1" si="82"/>
        <v>3.2872027724280023E-4</v>
      </c>
    </row>
    <row r="5164" spans="5:6" x14ac:dyDescent="0.35">
      <c r="E5164">
        <v>5161</v>
      </c>
      <c r="F5164">
        <f t="shared" ca="1" si="82"/>
        <v>-4.6592587439207821E-3</v>
      </c>
    </row>
    <row r="5165" spans="5:6" x14ac:dyDescent="0.35">
      <c r="E5165">
        <v>5162</v>
      </c>
      <c r="F5165">
        <f t="shared" ca="1" si="82"/>
        <v>4.1968588507831058E-3</v>
      </c>
    </row>
    <row r="5166" spans="5:6" x14ac:dyDescent="0.35">
      <c r="E5166">
        <v>5163</v>
      </c>
      <c r="F5166">
        <f t="shared" ca="1" si="82"/>
        <v>6.5169261889990891E-4</v>
      </c>
    </row>
    <row r="5167" spans="5:6" x14ac:dyDescent="0.35">
      <c r="E5167">
        <v>5164</v>
      </c>
      <c r="F5167">
        <f t="shared" ca="1" si="82"/>
        <v>-3.2806846893472952E-3</v>
      </c>
    </row>
    <row r="5168" spans="5:6" x14ac:dyDescent="0.35">
      <c r="E5168">
        <v>5165</v>
      </c>
      <c r="F5168">
        <f t="shared" ca="1" si="82"/>
        <v>-2.4864117466827165E-3</v>
      </c>
    </row>
    <row r="5169" spans="5:6" x14ac:dyDescent="0.35">
      <c r="E5169">
        <v>5166</v>
      </c>
      <c r="F5169">
        <f t="shared" ca="1" si="82"/>
        <v>-2.670299931057319E-2</v>
      </c>
    </row>
    <row r="5170" spans="5:6" x14ac:dyDescent="0.35">
      <c r="E5170">
        <v>5167</v>
      </c>
      <c r="F5170">
        <f t="shared" ca="1" si="82"/>
        <v>-2.5947220378805921E-2</v>
      </c>
    </row>
    <row r="5171" spans="5:6" x14ac:dyDescent="0.35">
      <c r="E5171">
        <v>5168</v>
      </c>
      <c r="F5171">
        <f t="shared" ca="1" si="82"/>
        <v>1.5925452347690678E-2</v>
      </c>
    </row>
    <row r="5172" spans="5:6" x14ac:dyDescent="0.35">
      <c r="E5172">
        <v>5169</v>
      </c>
      <c r="F5172">
        <f t="shared" ca="1" si="82"/>
        <v>8.1303234482216712E-4</v>
      </c>
    </row>
    <row r="5173" spans="5:6" x14ac:dyDescent="0.35">
      <c r="E5173">
        <v>5170</v>
      </c>
      <c r="F5173">
        <f t="shared" ca="1" si="82"/>
        <v>-6.1766794307050385E-3</v>
      </c>
    </row>
    <row r="5174" spans="5:6" x14ac:dyDescent="0.35">
      <c r="E5174">
        <v>5171</v>
      </c>
      <c r="F5174">
        <f t="shared" ca="1" si="82"/>
        <v>-7.0997540306492546E-3</v>
      </c>
    </row>
    <row r="5175" spans="5:6" x14ac:dyDescent="0.35">
      <c r="E5175">
        <v>5172</v>
      </c>
      <c r="F5175">
        <f t="shared" ca="1" si="82"/>
        <v>-8.4783086306823192E-3</v>
      </c>
    </row>
    <row r="5176" spans="5:6" x14ac:dyDescent="0.35">
      <c r="E5176">
        <v>5173</v>
      </c>
      <c r="F5176">
        <f t="shared" ca="1" si="82"/>
        <v>-3.7422500820618303E-3</v>
      </c>
    </row>
    <row r="5177" spans="5:6" x14ac:dyDescent="0.35">
      <c r="E5177">
        <v>5174</v>
      </c>
      <c r="F5177">
        <f t="shared" ca="1" si="82"/>
        <v>-6.4559085023116001E-3</v>
      </c>
    </row>
    <row r="5178" spans="5:6" x14ac:dyDescent="0.35">
      <c r="E5178">
        <v>5175</v>
      </c>
      <c r="F5178">
        <f t="shared" ca="1" si="82"/>
        <v>1.1244786852829083E-2</v>
      </c>
    </row>
    <row r="5179" spans="5:6" x14ac:dyDescent="0.35">
      <c r="E5179">
        <v>5176</v>
      </c>
      <c r="F5179">
        <f t="shared" ca="1" si="82"/>
        <v>-2.5784187154063127E-2</v>
      </c>
    </row>
    <row r="5180" spans="5:6" x14ac:dyDescent="0.35">
      <c r="E5180">
        <v>5177</v>
      </c>
      <c r="F5180">
        <f t="shared" ca="1" si="82"/>
        <v>9.6532756919037871E-3</v>
      </c>
    </row>
    <row r="5181" spans="5:6" x14ac:dyDescent="0.35">
      <c r="E5181">
        <v>5178</v>
      </c>
      <c r="F5181">
        <f t="shared" ca="1" si="82"/>
        <v>-4.7124062507418706E-3</v>
      </c>
    </row>
    <row r="5182" spans="5:6" x14ac:dyDescent="0.35">
      <c r="E5182">
        <v>5179</v>
      </c>
      <c r="F5182">
        <f t="shared" ca="1" si="82"/>
        <v>-2.806145719320724E-2</v>
      </c>
    </row>
    <row r="5183" spans="5:6" x14ac:dyDescent="0.35">
      <c r="E5183">
        <v>5180</v>
      </c>
      <c r="F5183">
        <f t="shared" ca="1" si="82"/>
        <v>6.7382006152512418E-4</v>
      </c>
    </row>
    <row r="5184" spans="5:6" x14ac:dyDescent="0.35">
      <c r="E5184">
        <v>5181</v>
      </c>
      <c r="F5184">
        <f t="shared" ca="1" si="82"/>
        <v>2.7910630823621439E-3</v>
      </c>
    </row>
    <row r="5185" spans="5:6" x14ac:dyDescent="0.35">
      <c r="E5185">
        <v>5182</v>
      </c>
      <c r="F5185">
        <f t="shared" ca="1" si="82"/>
        <v>5.5916171845474469E-3</v>
      </c>
    </row>
    <row r="5186" spans="5:6" x14ac:dyDescent="0.35">
      <c r="E5186">
        <v>5183</v>
      </c>
      <c r="F5186">
        <f t="shared" ca="1" si="82"/>
        <v>3.3075405468074727E-2</v>
      </c>
    </row>
    <row r="5187" spans="5:6" x14ac:dyDescent="0.35">
      <c r="E5187">
        <v>5184</v>
      </c>
      <c r="F5187">
        <f t="shared" ca="1" si="82"/>
        <v>9.2169651284042288E-3</v>
      </c>
    </row>
    <row r="5188" spans="5:6" x14ac:dyDescent="0.35">
      <c r="E5188">
        <v>5185</v>
      </c>
      <c r="F5188">
        <f t="shared" ca="1" si="82"/>
        <v>-1.1892979261236213E-3</v>
      </c>
    </row>
    <row r="5189" spans="5:6" x14ac:dyDescent="0.35">
      <c r="E5189">
        <v>5186</v>
      </c>
      <c r="F5189">
        <f t="shared" ref="F5189:F5252" ca="1" si="83">_xlfn.NORM.INV(RAND(),M$6,M$7)</f>
        <v>1.9152410319065269E-2</v>
      </c>
    </row>
    <row r="5190" spans="5:6" x14ac:dyDescent="0.35">
      <c r="E5190">
        <v>5187</v>
      </c>
      <c r="F5190">
        <f t="shared" ca="1" si="83"/>
        <v>2.298915116281107E-3</v>
      </c>
    </row>
    <row r="5191" spans="5:6" x14ac:dyDescent="0.35">
      <c r="E5191">
        <v>5188</v>
      </c>
      <c r="F5191">
        <f t="shared" ca="1" si="83"/>
        <v>-2.1891150887209884E-2</v>
      </c>
    </row>
    <row r="5192" spans="5:6" x14ac:dyDescent="0.35">
      <c r="E5192">
        <v>5189</v>
      </c>
      <c r="F5192">
        <f t="shared" ca="1" si="83"/>
        <v>1.8351814676779078E-2</v>
      </c>
    </row>
    <row r="5193" spans="5:6" x14ac:dyDescent="0.35">
      <c r="E5193">
        <v>5190</v>
      </c>
      <c r="F5193">
        <f t="shared" ca="1" si="83"/>
        <v>9.6625707060522831E-3</v>
      </c>
    </row>
    <row r="5194" spans="5:6" x14ac:dyDescent="0.35">
      <c r="E5194">
        <v>5191</v>
      </c>
      <c r="F5194">
        <f t="shared" ca="1" si="83"/>
        <v>1.5840439323010159E-3</v>
      </c>
    </row>
    <row r="5195" spans="5:6" x14ac:dyDescent="0.35">
      <c r="E5195">
        <v>5192</v>
      </c>
      <c r="F5195">
        <f t="shared" ca="1" si="83"/>
        <v>-1.3303987931968745E-2</v>
      </c>
    </row>
    <row r="5196" spans="5:6" x14ac:dyDescent="0.35">
      <c r="E5196">
        <v>5193</v>
      </c>
      <c r="F5196">
        <f t="shared" ca="1" si="83"/>
        <v>1.000150814573111E-2</v>
      </c>
    </row>
    <row r="5197" spans="5:6" x14ac:dyDescent="0.35">
      <c r="E5197">
        <v>5194</v>
      </c>
      <c r="F5197">
        <f t="shared" ca="1" si="83"/>
        <v>-1.300250720739086E-2</v>
      </c>
    </row>
    <row r="5198" spans="5:6" x14ac:dyDescent="0.35">
      <c r="E5198">
        <v>5195</v>
      </c>
      <c r="F5198">
        <f t="shared" ca="1" si="83"/>
        <v>5.6275312267003172E-3</v>
      </c>
    </row>
    <row r="5199" spans="5:6" x14ac:dyDescent="0.35">
      <c r="E5199">
        <v>5196</v>
      </c>
      <c r="F5199">
        <f t="shared" ca="1" si="83"/>
        <v>8.2702526122516214E-3</v>
      </c>
    </row>
    <row r="5200" spans="5:6" x14ac:dyDescent="0.35">
      <c r="E5200">
        <v>5197</v>
      </c>
      <c r="F5200">
        <f t="shared" ca="1" si="83"/>
        <v>3.1865278785781787E-3</v>
      </c>
    </row>
    <row r="5201" spans="5:6" x14ac:dyDescent="0.35">
      <c r="E5201">
        <v>5198</v>
      </c>
      <c r="F5201">
        <f t="shared" ca="1" si="83"/>
        <v>-2.5936154813256409E-3</v>
      </c>
    </row>
    <row r="5202" spans="5:6" x14ac:dyDescent="0.35">
      <c r="E5202">
        <v>5199</v>
      </c>
      <c r="F5202">
        <f t="shared" ca="1" si="83"/>
        <v>1.3545753193285473E-2</v>
      </c>
    </row>
    <row r="5203" spans="5:6" x14ac:dyDescent="0.35">
      <c r="E5203">
        <v>5200</v>
      </c>
      <c r="F5203">
        <f t="shared" ca="1" si="83"/>
        <v>1.0911510688408855E-2</v>
      </c>
    </row>
    <row r="5204" spans="5:6" x14ac:dyDescent="0.35">
      <c r="E5204">
        <v>5201</v>
      </c>
      <c r="F5204">
        <f t="shared" ca="1" si="83"/>
        <v>-1.9116631880866052E-2</v>
      </c>
    </row>
    <row r="5205" spans="5:6" x14ac:dyDescent="0.35">
      <c r="E5205">
        <v>5202</v>
      </c>
      <c r="F5205">
        <f t="shared" ca="1" si="83"/>
        <v>4.6045370308228292E-3</v>
      </c>
    </row>
    <row r="5206" spans="5:6" x14ac:dyDescent="0.35">
      <c r="E5206">
        <v>5203</v>
      </c>
      <c r="F5206">
        <f t="shared" ca="1" si="83"/>
        <v>-9.9663698129246739E-4</v>
      </c>
    </row>
    <row r="5207" spans="5:6" x14ac:dyDescent="0.35">
      <c r="E5207">
        <v>5204</v>
      </c>
      <c r="F5207">
        <f t="shared" ca="1" si="83"/>
        <v>1.4569903801007483E-2</v>
      </c>
    </row>
    <row r="5208" spans="5:6" x14ac:dyDescent="0.35">
      <c r="E5208">
        <v>5205</v>
      </c>
      <c r="F5208">
        <f t="shared" ca="1" si="83"/>
        <v>4.5427825442126831E-3</v>
      </c>
    </row>
    <row r="5209" spans="5:6" x14ac:dyDescent="0.35">
      <c r="E5209">
        <v>5206</v>
      </c>
      <c r="F5209">
        <f t="shared" ca="1" si="83"/>
        <v>1.2027057582557878E-2</v>
      </c>
    </row>
    <row r="5210" spans="5:6" x14ac:dyDescent="0.35">
      <c r="E5210">
        <v>5207</v>
      </c>
      <c r="F5210">
        <f t="shared" ca="1" si="83"/>
        <v>6.712630042725559E-3</v>
      </c>
    </row>
    <row r="5211" spans="5:6" x14ac:dyDescent="0.35">
      <c r="E5211">
        <v>5208</v>
      </c>
      <c r="F5211">
        <f t="shared" ca="1" si="83"/>
        <v>-2.5547086934169218E-2</v>
      </c>
    </row>
    <row r="5212" spans="5:6" x14ac:dyDescent="0.35">
      <c r="E5212">
        <v>5209</v>
      </c>
      <c r="F5212">
        <f t="shared" ca="1" si="83"/>
        <v>8.7286278871145893E-3</v>
      </c>
    </row>
    <row r="5213" spans="5:6" x14ac:dyDescent="0.35">
      <c r="E5213">
        <v>5210</v>
      </c>
      <c r="F5213">
        <f t="shared" ca="1" si="83"/>
        <v>5.3641434244807475E-3</v>
      </c>
    </row>
    <row r="5214" spans="5:6" x14ac:dyDescent="0.35">
      <c r="E5214">
        <v>5211</v>
      </c>
      <c r="F5214">
        <f t="shared" ca="1" si="83"/>
        <v>6.9030106955840194E-4</v>
      </c>
    </row>
    <row r="5215" spans="5:6" x14ac:dyDescent="0.35">
      <c r="E5215">
        <v>5212</v>
      </c>
      <c r="F5215">
        <f t="shared" ca="1" si="83"/>
        <v>-6.9592997834893146E-3</v>
      </c>
    </row>
    <row r="5216" spans="5:6" x14ac:dyDescent="0.35">
      <c r="E5216">
        <v>5213</v>
      </c>
      <c r="F5216">
        <f t="shared" ca="1" si="83"/>
        <v>-1.1055944965755891E-3</v>
      </c>
    </row>
    <row r="5217" spans="5:6" x14ac:dyDescent="0.35">
      <c r="E5217">
        <v>5214</v>
      </c>
      <c r="F5217">
        <f t="shared" ca="1" si="83"/>
        <v>1.9270591126315968E-2</v>
      </c>
    </row>
    <row r="5218" spans="5:6" x14ac:dyDescent="0.35">
      <c r="E5218">
        <v>5215</v>
      </c>
      <c r="F5218">
        <f t="shared" ca="1" si="83"/>
        <v>8.3122594864120068E-3</v>
      </c>
    </row>
    <row r="5219" spans="5:6" x14ac:dyDescent="0.35">
      <c r="E5219">
        <v>5216</v>
      </c>
      <c r="F5219">
        <f t="shared" ca="1" si="83"/>
        <v>-6.1040842279706858E-3</v>
      </c>
    </row>
    <row r="5220" spans="5:6" x14ac:dyDescent="0.35">
      <c r="E5220">
        <v>5217</v>
      </c>
      <c r="F5220">
        <f t="shared" ca="1" si="83"/>
        <v>1.2696660827050956E-2</v>
      </c>
    </row>
    <row r="5221" spans="5:6" x14ac:dyDescent="0.35">
      <c r="E5221">
        <v>5218</v>
      </c>
      <c r="F5221">
        <f t="shared" ca="1" si="83"/>
        <v>-1.8921000631035339E-2</v>
      </c>
    </row>
    <row r="5222" spans="5:6" x14ac:dyDescent="0.35">
      <c r="E5222">
        <v>5219</v>
      </c>
      <c r="F5222">
        <f t="shared" ca="1" si="83"/>
        <v>-9.2362719938534777E-3</v>
      </c>
    </row>
    <row r="5223" spans="5:6" x14ac:dyDescent="0.35">
      <c r="E5223">
        <v>5220</v>
      </c>
      <c r="F5223">
        <f t="shared" ca="1" si="83"/>
        <v>9.044771898914665E-3</v>
      </c>
    </row>
    <row r="5224" spans="5:6" x14ac:dyDescent="0.35">
      <c r="E5224">
        <v>5221</v>
      </c>
      <c r="F5224">
        <f t="shared" ca="1" si="83"/>
        <v>7.029498727844476E-3</v>
      </c>
    </row>
    <row r="5225" spans="5:6" x14ac:dyDescent="0.35">
      <c r="E5225">
        <v>5222</v>
      </c>
      <c r="F5225">
        <f t="shared" ca="1" si="83"/>
        <v>-1.9359766286734935E-2</v>
      </c>
    </row>
    <row r="5226" spans="5:6" x14ac:dyDescent="0.35">
      <c r="E5226">
        <v>5223</v>
      </c>
      <c r="F5226">
        <f t="shared" ca="1" si="83"/>
        <v>1.3604665516936539E-2</v>
      </c>
    </row>
    <row r="5227" spans="5:6" x14ac:dyDescent="0.35">
      <c r="E5227">
        <v>5224</v>
      </c>
      <c r="F5227">
        <f t="shared" ca="1" si="83"/>
        <v>-1.8548998022698673E-2</v>
      </c>
    </row>
    <row r="5228" spans="5:6" x14ac:dyDescent="0.35">
      <c r="E5228">
        <v>5225</v>
      </c>
      <c r="F5228">
        <f t="shared" ca="1" si="83"/>
        <v>1.0239217508724405E-2</v>
      </c>
    </row>
    <row r="5229" spans="5:6" x14ac:dyDescent="0.35">
      <c r="E5229">
        <v>5226</v>
      </c>
      <c r="F5229">
        <f t="shared" ca="1" si="83"/>
        <v>2.7264292214120116E-2</v>
      </c>
    </row>
    <row r="5230" spans="5:6" x14ac:dyDescent="0.35">
      <c r="E5230">
        <v>5227</v>
      </c>
      <c r="F5230">
        <f t="shared" ca="1" si="83"/>
        <v>-1.9537134437018201E-2</v>
      </c>
    </row>
    <row r="5231" spans="5:6" x14ac:dyDescent="0.35">
      <c r="E5231">
        <v>5228</v>
      </c>
      <c r="F5231">
        <f t="shared" ca="1" si="83"/>
        <v>-2.5435666616220383E-2</v>
      </c>
    </row>
    <row r="5232" spans="5:6" x14ac:dyDescent="0.35">
      <c r="E5232">
        <v>5229</v>
      </c>
      <c r="F5232">
        <f t="shared" ca="1" si="83"/>
        <v>-1.7293059686511246E-3</v>
      </c>
    </row>
    <row r="5233" spans="5:6" x14ac:dyDescent="0.35">
      <c r="E5233">
        <v>5230</v>
      </c>
      <c r="F5233">
        <f t="shared" ca="1" si="83"/>
        <v>6.8186484505104571E-3</v>
      </c>
    </row>
    <row r="5234" spans="5:6" x14ac:dyDescent="0.35">
      <c r="E5234">
        <v>5231</v>
      </c>
      <c r="F5234">
        <f t="shared" ca="1" si="83"/>
        <v>6.3756295206774914E-3</v>
      </c>
    </row>
    <row r="5235" spans="5:6" x14ac:dyDescent="0.35">
      <c r="E5235">
        <v>5232</v>
      </c>
      <c r="F5235">
        <f t="shared" ca="1" si="83"/>
        <v>1.6603499527582419E-2</v>
      </c>
    </row>
    <row r="5236" spans="5:6" x14ac:dyDescent="0.35">
      <c r="E5236">
        <v>5233</v>
      </c>
      <c r="F5236">
        <f t="shared" ca="1" si="83"/>
        <v>-3.8064448712818626E-3</v>
      </c>
    </row>
    <row r="5237" spans="5:6" x14ac:dyDescent="0.35">
      <c r="E5237">
        <v>5234</v>
      </c>
      <c r="F5237">
        <f t="shared" ca="1" si="83"/>
        <v>-1.6904623370957401E-2</v>
      </c>
    </row>
    <row r="5238" spans="5:6" x14ac:dyDescent="0.35">
      <c r="E5238">
        <v>5235</v>
      </c>
      <c r="F5238">
        <f t="shared" ca="1" si="83"/>
        <v>-2.3188931792938686E-2</v>
      </c>
    </row>
    <row r="5239" spans="5:6" x14ac:dyDescent="0.35">
      <c r="E5239">
        <v>5236</v>
      </c>
      <c r="F5239">
        <f t="shared" ca="1" si="83"/>
        <v>7.4409271230654614E-3</v>
      </c>
    </row>
    <row r="5240" spans="5:6" x14ac:dyDescent="0.35">
      <c r="E5240">
        <v>5237</v>
      </c>
      <c r="F5240">
        <f t="shared" ca="1" si="83"/>
        <v>-1.5504260715284139E-4</v>
      </c>
    </row>
    <row r="5241" spans="5:6" x14ac:dyDescent="0.35">
      <c r="E5241">
        <v>5238</v>
      </c>
      <c r="F5241">
        <f t="shared" ca="1" si="83"/>
        <v>-1.8390644436137714E-2</v>
      </c>
    </row>
    <row r="5242" spans="5:6" x14ac:dyDescent="0.35">
      <c r="E5242">
        <v>5239</v>
      </c>
      <c r="F5242">
        <f t="shared" ca="1" si="83"/>
        <v>6.8836205302638103E-3</v>
      </c>
    </row>
    <row r="5243" spans="5:6" x14ac:dyDescent="0.35">
      <c r="E5243">
        <v>5240</v>
      </c>
      <c r="F5243">
        <f t="shared" ca="1" si="83"/>
        <v>-1.2333152377932895E-2</v>
      </c>
    </row>
    <row r="5244" spans="5:6" x14ac:dyDescent="0.35">
      <c r="E5244">
        <v>5241</v>
      </c>
      <c r="F5244">
        <f t="shared" ca="1" si="83"/>
        <v>9.052358664627112E-3</v>
      </c>
    </row>
    <row r="5245" spans="5:6" x14ac:dyDescent="0.35">
      <c r="E5245">
        <v>5242</v>
      </c>
      <c r="F5245">
        <f t="shared" ca="1" si="83"/>
        <v>1.1305550134245401E-2</v>
      </c>
    </row>
    <row r="5246" spans="5:6" x14ac:dyDescent="0.35">
      <c r="E5246">
        <v>5243</v>
      </c>
      <c r="F5246">
        <f t="shared" ca="1" si="83"/>
        <v>-1.3829739028819623E-2</v>
      </c>
    </row>
    <row r="5247" spans="5:6" x14ac:dyDescent="0.35">
      <c r="E5247">
        <v>5244</v>
      </c>
      <c r="F5247">
        <f t="shared" ca="1" si="83"/>
        <v>1.9211272542014182E-2</v>
      </c>
    </row>
    <row r="5248" spans="5:6" x14ac:dyDescent="0.35">
      <c r="E5248">
        <v>5245</v>
      </c>
      <c r="F5248">
        <f t="shared" ca="1" si="83"/>
        <v>2.7382914082118421E-2</v>
      </c>
    </row>
    <row r="5249" spans="5:6" x14ac:dyDescent="0.35">
      <c r="E5249">
        <v>5246</v>
      </c>
      <c r="F5249">
        <f t="shared" ca="1" si="83"/>
        <v>-1.6452482857140651E-2</v>
      </c>
    </row>
    <row r="5250" spans="5:6" x14ac:dyDescent="0.35">
      <c r="E5250">
        <v>5247</v>
      </c>
      <c r="F5250">
        <f t="shared" ca="1" si="83"/>
        <v>5.3731329104147203E-3</v>
      </c>
    </row>
    <row r="5251" spans="5:6" x14ac:dyDescent="0.35">
      <c r="E5251">
        <v>5248</v>
      </c>
      <c r="F5251">
        <f t="shared" ca="1" si="83"/>
        <v>5.0248636070260493E-3</v>
      </c>
    </row>
    <row r="5252" spans="5:6" x14ac:dyDescent="0.35">
      <c r="E5252">
        <v>5249</v>
      </c>
      <c r="F5252">
        <f t="shared" ca="1" si="83"/>
        <v>8.5665353921314698E-3</v>
      </c>
    </row>
    <row r="5253" spans="5:6" x14ac:dyDescent="0.35">
      <c r="E5253">
        <v>5250</v>
      </c>
      <c r="F5253">
        <f t="shared" ref="F5253:F5316" ca="1" si="84">_xlfn.NORM.INV(RAND(),M$6,M$7)</f>
        <v>1.1414583240444575E-2</v>
      </c>
    </row>
    <row r="5254" spans="5:6" x14ac:dyDescent="0.35">
      <c r="E5254">
        <v>5251</v>
      </c>
      <c r="F5254">
        <f t="shared" ca="1" si="84"/>
        <v>-1.913015168904229E-2</v>
      </c>
    </row>
    <row r="5255" spans="5:6" x14ac:dyDescent="0.35">
      <c r="E5255">
        <v>5252</v>
      </c>
      <c r="F5255">
        <f t="shared" ca="1" si="84"/>
        <v>-1.697307112385343E-2</v>
      </c>
    </row>
    <row r="5256" spans="5:6" x14ac:dyDescent="0.35">
      <c r="E5256">
        <v>5253</v>
      </c>
      <c r="F5256">
        <f t="shared" ca="1" si="84"/>
        <v>-8.2079477833914283E-3</v>
      </c>
    </row>
    <row r="5257" spans="5:6" x14ac:dyDescent="0.35">
      <c r="E5257">
        <v>5254</v>
      </c>
      <c r="F5257">
        <f t="shared" ca="1" si="84"/>
        <v>3.2647510602895891E-2</v>
      </c>
    </row>
    <row r="5258" spans="5:6" x14ac:dyDescent="0.35">
      <c r="E5258">
        <v>5255</v>
      </c>
      <c r="F5258">
        <f t="shared" ca="1" si="84"/>
        <v>1.4145232296831378E-2</v>
      </c>
    </row>
    <row r="5259" spans="5:6" x14ac:dyDescent="0.35">
      <c r="E5259">
        <v>5256</v>
      </c>
      <c r="F5259">
        <f t="shared" ca="1" si="84"/>
        <v>7.5543826250147204E-4</v>
      </c>
    </row>
    <row r="5260" spans="5:6" x14ac:dyDescent="0.35">
      <c r="E5260">
        <v>5257</v>
      </c>
      <c r="F5260">
        <f t="shared" ca="1" si="84"/>
        <v>3.1431703273489902E-3</v>
      </c>
    </row>
    <row r="5261" spans="5:6" x14ac:dyDescent="0.35">
      <c r="E5261">
        <v>5258</v>
      </c>
      <c r="F5261">
        <f t="shared" ca="1" si="84"/>
        <v>-3.4599297539693202E-3</v>
      </c>
    </row>
    <row r="5262" spans="5:6" x14ac:dyDescent="0.35">
      <c r="E5262">
        <v>5259</v>
      </c>
      <c r="F5262">
        <f t="shared" ca="1" si="84"/>
        <v>2.4461070215585391E-2</v>
      </c>
    </row>
    <row r="5263" spans="5:6" x14ac:dyDescent="0.35">
      <c r="E5263">
        <v>5260</v>
      </c>
      <c r="F5263">
        <f t="shared" ca="1" si="84"/>
        <v>-2.6803499498522194E-2</v>
      </c>
    </row>
    <row r="5264" spans="5:6" x14ac:dyDescent="0.35">
      <c r="E5264">
        <v>5261</v>
      </c>
      <c r="F5264">
        <f t="shared" ca="1" si="84"/>
        <v>-1.3592574020843592E-2</v>
      </c>
    </row>
    <row r="5265" spans="5:6" x14ac:dyDescent="0.35">
      <c r="E5265">
        <v>5262</v>
      </c>
      <c r="F5265">
        <f t="shared" ca="1" si="84"/>
        <v>1.3778567583861019E-2</v>
      </c>
    </row>
    <row r="5266" spans="5:6" x14ac:dyDescent="0.35">
      <c r="E5266">
        <v>5263</v>
      </c>
      <c r="F5266">
        <f t="shared" ca="1" si="84"/>
        <v>4.9713827098189674E-3</v>
      </c>
    </row>
    <row r="5267" spans="5:6" x14ac:dyDescent="0.35">
      <c r="E5267">
        <v>5264</v>
      </c>
      <c r="F5267">
        <f t="shared" ca="1" si="84"/>
        <v>4.1135832773955994E-2</v>
      </c>
    </row>
    <row r="5268" spans="5:6" x14ac:dyDescent="0.35">
      <c r="E5268">
        <v>5265</v>
      </c>
      <c r="F5268">
        <f t="shared" ca="1" si="84"/>
        <v>1.7040526588293997E-2</v>
      </c>
    </row>
    <row r="5269" spans="5:6" x14ac:dyDescent="0.35">
      <c r="E5269">
        <v>5266</v>
      </c>
      <c r="F5269">
        <f t="shared" ca="1" si="84"/>
        <v>-2.1676930580425482E-2</v>
      </c>
    </row>
    <row r="5270" spans="5:6" x14ac:dyDescent="0.35">
      <c r="E5270">
        <v>5267</v>
      </c>
      <c r="F5270">
        <f t="shared" ca="1" si="84"/>
        <v>6.7350913261523338E-3</v>
      </c>
    </row>
    <row r="5271" spans="5:6" x14ac:dyDescent="0.35">
      <c r="E5271">
        <v>5268</v>
      </c>
      <c r="F5271">
        <f t="shared" ca="1" si="84"/>
        <v>4.236440846309174E-3</v>
      </c>
    </row>
    <row r="5272" spans="5:6" x14ac:dyDescent="0.35">
      <c r="E5272">
        <v>5269</v>
      </c>
      <c r="F5272">
        <f t="shared" ca="1" si="84"/>
        <v>-1.2929975766748642E-2</v>
      </c>
    </row>
    <row r="5273" spans="5:6" x14ac:dyDescent="0.35">
      <c r="E5273">
        <v>5270</v>
      </c>
      <c r="F5273">
        <f t="shared" ca="1" si="84"/>
        <v>5.0307060353344283E-3</v>
      </c>
    </row>
    <row r="5274" spans="5:6" x14ac:dyDescent="0.35">
      <c r="E5274">
        <v>5271</v>
      </c>
      <c r="F5274">
        <f t="shared" ca="1" si="84"/>
        <v>-2.7818754916591297E-2</v>
      </c>
    </row>
    <row r="5275" spans="5:6" x14ac:dyDescent="0.35">
      <c r="E5275">
        <v>5272</v>
      </c>
      <c r="F5275">
        <f t="shared" ca="1" si="84"/>
        <v>-5.0298750493111086E-3</v>
      </c>
    </row>
    <row r="5276" spans="5:6" x14ac:dyDescent="0.35">
      <c r="E5276">
        <v>5273</v>
      </c>
      <c r="F5276">
        <f t="shared" ca="1" si="84"/>
        <v>1.5061074870691827E-2</v>
      </c>
    </row>
    <row r="5277" spans="5:6" x14ac:dyDescent="0.35">
      <c r="E5277">
        <v>5274</v>
      </c>
      <c r="F5277">
        <f t="shared" ca="1" si="84"/>
        <v>-2.094358328396731E-3</v>
      </c>
    </row>
    <row r="5278" spans="5:6" x14ac:dyDescent="0.35">
      <c r="E5278">
        <v>5275</v>
      </c>
      <c r="F5278">
        <f t="shared" ca="1" si="84"/>
        <v>-5.9431908932484918E-3</v>
      </c>
    </row>
    <row r="5279" spans="5:6" x14ac:dyDescent="0.35">
      <c r="E5279">
        <v>5276</v>
      </c>
      <c r="F5279">
        <f t="shared" ca="1" si="84"/>
        <v>9.8581264719353207E-3</v>
      </c>
    </row>
    <row r="5280" spans="5:6" x14ac:dyDescent="0.35">
      <c r="E5280">
        <v>5277</v>
      </c>
      <c r="F5280">
        <f t="shared" ca="1" si="84"/>
        <v>3.3082414462293167E-2</v>
      </c>
    </row>
    <row r="5281" spans="5:6" x14ac:dyDescent="0.35">
      <c r="E5281">
        <v>5278</v>
      </c>
      <c r="F5281">
        <f t="shared" ca="1" si="84"/>
        <v>-5.8056706639494113E-4</v>
      </c>
    </row>
    <row r="5282" spans="5:6" x14ac:dyDescent="0.35">
      <c r="E5282">
        <v>5279</v>
      </c>
      <c r="F5282">
        <f t="shared" ca="1" si="84"/>
        <v>-9.6211319003374342E-4</v>
      </c>
    </row>
    <row r="5283" spans="5:6" x14ac:dyDescent="0.35">
      <c r="E5283">
        <v>5280</v>
      </c>
      <c r="F5283">
        <f t="shared" ca="1" si="84"/>
        <v>3.8377150089464372E-2</v>
      </c>
    </row>
    <row r="5284" spans="5:6" x14ac:dyDescent="0.35">
      <c r="E5284">
        <v>5281</v>
      </c>
      <c r="F5284">
        <f t="shared" ca="1" si="84"/>
        <v>-6.050865297220806E-3</v>
      </c>
    </row>
    <row r="5285" spans="5:6" x14ac:dyDescent="0.35">
      <c r="E5285">
        <v>5282</v>
      </c>
      <c r="F5285">
        <f t="shared" ca="1" si="84"/>
        <v>-1.1840750399541867E-2</v>
      </c>
    </row>
    <row r="5286" spans="5:6" x14ac:dyDescent="0.35">
      <c r="E5286">
        <v>5283</v>
      </c>
      <c r="F5286">
        <f t="shared" ca="1" si="84"/>
        <v>5.9968277551431274E-3</v>
      </c>
    </row>
    <row r="5287" spans="5:6" x14ac:dyDescent="0.35">
      <c r="E5287">
        <v>5284</v>
      </c>
      <c r="F5287">
        <f t="shared" ca="1" si="84"/>
        <v>1.2997405636663026E-2</v>
      </c>
    </row>
    <row r="5288" spans="5:6" x14ac:dyDescent="0.35">
      <c r="E5288">
        <v>5285</v>
      </c>
      <c r="F5288">
        <f t="shared" ca="1" si="84"/>
        <v>-2.9963479887780312E-2</v>
      </c>
    </row>
    <row r="5289" spans="5:6" x14ac:dyDescent="0.35">
      <c r="E5289">
        <v>5286</v>
      </c>
      <c r="F5289">
        <f t="shared" ca="1" si="84"/>
        <v>-8.3267494937467115E-3</v>
      </c>
    </row>
    <row r="5290" spans="5:6" x14ac:dyDescent="0.35">
      <c r="E5290">
        <v>5287</v>
      </c>
      <c r="F5290">
        <f t="shared" ca="1" si="84"/>
        <v>4.3720046918777787E-3</v>
      </c>
    </row>
    <row r="5291" spans="5:6" x14ac:dyDescent="0.35">
      <c r="E5291">
        <v>5288</v>
      </c>
      <c r="F5291">
        <f t="shared" ca="1" si="84"/>
        <v>-6.6009401841342612E-3</v>
      </c>
    </row>
    <row r="5292" spans="5:6" x14ac:dyDescent="0.35">
      <c r="E5292">
        <v>5289</v>
      </c>
      <c r="F5292">
        <f t="shared" ca="1" si="84"/>
        <v>2.4173941348992686E-2</v>
      </c>
    </row>
    <row r="5293" spans="5:6" x14ac:dyDescent="0.35">
      <c r="E5293">
        <v>5290</v>
      </c>
      <c r="F5293">
        <f t="shared" ca="1" si="84"/>
        <v>6.6545204180197765E-3</v>
      </c>
    </row>
    <row r="5294" spans="5:6" x14ac:dyDescent="0.35">
      <c r="E5294">
        <v>5291</v>
      </c>
      <c r="F5294">
        <f t="shared" ca="1" si="84"/>
        <v>1.6687846537827775E-2</v>
      </c>
    </row>
    <row r="5295" spans="5:6" x14ac:dyDescent="0.35">
      <c r="E5295">
        <v>5292</v>
      </c>
      <c r="F5295">
        <f t="shared" ca="1" si="84"/>
        <v>8.8271115939866553E-3</v>
      </c>
    </row>
    <row r="5296" spans="5:6" x14ac:dyDescent="0.35">
      <c r="E5296">
        <v>5293</v>
      </c>
      <c r="F5296">
        <f t="shared" ca="1" si="84"/>
        <v>9.8156142277964053E-3</v>
      </c>
    </row>
    <row r="5297" spans="5:6" x14ac:dyDescent="0.35">
      <c r="E5297">
        <v>5294</v>
      </c>
      <c r="F5297">
        <f t="shared" ca="1" si="84"/>
        <v>2.2326205358080119E-2</v>
      </c>
    </row>
    <row r="5298" spans="5:6" x14ac:dyDescent="0.35">
      <c r="E5298">
        <v>5295</v>
      </c>
      <c r="F5298">
        <f t="shared" ca="1" si="84"/>
        <v>-4.4189238982101703E-3</v>
      </c>
    </row>
    <row r="5299" spans="5:6" x14ac:dyDescent="0.35">
      <c r="E5299">
        <v>5296</v>
      </c>
      <c r="F5299">
        <f t="shared" ca="1" si="84"/>
        <v>5.8349356689390407E-3</v>
      </c>
    </row>
    <row r="5300" spans="5:6" x14ac:dyDescent="0.35">
      <c r="E5300">
        <v>5297</v>
      </c>
      <c r="F5300">
        <f t="shared" ca="1" si="84"/>
        <v>-1.6223672978127116E-2</v>
      </c>
    </row>
    <row r="5301" spans="5:6" x14ac:dyDescent="0.35">
      <c r="E5301">
        <v>5298</v>
      </c>
      <c r="F5301">
        <f t="shared" ca="1" si="84"/>
        <v>4.1233278068083769E-4</v>
      </c>
    </row>
    <row r="5302" spans="5:6" x14ac:dyDescent="0.35">
      <c r="E5302">
        <v>5299</v>
      </c>
      <c r="F5302">
        <f t="shared" ca="1" si="84"/>
        <v>-5.6809042000204599E-4</v>
      </c>
    </row>
    <row r="5303" spans="5:6" x14ac:dyDescent="0.35">
      <c r="E5303">
        <v>5300</v>
      </c>
      <c r="F5303">
        <f t="shared" ca="1" si="84"/>
        <v>-4.9714609721186655E-3</v>
      </c>
    </row>
    <row r="5304" spans="5:6" x14ac:dyDescent="0.35">
      <c r="E5304">
        <v>5301</v>
      </c>
      <c r="F5304">
        <f t="shared" ca="1" si="84"/>
        <v>1.4157205508478399E-2</v>
      </c>
    </row>
    <row r="5305" spans="5:6" x14ac:dyDescent="0.35">
      <c r="E5305">
        <v>5302</v>
      </c>
      <c r="F5305">
        <f t="shared" ca="1" si="84"/>
        <v>-2.3566340317635742E-3</v>
      </c>
    </row>
    <row r="5306" spans="5:6" x14ac:dyDescent="0.35">
      <c r="E5306">
        <v>5303</v>
      </c>
      <c r="F5306">
        <f t="shared" ca="1" si="84"/>
        <v>-5.3066107335139742E-4</v>
      </c>
    </row>
    <row r="5307" spans="5:6" x14ac:dyDescent="0.35">
      <c r="E5307">
        <v>5304</v>
      </c>
      <c r="F5307">
        <f t="shared" ca="1" si="84"/>
        <v>-1.7850249603389885E-3</v>
      </c>
    </row>
    <row r="5308" spans="5:6" x14ac:dyDescent="0.35">
      <c r="E5308">
        <v>5305</v>
      </c>
      <c r="F5308">
        <f t="shared" ca="1" si="84"/>
        <v>-5.3686671465657827E-3</v>
      </c>
    </row>
    <row r="5309" spans="5:6" x14ac:dyDescent="0.35">
      <c r="E5309">
        <v>5306</v>
      </c>
      <c r="F5309">
        <f t="shared" ca="1" si="84"/>
        <v>4.2671053746908428E-3</v>
      </c>
    </row>
    <row r="5310" spans="5:6" x14ac:dyDescent="0.35">
      <c r="E5310">
        <v>5307</v>
      </c>
      <c r="F5310">
        <f t="shared" ca="1" si="84"/>
        <v>-9.6664703426978509E-3</v>
      </c>
    </row>
    <row r="5311" spans="5:6" x14ac:dyDescent="0.35">
      <c r="E5311">
        <v>5308</v>
      </c>
      <c r="F5311">
        <f t="shared" ca="1" si="84"/>
        <v>-1.0002744381341582E-2</v>
      </c>
    </row>
    <row r="5312" spans="5:6" x14ac:dyDescent="0.35">
      <c r="E5312">
        <v>5309</v>
      </c>
      <c r="F5312">
        <f t="shared" ca="1" si="84"/>
        <v>1.672337173860667E-2</v>
      </c>
    </row>
    <row r="5313" spans="5:6" x14ac:dyDescent="0.35">
      <c r="E5313">
        <v>5310</v>
      </c>
      <c r="F5313">
        <f t="shared" ca="1" si="84"/>
        <v>1.5739262887394937E-3</v>
      </c>
    </row>
    <row r="5314" spans="5:6" x14ac:dyDescent="0.35">
      <c r="E5314">
        <v>5311</v>
      </c>
      <c r="F5314">
        <f t="shared" ca="1" si="84"/>
        <v>-1.3527000344586929E-2</v>
      </c>
    </row>
    <row r="5315" spans="5:6" x14ac:dyDescent="0.35">
      <c r="E5315">
        <v>5312</v>
      </c>
      <c r="F5315">
        <f t="shared" ca="1" si="84"/>
        <v>1.1898949633435468E-2</v>
      </c>
    </row>
    <row r="5316" spans="5:6" x14ac:dyDescent="0.35">
      <c r="E5316">
        <v>5313</v>
      </c>
      <c r="F5316">
        <f t="shared" ca="1" si="84"/>
        <v>2.8555277801990474E-3</v>
      </c>
    </row>
    <row r="5317" spans="5:6" x14ac:dyDescent="0.35">
      <c r="E5317">
        <v>5314</v>
      </c>
      <c r="F5317">
        <f t="shared" ref="F5317:F5380" ca="1" si="85">_xlfn.NORM.INV(RAND(),M$6,M$7)</f>
        <v>-4.6105957322491788E-4</v>
      </c>
    </row>
    <row r="5318" spans="5:6" x14ac:dyDescent="0.35">
      <c r="E5318">
        <v>5315</v>
      </c>
      <c r="F5318">
        <f t="shared" ca="1" si="85"/>
        <v>4.7003397116522697E-3</v>
      </c>
    </row>
    <row r="5319" spans="5:6" x14ac:dyDescent="0.35">
      <c r="E5319">
        <v>5316</v>
      </c>
      <c r="F5319">
        <f t="shared" ca="1" si="85"/>
        <v>2.162862036629117E-3</v>
      </c>
    </row>
    <row r="5320" spans="5:6" x14ac:dyDescent="0.35">
      <c r="E5320">
        <v>5317</v>
      </c>
      <c r="F5320">
        <f t="shared" ca="1" si="85"/>
        <v>-1.1768543122555506E-3</v>
      </c>
    </row>
    <row r="5321" spans="5:6" x14ac:dyDescent="0.35">
      <c r="E5321">
        <v>5318</v>
      </c>
      <c r="F5321">
        <f t="shared" ca="1" si="85"/>
        <v>-2.9038247084011491E-3</v>
      </c>
    </row>
    <row r="5322" spans="5:6" x14ac:dyDescent="0.35">
      <c r="E5322">
        <v>5319</v>
      </c>
      <c r="F5322">
        <f t="shared" ca="1" si="85"/>
        <v>4.2271429009872559E-3</v>
      </c>
    </row>
    <row r="5323" spans="5:6" x14ac:dyDescent="0.35">
      <c r="E5323">
        <v>5320</v>
      </c>
      <c r="F5323">
        <f t="shared" ca="1" si="85"/>
        <v>1.8934275506541216E-2</v>
      </c>
    </row>
    <row r="5324" spans="5:6" x14ac:dyDescent="0.35">
      <c r="E5324">
        <v>5321</v>
      </c>
      <c r="F5324">
        <f t="shared" ca="1" si="85"/>
        <v>-2.9109711854366813E-2</v>
      </c>
    </row>
    <row r="5325" spans="5:6" x14ac:dyDescent="0.35">
      <c r="E5325">
        <v>5322</v>
      </c>
      <c r="F5325">
        <f t="shared" ca="1" si="85"/>
        <v>-1.3774406514863887E-2</v>
      </c>
    </row>
    <row r="5326" spans="5:6" x14ac:dyDescent="0.35">
      <c r="E5326">
        <v>5323</v>
      </c>
      <c r="F5326">
        <f t="shared" ca="1" si="85"/>
        <v>1.4332131073177174E-2</v>
      </c>
    </row>
    <row r="5327" spans="5:6" x14ac:dyDescent="0.35">
      <c r="E5327">
        <v>5324</v>
      </c>
      <c r="F5327">
        <f t="shared" ca="1" si="85"/>
        <v>-1.5358135340679882E-2</v>
      </c>
    </row>
    <row r="5328" spans="5:6" x14ac:dyDescent="0.35">
      <c r="E5328">
        <v>5325</v>
      </c>
      <c r="F5328">
        <f t="shared" ca="1" si="85"/>
        <v>1.6259097681749227E-2</v>
      </c>
    </row>
    <row r="5329" spans="5:6" x14ac:dyDescent="0.35">
      <c r="E5329">
        <v>5326</v>
      </c>
      <c r="F5329">
        <f t="shared" ca="1" si="85"/>
        <v>-1.8631912773126331E-2</v>
      </c>
    </row>
    <row r="5330" spans="5:6" x14ac:dyDescent="0.35">
      <c r="E5330">
        <v>5327</v>
      </c>
      <c r="F5330">
        <f t="shared" ca="1" si="85"/>
        <v>3.3133464165365444E-3</v>
      </c>
    </row>
    <row r="5331" spans="5:6" x14ac:dyDescent="0.35">
      <c r="E5331">
        <v>5328</v>
      </c>
      <c r="F5331">
        <f t="shared" ca="1" si="85"/>
        <v>2.0879881518718193E-2</v>
      </c>
    </row>
    <row r="5332" spans="5:6" x14ac:dyDescent="0.35">
      <c r="E5332">
        <v>5329</v>
      </c>
      <c r="F5332">
        <f t="shared" ca="1" si="85"/>
        <v>2.5007524163110154E-3</v>
      </c>
    </row>
    <row r="5333" spans="5:6" x14ac:dyDescent="0.35">
      <c r="E5333">
        <v>5330</v>
      </c>
      <c r="F5333">
        <f t="shared" ca="1" si="85"/>
        <v>2.5058304448414569E-2</v>
      </c>
    </row>
    <row r="5334" spans="5:6" x14ac:dyDescent="0.35">
      <c r="E5334">
        <v>5331</v>
      </c>
      <c r="F5334">
        <f t="shared" ca="1" si="85"/>
        <v>-1.3537417868113143E-2</v>
      </c>
    </row>
    <row r="5335" spans="5:6" x14ac:dyDescent="0.35">
      <c r="E5335">
        <v>5332</v>
      </c>
      <c r="F5335">
        <f t="shared" ca="1" si="85"/>
        <v>-3.5264249941390226E-3</v>
      </c>
    </row>
    <row r="5336" spans="5:6" x14ac:dyDescent="0.35">
      <c r="E5336">
        <v>5333</v>
      </c>
      <c r="F5336">
        <f t="shared" ca="1" si="85"/>
        <v>-6.1589978319185786E-3</v>
      </c>
    </row>
    <row r="5337" spans="5:6" x14ac:dyDescent="0.35">
      <c r="E5337">
        <v>5334</v>
      </c>
      <c r="F5337">
        <f t="shared" ca="1" si="85"/>
        <v>9.5678218832852234E-3</v>
      </c>
    </row>
    <row r="5338" spans="5:6" x14ac:dyDescent="0.35">
      <c r="E5338">
        <v>5335</v>
      </c>
      <c r="F5338">
        <f t="shared" ca="1" si="85"/>
        <v>1.161070663166721E-2</v>
      </c>
    </row>
    <row r="5339" spans="5:6" x14ac:dyDescent="0.35">
      <c r="E5339">
        <v>5336</v>
      </c>
      <c r="F5339">
        <f t="shared" ca="1" si="85"/>
        <v>1.9655789388453675E-2</v>
      </c>
    </row>
    <row r="5340" spans="5:6" x14ac:dyDescent="0.35">
      <c r="E5340">
        <v>5337</v>
      </c>
      <c r="F5340">
        <f t="shared" ca="1" si="85"/>
        <v>1.6728132814743696E-3</v>
      </c>
    </row>
    <row r="5341" spans="5:6" x14ac:dyDescent="0.35">
      <c r="E5341">
        <v>5338</v>
      </c>
      <c r="F5341">
        <f t="shared" ca="1" si="85"/>
        <v>-7.7993454225472967E-3</v>
      </c>
    </row>
    <row r="5342" spans="5:6" x14ac:dyDescent="0.35">
      <c r="E5342">
        <v>5339</v>
      </c>
      <c r="F5342">
        <f t="shared" ca="1" si="85"/>
        <v>3.7574721402477322E-4</v>
      </c>
    </row>
    <row r="5343" spans="5:6" x14ac:dyDescent="0.35">
      <c r="E5343">
        <v>5340</v>
      </c>
      <c r="F5343">
        <f t="shared" ca="1" si="85"/>
        <v>1.0375461057267069E-2</v>
      </c>
    </row>
    <row r="5344" spans="5:6" x14ac:dyDescent="0.35">
      <c r="E5344">
        <v>5341</v>
      </c>
      <c r="F5344">
        <f t="shared" ca="1" si="85"/>
        <v>-1.342534046218497E-2</v>
      </c>
    </row>
    <row r="5345" spans="5:6" x14ac:dyDescent="0.35">
      <c r="E5345">
        <v>5342</v>
      </c>
      <c r="F5345">
        <f t="shared" ca="1" si="85"/>
        <v>-5.587929643117758E-3</v>
      </c>
    </row>
    <row r="5346" spans="5:6" x14ac:dyDescent="0.35">
      <c r="E5346">
        <v>5343</v>
      </c>
      <c r="F5346">
        <f t="shared" ca="1" si="85"/>
        <v>-7.5707918111860006E-3</v>
      </c>
    </row>
    <row r="5347" spans="5:6" x14ac:dyDescent="0.35">
      <c r="E5347">
        <v>5344</v>
      </c>
      <c r="F5347">
        <f t="shared" ca="1" si="85"/>
        <v>-2.2225741323797003E-2</v>
      </c>
    </row>
    <row r="5348" spans="5:6" x14ac:dyDescent="0.35">
      <c r="E5348">
        <v>5345</v>
      </c>
      <c r="F5348">
        <f t="shared" ca="1" si="85"/>
        <v>-7.7444449447749177E-3</v>
      </c>
    </row>
    <row r="5349" spans="5:6" x14ac:dyDescent="0.35">
      <c r="E5349">
        <v>5346</v>
      </c>
      <c r="F5349">
        <f t="shared" ca="1" si="85"/>
        <v>-1.3435636903004764E-2</v>
      </c>
    </row>
    <row r="5350" spans="5:6" x14ac:dyDescent="0.35">
      <c r="E5350">
        <v>5347</v>
      </c>
      <c r="F5350">
        <f t="shared" ca="1" si="85"/>
        <v>2.1610293808302784E-3</v>
      </c>
    </row>
    <row r="5351" spans="5:6" x14ac:dyDescent="0.35">
      <c r="E5351">
        <v>5348</v>
      </c>
      <c r="F5351">
        <f t="shared" ca="1" si="85"/>
        <v>-2.6457177902831662E-2</v>
      </c>
    </row>
    <row r="5352" spans="5:6" x14ac:dyDescent="0.35">
      <c r="E5352">
        <v>5349</v>
      </c>
      <c r="F5352">
        <f t="shared" ca="1" si="85"/>
        <v>3.0358353378934252E-3</v>
      </c>
    </row>
    <row r="5353" spans="5:6" x14ac:dyDescent="0.35">
      <c r="E5353">
        <v>5350</v>
      </c>
      <c r="F5353">
        <f t="shared" ca="1" si="85"/>
        <v>-9.5130047357632579E-3</v>
      </c>
    </row>
    <row r="5354" spans="5:6" x14ac:dyDescent="0.35">
      <c r="E5354">
        <v>5351</v>
      </c>
      <c r="F5354">
        <f t="shared" ca="1" si="85"/>
        <v>4.2025886035088108E-3</v>
      </c>
    </row>
    <row r="5355" spans="5:6" x14ac:dyDescent="0.35">
      <c r="E5355">
        <v>5352</v>
      </c>
      <c r="F5355">
        <f t="shared" ca="1" si="85"/>
        <v>8.9959188075227747E-3</v>
      </c>
    </row>
    <row r="5356" spans="5:6" x14ac:dyDescent="0.35">
      <c r="E5356">
        <v>5353</v>
      </c>
      <c r="F5356">
        <f t="shared" ca="1" si="85"/>
        <v>-1.3972712251790927E-2</v>
      </c>
    </row>
    <row r="5357" spans="5:6" x14ac:dyDescent="0.35">
      <c r="E5357">
        <v>5354</v>
      </c>
      <c r="F5357">
        <f t="shared" ca="1" si="85"/>
        <v>3.3657420059450232E-3</v>
      </c>
    </row>
    <row r="5358" spans="5:6" x14ac:dyDescent="0.35">
      <c r="E5358">
        <v>5355</v>
      </c>
      <c r="F5358">
        <f t="shared" ca="1" si="85"/>
        <v>2.3946979838846558E-2</v>
      </c>
    </row>
    <row r="5359" spans="5:6" x14ac:dyDescent="0.35">
      <c r="E5359">
        <v>5356</v>
      </c>
      <c r="F5359">
        <f t="shared" ca="1" si="85"/>
        <v>-1.1427763526153037E-2</v>
      </c>
    </row>
    <row r="5360" spans="5:6" x14ac:dyDescent="0.35">
      <c r="E5360">
        <v>5357</v>
      </c>
      <c r="F5360">
        <f t="shared" ca="1" si="85"/>
        <v>-1.5114472035500499E-2</v>
      </c>
    </row>
    <row r="5361" spans="5:6" x14ac:dyDescent="0.35">
      <c r="E5361">
        <v>5358</v>
      </c>
      <c r="F5361">
        <f t="shared" ca="1" si="85"/>
        <v>-8.917319595422267E-4</v>
      </c>
    </row>
    <row r="5362" spans="5:6" x14ac:dyDescent="0.35">
      <c r="E5362">
        <v>5359</v>
      </c>
      <c r="F5362">
        <f t="shared" ca="1" si="85"/>
        <v>4.0426866278660996E-3</v>
      </c>
    </row>
    <row r="5363" spans="5:6" x14ac:dyDescent="0.35">
      <c r="E5363">
        <v>5360</v>
      </c>
      <c r="F5363">
        <f t="shared" ca="1" si="85"/>
        <v>-8.0404964447054576E-4</v>
      </c>
    </row>
    <row r="5364" spans="5:6" x14ac:dyDescent="0.35">
      <c r="E5364">
        <v>5361</v>
      </c>
      <c r="F5364">
        <f t="shared" ca="1" si="85"/>
        <v>-5.1296549050494265E-2</v>
      </c>
    </row>
    <row r="5365" spans="5:6" x14ac:dyDescent="0.35">
      <c r="E5365">
        <v>5362</v>
      </c>
      <c r="F5365">
        <f t="shared" ca="1" si="85"/>
        <v>-1.3757044848723953E-2</v>
      </c>
    </row>
    <row r="5366" spans="5:6" x14ac:dyDescent="0.35">
      <c r="E5366">
        <v>5363</v>
      </c>
      <c r="F5366">
        <f t="shared" ca="1" si="85"/>
        <v>-2.4103849957230051E-3</v>
      </c>
    </row>
    <row r="5367" spans="5:6" x14ac:dyDescent="0.35">
      <c r="E5367">
        <v>5364</v>
      </c>
      <c r="F5367">
        <f t="shared" ca="1" si="85"/>
        <v>1.0921178064859318E-2</v>
      </c>
    </row>
    <row r="5368" spans="5:6" x14ac:dyDescent="0.35">
      <c r="E5368">
        <v>5365</v>
      </c>
      <c r="F5368">
        <f t="shared" ca="1" si="85"/>
        <v>-9.4262803105703164E-3</v>
      </c>
    </row>
    <row r="5369" spans="5:6" x14ac:dyDescent="0.35">
      <c r="E5369">
        <v>5366</v>
      </c>
      <c r="F5369">
        <f t="shared" ca="1" si="85"/>
        <v>-1.6342924218055794E-2</v>
      </c>
    </row>
    <row r="5370" spans="5:6" x14ac:dyDescent="0.35">
      <c r="E5370">
        <v>5367</v>
      </c>
      <c r="F5370">
        <f t="shared" ca="1" si="85"/>
        <v>-8.5143763028694038E-3</v>
      </c>
    </row>
    <row r="5371" spans="5:6" x14ac:dyDescent="0.35">
      <c r="E5371">
        <v>5368</v>
      </c>
      <c r="F5371">
        <f t="shared" ca="1" si="85"/>
        <v>2.4978853330717983E-2</v>
      </c>
    </row>
    <row r="5372" spans="5:6" x14ac:dyDescent="0.35">
      <c r="E5372">
        <v>5369</v>
      </c>
      <c r="F5372">
        <f t="shared" ca="1" si="85"/>
        <v>1.358267324012967E-2</v>
      </c>
    </row>
    <row r="5373" spans="5:6" x14ac:dyDescent="0.35">
      <c r="E5373">
        <v>5370</v>
      </c>
      <c r="F5373">
        <f t="shared" ca="1" si="85"/>
        <v>1.3302295091310465E-2</v>
      </c>
    </row>
    <row r="5374" spans="5:6" x14ac:dyDescent="0.35">
      <c r="E5374">
        <v>5371</v>
      </c>
      <c r="F5374">
        <f t="shared" ca="1" si="85"/>
        <v>2.1419467913204118E-2</v>
      </c>
    </row>
    <row r="5375" spans="5:6" x14ac:dyDescent="0.35">
      <c r="E5375">
        <v>5372</v>
      </c>
      <c r="F5375">
        <f t="shared" ca="1" si="85"/>
        <v>-4.3300056701588416E-2</v>
      </c>
    </row>
    <row r="5376" spans="5:6" x14ac:dyDescent="0.35">
      <c r="E5376">
        <v>5373</v>
      </c>
      <c r="F5376">
        <f t="shared" ca="1" si="85"/>
        <v>2.8359301846514386E-4</v>
      </c>
    </row>
    <row r="5377" spans="5:6" x14ac:dyDescent="0.35">
      <c r="E5377">
        <v>5374</v>
      </c>
      <c r="F5377">
        <f t="shared" ca="1" si="85"/>
        <v>1.8772438620490578E-2</v>
      </c>
    </row>
    <row r="5378" spans="5:6" x14ac:dyDescent="0.35">
      <c r="E5378">
        <v>5375</v>
      </c>
      <c r="F5378">
        <f t="shared" ca="1" si="85"/>
        <v>-8.0058290182881166E-3</v>
      </c>
    </row>
    <row r="5379" spans="5:6" x14ac:dyDescent="0.35">
      <c r="E5379">
        <v>5376</v>
      </c>
      <c r="F5379">
        <f t="shared" ca="1" si="85"/>
        <v>2.8836543517248565E-3</v>
      </c>
    </row>
    <row r="5380" spans="5:6" x14ac:dyDescent="0.35">
      <c r="E5380">
        <v>5377</v>
      </c>
      <c r="F5380">
        <f t="shared" ca="1" si="85"/>
        <v>1.3359620556948667E-2</v>
      </c>
    </row>
    <row r="5381" spans="5:6" x14ac:dyDescent="0.35">
      <c r="E5381">
        <v>5378</v>
      </c>
      <c r="F5381">
        <f t="shared" ref="F5381:F5444" ca="1" si="86">_xlfn.NORM.INV(RAND(),M$6,M$7)</f>
        <v>-1.7243790639965499E-2</v>
      </c>
    </row>
    <row r="5382" spans="5:6" x14ac:dyDescent="0.35">
      <c r="E5382">
        <v>5379</v>
      </c>
      <c r="F5382">
        <f t="shared" ca="1" si="86"/>
        <v>-2.5957580301383645E-2</v>
      </c>
    </row>
    <row r="5383" spans="5:6" x14ac:dyDescent="0.35">
      <c r="E5383">
        <v>5380</v>
      </c>
      <c r="F5383">
        <f t="shared" ca="1" si="86"/>
        <v>-7.9015050666828759E-3</v>
      </c>
    </row>
    <row r="5384" spans="5:6" x14ac:dyDescent="0.35">
      <c r="E5384">
        <v>5381</v>
      </c>
      <c r="F5384">
        <f t="shared" ca="1" si="86"/>
        <v>1.6161322994727331E-2</v>
      </c>
    </row>
    <row r="5385" spans="5:6" x14ac:dyDescent="0.35">
      <c r="E5385">
        <v>5382</v>
      </c>
      <c r="F5385">
        <f t="shared" ca="1" si="86"/>
        <v>-7.8446803776043312E-3</v>
      </c>
    </row>
    <row r="5386" spans="5:6" x14ac:dyDescent="0.35">
      <c r="E5386">
        <v>5383</v>
      </c>
      <c r="F5386">
        <f t="shared" ca="1" si="86"/>
        <v>1.963669491028722E-2</v>
      </c>
    </row>
    <row r="5387" spans="5:6" x14ac:dyDescent="0.35">
      <c r="E5387">
        <v>5384</v>
      </c>
      <c r="F5387">
        <f t="shared" ca="1" si="86"/>
        <v>2.2763809964728755E-2</v>
      </c>
    </row>
    <row r="5388" spans="5:6" x14ac:dyDescent="0.35">
      <c r="E5388">
        <v>5385</v>
      </c>
      <c r="F5388">
        <f t="shared" ca="1" si="86"/>
        <v>2.3082536798454421E-2</v>
      </c>
    </row>
    <row r="5389" spans="5:6" x14ac:dyDescent="0.35">
      <c r="E5389">
        <v>5386</v>
      </c>
      <c r="F5389">
        <f t="shared" ca="1" si="86"/>
        <v>2.4545380021927028E-2</v>
      </c>
    </row>
    <row r="5390" spans="5:6" x14ac:dyDescent="0.35">
      <c r="E5390">
        <v>5387</v>
      </c>
      <c r="F5390">
        <f t="shared" ca="1" si="86"/>
        <v>1.0732403522976606E-2</v>
      </c>
    </row>
    <row r="5391" spans="5:6" x14ac:dyDescent="0.35">
      <c r="E5391">
        <v>5388</v>
      </c>
      <c r="F5391">
        <f t="shared" ca="1" si="86"/>
        <v>-9.2209820680075102E-3</v>
      </c>
    </row>
    <row r="5392" spans="5:6" x14ac:dyDescent="0.35">
      <c r="E5392">
        <v>5389</v>
      </c>
      <c r="F5392">
        <f t="shared" ca="1" si="86"/>
        <v>-9.6108182920132505E-3</v>
      </c>
    </row>
    <row r="5393" spans="5:6" x14ac:dyDescent="0.35">
      <c r="E5393">
        <v>5390</v>
      </c>
      <c r="F5393">
        <f t="shared" ca="1" si="86"/>
        <v>-6.9611048803862189E-3</v>
      </c>
    </row>
    <row r="5394" spans="5:6" x14ac:dyDescent="0.35">
      <c r="E5394">
        <v>5391</v>
      </c>
      <c r="F5394">
        <f t="shared" ca="1" si="86"/>
        <v>-4.7796228051928593E-3</v>
      </c>
    </row>
    <row r="5395" spans="5:6" x14ac:dyDescent="0.35">
      <c r="E5395">
        <v>5392</v>
      </c>
      <c r="F5395">
        <f t="shared" ca="1" si="86"/>
        <v>3.9072132876904744E-3</v>
      </c>
    </row>
    <row r="5396" spans="5:6" x14ac:dyDescent="0.35">
      <c r="E5396">
        <v>5393</v>
      </c>
      <c r="F5396">
        <f t="shared" ca="1" si="86"/>
        <v>-1.8128450311320717E-3</v>
      </c>
    </row>
    <row r="5397" spans="5:6" x14ac:dyDescent="0.35">
      <c r="E5397">
        <v>5394</v>
      </c>
      <c r="F5397">
        <f t="shared" ca="1" si="86"/>
        <v>1.189735754874062E-2</v>
      </c>
    </row>
    <row r="5398" spans="5:6" x14ac:dyDescent="0.35">
      <c r="E5398">
        <v>5395</v>
      </c>
      <c r="F5398">
        <f t="shared" ca="1" si="86"/>
        <v>-7.6244835931820049E-3</v>
      </c>
    </row>
    <row r="5399" spans="5:6" x14ac:dyDescent="0.35">
      <c r="E5399">
        <v>5396</v>
      </c>
      <c r="F5399">
        <f t="shared" ca="1" si="86"/>
        <v>-5.996091102198905E-3</v>
      </c>
    </row>
    <row r="5400" spans="5:6" x14ac:dyDescent="0.35">
      <c r="E5400">
        <v>5397</v>
      </c>
      <c r="F5400">
        <f t="shared" ca="1" si="86"/>
        <v>-2.773887688923686E-2</v>
      </c>
    </row>
    <row r="5401" spans="5:6" x14ac:dyDescent="0.35">
      <c r="E5401">
        <v>5398</v>
      </c>
      <c r="F5401">
        <f t="shared" ca="1" si="86"/>
        <v>3.8253119116108849E-3</v>
      </c>
    </row>
    <row r="5402" spans="5:6" x14ac:dyDescent="0.35">
      <c r="E5402">
        <v>5399</v>
      </c>
      <c r="F5402">
        <f t="shared" ca="1" si="86"/>
        <v>-7.0571986040885186E-4</v>
      </c>
    </row>
    <row r="5403" spans="5:6" x14ac:dyDescent="0.35">
      <c r="E5403">
        <v>5400</v>
      </c>
      <c r="F5403">
        <f t="shared" ca="1" si="86"/>
        <v>-2.2140835467088947E-3</v>
      </c>
    </row>
    <row r="5404" spans="5:6" x14ac:dyDescent="0.35">
      <c r="E5404">
        <v>5401</v>
      </c>
      <c r="F5404">
        <f t="shared" ca="1" si="86"/>
        <v>-7.6013431566777871E-3</v>
      </c>
    </row>
    <row r="5405" spans="5:6" x14ac:dyDescent="0.35">
      <c r="E5405">
        <v>5402</v>
      </c>
      <c r="F5405">
        <f t="shared" ca="1" si="86"/>
        <v>-7.4137563607229733E-5</v>
      </c>
    </row>
    <row r="5406" spans="5:6" x14ac:dyDescent="0.35">
      <c r="E5406">
        <v>5403</v>
      </c>
      <c r="F5406">
        <f t="shared" ca="1" si="86"/>
        <v>9.5576341204994045E-3</v>
      </c>
    </row>
    <row r="5407" spans="5:6" x14ac:dyDescent="0.35">
      <c r="E5407">
        <v>5404</v>
      </c>
      <c r="F5407">
        <f t="shared" ca="1" si="86"/>
        <v>8.7888254009263027E-3</v>
      </c>
    </row>
    <row r="5408" spans="5:6" x14ac:dyDescent="0.35">
      <c r="E5408">
        <v>5405</v>
      </c>
      <c r="F5408">
        <f t="shared" ca="1" si="86"/>
        <v>1.8882206614685194E-2</v>
      </c>
    </row>
    <row r="5409" spans="5:6" x14ac:dyDescent="0.35">
      <c r="E5409">
        <v>5406</v>
      </c>
      <c r="F5409">
        <f t="shared" ca="1" si="86"/>
        <v>-5.979681013384178E-3</v>
      </c>
    </row>
    <row r="5410" spans="5:6" x14ac:dyDescent="0.35">
      <c r="E5410">
        <v>5407</v>
      </c>
      <c r="F5410">
        <f t="shared" ca="1" si="86"/>
        <v>5.7940390331838341E-3</v>
      </c>
    </row>
    <row r="5411" spans="5:6" x14ac:dyDescent="0.35">
      <c r="E5411">
        <v>5408</v>
      </c>
      <c r="F5411">
        <f t="shared" ca="1" si="86"/>
        <v>3.4560130939088108E-3</v>
      </c>
    </row>
    <row r="5412" spans="5:6" x14ac:dyDescent="0.35">
      <c r="E5412">
        <v>5409</v>
      </c>
      <c r="F5412">
        <f t="shared" ca="1" si="86"/>
        <v>4.6703978347593716E-4</v>
      </c>
    </row>
    <row r="5413" spans="5:6" x14ac:dyDescent="0.35">
      <c r="E5413">
        <v>5410</v>
      </c>
      <c r="F5413">
        <f t="shared" ca="1" si="86"/>
        <v>1.3797651893529035E-2</v>
      </c>
    </row>
    <row r="5414" spans="5:6" x14ac:dyDescent="0.35">
      <c r="E5414">
        <v>5411</v>
      </c>
      <c r="F5414">
        <f t="shared" ca="1" si="86"/>
        <v>-6.409513186701213E-3</v>
      </c>
    </row>
    <row r="5415" spans="5:6" x14ac:dyDescent="0.35">
      <c r="E5415">
        <v>5412</v>
      </c>
      <c r="F5415">
        <f t="shared" ca="1" si="86"/>
        <v>-1.5473558928078241E-2</v>
      </c>
    </row>
    <row r="5416" spans="5:6" x14ac:dyDescent="0.35">
      <c r="E5416">
        <v>5413</v>
      </c>
      <c r="F5416">
        <f t="shared" ca="1" si="86"/>
        <v>1.6716657972069896E-2</v>
      </c>
    </row>
    <row r="5417" spans="5:6" x14ac:dyDescent="0.35">
      <c r="E5417">
        <v>5414</v>
      </c>
      <c r="F5417">
        <f t="shared" ca="1" si="86"/>
        <v>-7.1920552913533869E-3</v>
      </c>
    </row>
    <row r="5418" spans="5:6" x14ac:dyDescent="0.35">
      <c r="E5418">
        <v>5415</v>
      </c>
      <c r="F5418">
        <f t="shared" ca="1" si="86"/>
        <v>7.1762411587402465E-3</v>
      </c>
    </row>
    <row r="5419" spans="5:6" x14ac:dyDescent="0.35">
      <c r="E5419">
        <v>5416</v>
      </c>
      <c r="F5419">
        <f t="shared" ca="1" si="86"/>
        <v>-5.2638809435099727E-3</v>
      </c>
    </row>
    <row r="5420" spans="5:6" x14ac:dyDescent="0.35">
      <c r="E5420">
        <v>5417</v>
      </c>
      <c r="F5420">
        <f t="shared" ca="1" si="86"/>
        <v>1.2366396130985136E-2</v>
      </c>
    </row>
    <row r="5421" spans="5:6" x14ac:dyDescent="0.35">
      <c r="E5421">
        <v>5418</v>
      </c>
      <c r="F5421">
        <f t="shared" ca="1" si="86"/>
        <v>-1.1243412303337733E-2</v>
      </c>
    </row>
    <row r="5422" spans="5:6" x14ac:dyDescent="0.35">
      <c r="E5422">
        <v>5419</v>
      </c>
      <c r="F5422">
        <f t="shared" ca="1" si="86"/>
        <v>-1.1567860839951326E-2</v>
      </c>
    </row>
    <row r="5423" spans="5:6" x14ac:dyDescent="0.35">
      <c r="E5423">
        <v>5420</v>
      </c>
      <c r="F5423">
        <f t="shared" ca="1" si="86"/>
        <v>-1.2013004730218727E-2</v>
      </c>
    </row>
    <row r="5424" spans="5:6" x14ac:dyDescent="0.35">
      <c r="E5424">
        <v>5421</v>
      </c>
      <c r="F5424">
        <f t="shared" ca="1" si="86"/>
        <v>-8.6662119330456269E-3</v>
      </c>
    </row>
    <row r="5425" spans="5:6" x14ac:dyDescent="0.35">
      <c r="E5425">
        <v>5422</v>
      </c>
      <c r="F5425">
        <f t="shared" ca="1" si="86"/>
        <v>1.2336997629432083E-2</v>
      </c>
    </row>
    <row r="5426" spans="5:6" x14ac:dyDescent="0.35">
      <c r="E5426">
        <v>5423</v>
      </c>
      <c r="F5426">
        <f t="shared" ca="1" si="86"/>
        <v>-2.6543138715453031E-3</v>
      </c>
    </row>
    <row r="5427" spans="5:6" x14ac:dyDescent="0.35">
      <c r="E5427">
        <v>5424</v>
      </c>
      <c r="F5427">
        <f t="shared" ca="1" si="86"/>
        <v>6.7049348476715641E-3</v>
      </c>
    </row>
    <row r="5428" spans="5:6" x14ac:dyDescent="0.35">
      <c r="E5428">
        <v>5425</v>
      </c>
      <c r="F5428">
        <f t="shared" ca="1" si="86"/>
        <v>-1.7028057463955915E-2</v>
      </c>
    </row>
    <row r="5429" spans="5:6" x14ac:dyDescent="0.35">
      <c r="E5429">
        <v>5426</v>
      </c>
      <c r="F5429">
        <f t="shared" ca="1" si="86"/>
        <v>-1.7585844878056187E-2</v>
      </c>
    </row>
    <row r="5430" spans="5:6" x14ac:dyDescent="0.35">
      <c r="E5430">
        <v>5427</v>
      </c>
      <c r="F5430">
        <f t="shared" ca="1" si="86"/>
        <v>1.5027823181363077E-2</v>
      </c>
    </row>
    <row r="5431" spans="5:6" x14ac:dyDescent="0.35">
      <c r="E5431">
        <v>5428</v>
      </c>
      <c r="F5431">
        <f t="shared" ca="1" si="86"/>
        <v>1.4107786632335841E-3</v>
      </c>
    </row>
    <row r="5432" spans="5:6" x14ac:dyDescent="0.35">
      <c r="E5432">
        <v>5429</v>
      </c>
      <c r="F5432">
        <f t="shared" ca="1" si="86"/>
        <v>8.3440795465535428E-3</v>
      </c>
    </row>
    <row r="5433" spans="5:6" x14ac:dyDescent="0.35">
      <c r="E5433">
        <v>5430</v>
      </c>
      <c r="F5433">
        <f t="shared" ca="1" si="86"/>
        <v>6.5849377972835871E-3</v>
      </c>
    </row>
    <row r="5434" spans="5:6" x14ac:dyDescent="0.35">
      <c r="E5434">
        <v>5431</v>
      </c>
      <c r="F5434">
        <f t="shared" ca="1" si="86"/>
        <v>-1.2677384650945872E-2</v>
      </c>
    </row>
    <row r="5435" spans="5:6" x14ac:dyDescent="0.35">
      <c r="E5435">
        <v>5432</v>
      </c>
      <c r="F5435">
        <f t="shared" ca="1" si="86"/>
        <v>1.6037211091023879E-2</v>
      </c>
    </row>
    <row r="5436" spans="5:6" x14ac:dyDescent="0.35">
      <c r="E5436">
        <v>5433</v>
      </c>
      <c r="F5436">
        <f t="shared" ca="1" si="86"/>
        <v>1.8803945505903384E-2</v>
      </c>
    </row>
    <row r="5437" spans="5:6" x14ac:dyDescent="0.35">
      <c r="E5437">
        <v>5434</v>
      </c>
      <c r="F5437">
        <f t="shared" ca="1" si="86"/>
        <v>7.5551047767039572E-3</v>
      </c>
    </row>
    <row r="5438" spans="5:6" x14ac:dyDescent="0.35">
      <c r="E5438">
        <v>5435</v>
      </c>
      <c r="F5438">
        <f t="shared" ca="1" si="86"/>
        <v>-2.5021588625538011E-2</v>
      </c>
    </row>
    <row r="5439" spans="5:6" x14ac:dyDescent="0.35">
      <c r="E5439">
        <v>5436</v>
      </c>
      <c r="F5439">
        <f t="shared" ca="1" si="86"/>
        <v>1.0137858503270746E-2</v>
      </c>
    </row>
    <row r="5440" spans="5:6" x14ac:dyDescent="0.35">
      <c r="E5440">
        <v>5437</v>
      </c>
      <c r="F5440">
        <f t="shared" ca="1" si="86"/>
        <v>-1.3610442743795899E-2</v>
      </c>
    </row>
    <row r="5441" spans="5:6" x14ac:dyDescent="0.35">
      <c r="E5441">
        <v>5438</v>
      </c>
      <c r="F5441">
        <f t="shared" ca="1" si="86"/>
        <v>2.4665063671089612E-2</v>
      </c>
    </row>
    <row r="5442" spans="5:6" x14ac:dyDescent="0.35">
      <c r="E5442">
        <v>5439</v>
      </c>
      <c r="F5442">
        <f t="shared" ca="1" si="86"/>
        <v>8.5954988205236057E-3</v>
      </c>
    </row>
    <row r="5443" spans="5:6" x14ac:dyDescent="0.35">
      <c r="E5443">
        <v>5440</v>
      </c>
      <c r="F5443">
        <f t="shared" ca="1" si="86"/>
        <v>-1.9810753366710902E-2</v>
      </c>
    </row>
    <row r="5444" spans="5:6" x14ac:dyDescent="0.35">
      <c r="E5444">
        <v>5441</v>
      </c>
      <c r="F5444">
        <f t="shared" ca="1" si="86"/>
        <v>-8.4978910546656232E-3</v>
      </c>
    </row>
    <row r="5445" spans="5:6" x14ac:dyDescent="0.35">
      <c r="E5445">
        <v>5442</v>
      </c>
      <c r="F5445">
        <f t="shared" ref="F5445:F5508" ca="1" si="87">_xlfn.NORM.INV(RAND(),M$6,M$7)</f>
        <v>-1.103874601104257E-2</v>
      </c>
    </row>
    <row r="5446" spans="5:6" x14ac:dyDescent="0.35">
      <c r="E5446">
        <v>5443</v>
      </c>
      <c r="F5446">
        <f t="shared" ca="1" si="87"/>
        <v>2.2873482548356566E-2</v>
      </c>
    </row>
    <row r="5447" spans="5:6" x14ac:dyDescent="0.35">
      <c r="E5447">
        <v>5444</v>
      </c>
      <c r="F5447">
        <f t="shared" ca="1" si="87"/>
        <v>2.193905012839099E-2</v>
      </c>
    </row>
    <row r="5448" spans="5:6" x14ac:dyDescent="0.35">
      <c r="E5448">
        <v>5445</v>
      </c>
      <c r="F5448">
        <f t="shared" ca="1" si="87"/>
        <v>-1.7907000492766709E-2</v>
      </c>
    </row>
    <row r="5449" spans="5:6" x14ac:dyDescent="0.35">
      <c r="E5449">
        <v>5446</v>
      </c>
      <c r="F5449">
        <f t="shared" ca="1" si="87"/>
        <v>1.9283826984489677E-3</v>
      </c>
    </row>
    <row r="5450" spans="5:6" x14ac:dyDescent="0.35">
      <c r="E5450">
        <v>5447</v>
      </c>
      <c r="F5450">
        <f t="shared" ca="1" si="87"/>
        <v>-6.4304054104519339E-3</v>
      </c>
    </row>
    <row r="5451" spans="5:6" x14ac:dyDescent="0.35">
      <c r="E5451">
        <v>5448</v>
      </c>
      <c r="F5451">
        <f t="shared" ca="1" si="87"/>
        <v>6.8703887001726688E-3</v>
      </c>
    </row>
    <row r="5452" spans="5:6" x14ac:dyDescent="0.35">
      <c r="E5452">
        <v>5449</v>
      </c>
      <c r="F5452">
        <f t="shared" ca="1" si="87"/>
        <v>-2.0415533890651193E-3</v>
      </c>
    </row>
    <row r="5453" spans="5:6" x14ac:dyDescent="0.35">
      <c r="E5453">
        <v>5450</v>
      </c>
      <c r="F5453">
        <f t="shared" ca="1" si="87"/>
        <v>-3.6195972634921313E-3</v>
      </c>
    </row>
    <row r="5454" spans="5:6" x14ac:dyDescent="0.35">
      <c r="E5454">
        <v>5451</v>
      </c>
      <c r="F5454">
        <f t="shared" ca="1" si="87"/>
        <v>-4.3876350929612905E-3</v>
      </c>
    </row>
    <row r="5455" spans="5:6" x14ac:dyDescent="0.35">
      <c r="E5455">
        <v>5452</v>
      </c>
      <c r="F5455">
        <f t="shared" ca="1" si="87"/>
        <v>-3.2983350948046371E-3</v>
      </c>
    </row>
    <row r="5456" spans="5:6" x14ac:dyDescent="0.35">
      <c r="E5456">
        <v>5453</v>
      </c>
      <c r="F5456">
        <f t="shared" ca="1" si="87"/>
        <v>4.126339636252173E-3</v>
      </c>
    </row>
    <row r="5457" spans="5:6" x14ac:dyDescent="0.35">
      <c r="E5457">
        <v>5454</v>
      </c>
      <c r="F5457">
        <f t="shared" ca="1" si="87"/>
        <v>-2.1111443596034521E-2</v>
      </c>
    </row>
    <row r="5458" spans="5:6" x14ac:dyDescent="0.35">
      <c r="E5458">
        <v>5455</v>
      </c>
      <c r="F5458">
        <f t="shared" ca="1" si="87"/>
        <v>8.3240966406915185E-3</v>
      </c>
    </row>
    <row r="5459" spans="5:6" x14ac:dyDescent="0.35">
      <c r="E5459">
        <v>5456</v>
      </c>
      <c r="F5459">
        <f t="shared" ca="1" si="87"/>
        <v>-2.7978404713603185E-2</v>
      </c>
    </row>
    <row r="5460" spans="5:6" x14ac:dyDescent="0.35">
      <c r="E5460">
        <v>5457</v>
      </c>
      <c r="F5460">
        <f t="shared" ca="1" si="87"/>
        <v>-1.147705945535203E-3</v>
      </c>
    </row>
    <row r="5461" spans="5:6" x14ac:dyDescent="0.35">
      <c r="E5461">
        <v>5458</v>
      </c>
      <c r="F5461">
        <f t="shared" ca="1" si="87"/>
        <v>-3.2711890095847664E-2</v>
      </c>
    </row>
    <row r="5462" spans="5:6" x14ac:dyDescent="0.35">
      <c r="E5462">
        <v>5459</v>
      </c>
      <c r="F5462">
        <f t="shared" ca="1" si="87"/>
        <v>-1.2455298978772483E-2</v>
      </c>
    </row>
    <row r="5463" spans="5:6" x14ac:dyDescent="0.35">
      <c r="E5463">
        <v>5460</v>
      </c>
      <c r="F5463">
        <f t="shared" ca="1" si="87"/>
        <v>9.6911466542384979E-3</v>
      </c>
    </row>
    <row r="5464" spans="5:6" x14ac:dyDescent="0.35">
      <c r="E5464">
        <v>5461</v>
      </c>
      <c r="F5464">
        <f t="shared" ca="1" si="87"/>
        <v>-1.4900612058512865E-2</v>
      </c>
    </row>
    <row r="5465" spans="5:6" x14ac:dyDescent="0.35">
      <c r="E5465">
        <v>5462</v>
      </c>
      <c r="F5465">
        <f t="shared" ca="1" si="87"/>
        <v>1.0256984077038254E-2</v>
      </c>
    </row>
    <row r="5466" spans="5:6" x14ac:dyDescent="0.35">
      <c r="E5466">
        <v>5463</v>
      </c>
      <c r="F5466">
        <f t="shared" ca="1" si="87"/>
        <v>2.3628355797375118E-2</v>
      </c>
    </row>
    <row r="5467" spans="5:6" x14ac:dyDescent="0.35">
      <c r="E5467">
        <v>5464</v>
      </c>
      <c r="F5467">
        <f t="shared" ca="1" si="87"/>
        <v>5.0609187783509473E-4</v>
      </c>
    </row>
    <row r="5468" spans="5:6" x14ac:dyDescent="0.35">
      <c r="E5468">
        <v>5465</v>
      </c>
      <c r="F5468">
        <f t="shared" ca="1" si="87"/>
        <v>1.2925985187298011E-2</v>
      </c>
    </row>
    <row r="5469" spans="5:6" x14ac:dyDescent="0.35">
      <c r="E5469">
        <v>5466</v>
      </c>
      <c r="F5469">
        <f t="shared" ca="1" si="87"/>
        <v>8.9363097223926196E-3</v>
      </c>
    </row>
    <row r="5470" spans="5:6" x14ac:dyDescent="0.35">
      <c r="E5470">
        <v>5467</v>
      </c>
      <c r="F5470">
        <f t="shared" ca="1" si="87"/>
        <v>-4.3880268279187215E-2</v>
      </c>
    </row>
    <row r="5471" spans="5:6" x14ac:dyDescent="0.35">
      <c r="E5471">
        <v>5468</v>
      </c>
      <c r="F5471">
        <f t="shared" ca="1" si="87"/>
        <v>-1.7871680951171261E-2</v>
      </c>
    </row>
    <row r="5472" spans="5:6" x14ac:dyDescent="0.35">
      <c r="E5472">
        <v>5469</v>
      </c>
      <c r="F5472">
        <f t="shared" ca="1" si="87"/>
        <v>1.2288904297740016E-3</v>
      </c>
    </row>
    <row r="5473" spans="5:6" x14ac:dyDescent="0.35">
      <c r="E5473">
        <v>5470</v>
      </c>
      <c r="F5473">
        <f t="shared" ca="1" si="87"/>
        <v>-1.2741438095546348E-2</v>
      </c>
    </row>
    <row r="5474" spans="5:6" x14ac:dyDescent="0.35">
      <c r="E5474">
        <v>5471</v>
      </c>
      <c r="F5474">
        <f t="shared" ca="1" si="87"/>
        <v>-8.4598551871914798E-3</v>
      </c>
    </row>
    <row r="5475" spans="5:6" x14ac:dyDescent="0.35">
      <c r="E5475">
        <v>5472</v>
      </c>
      <c r="F5475">
        <f t="shared" ca="1" si="87"/>
        <v>-1.3562926804129885E-2</v>
      </c>
    </row>
    <row r="5476" spans="5:6" x14ac:dyDescent="0.35">
      <c r="E5476">
        <v>5473</v>
      </c>
      <c r="F5476">
        <f t="shared" ca="1" si="87"/>
        <v>-1.6040817873398651E-2</v>
      </c>
    </row>
    <row r="5477" spans="5:6" x14ac:dyDescent="0.35">
      <c r="E5477">
        <v>5474</v>
      </c>
      <c r="F5477">
        <f t="shared" ca="1" si="87"/>
        <v>2.1980689160174535E-2</v>
      </c>
    </row>
    <row r="5478" spans="5:6" x14ac:dyDescent="0.35">
      <c r="E5478">
        <v>5475</v>
      </c>
      <c r="F5478">
        <f t="shared" ca="1" si="87"/>
        <v>1.6720963732238914E-2</v>
      </c>
    </row>
    <row r="5479" spans="5:6" x14ac:dyDescent="0.35">
      <c r="E5479">
        <v>5476</v>
      </c>
      <c r="F5479">
        <f t="shared" ca="1" si="87"/>
        <v>-1.8745990533779865E-2</v>
      </c>
    </row>
    <row r="5480" spans="5:6" x14ac:dyDescent="0.35">
      <c r="E5480">
        <v>5477</v>
      </c>
      <c r="F5480">
        <f t="shared" ca="1" si="87"/>
        <v>-1.3197896151958391E-2</v>
      </c>
    </row>
    <row r="5481" spans="5:6" x14ac:dyDescent="0.35">
      <c r="E5481">
        <v>5478</v>
      </c>
      <c r="F5481">
        <f t="shared" ca="1" si="87"/>
        <v>1.5537078712684367E-2</v>
      </c>
    </row>
    <row r="5482" spans="5:6" x14ac:dyDescent="0.35">
      <c r="E5482">
        <v>5479</v>
      </c>
      <c r="F5482">
        <f t="shared" ca="1" si="87"/>
        <v>-5.4165727108826094E-3</v>
      </c>
    </row>
    <row r="5483" spans="5:6" x14ac:dyDescent="0.35">
      <c r="E5483">
        <v>5480</v>
      </c>
      <c r="F5483">
        <f t="shared" ca="1" si="87"/>
        <v>-1.5228603858965165E-2</v>
      </c>
    </row>
    <row r="5484" spans="5:6" x14ac:dyDescent="0.35">
      <c r="E5484">
        <v>5481</v>
      </c>
      <c r="F5484">
        <f t="shared" ca="1" si="87"/>
        <v>9.2653113636913705E-3</v>
      </c>
    </row>
    <row r="5485" spans="5:6" x14ac:dyDescent="0.35">
      <c r="E5485">
        <v>5482</v>
      </c>
      <c r="F5485">
        <f t="shared" ca="1" si="87"/>
        <v>1.5016823874728295E-2</v>
      </c>
    </row>
    <row r="5486" spans="5:6" x14ac:dyDescent="0.35">
      <c r="E5486">
        <v>5483</v>
      </c>
      <c r="F5486">
        <f t="shared" ca="1" si="87"/>
        <v>-3.5247295335458233E-3</v>
      </c>
    </row>
    <row r="5487" spans="5:6" x14ac:dyDescent="0.35">
      <c r="E5487">
        <v>5484</v>
      </c>
      <c r="F5487">
        <f t="shared" ca="1" si="87"/>
        <v>1.5557222264637571E-2</v>
      </c>
    </row>
    <row r="5488" spans="5:6" x14ac:dyDescent="0.35">
      <c r="E5488">
        <v>5485</v>
      </c>
      <c r="F5488">
        <f t="shared" ca="1" si="87"/>
        <v>1.328411877117886E-2</v>
      </c>
    </row>
    <row r="5489" spans="5:6" x14ac:dyDescent="0.35">
      <c r="E5489">
        <v>5486</v>
      </c>
      <c r="F5489">
        <f t="shared" ca="1" si="87"/>
        <v>2.3243728383702113E-2</v>
      </c>
    </row>
    <row r="5490" spans="5:6" x14ac:dyDescent="0.35">
      <c r="E5490">
        <v>5487</v>
      </c>
      <c r="F5490">
        <f t="shared" ca="1" si="87"/>
        <v>-2.6680588734834501E-3</v>
      </c>
    </row>
    <row r="5491" spans="5:6" x14ac:dyDescent="0.35">
      <c r="E5491">
        <v>5488</v>
      </c>
      <c r="F5491">
        <f t="shared" ca="1" si="87"/>
        <v>-1.1684040744807816E-2</v>
      </c>
    </row>
    <row r="5492" spans="5:6" x14ac:dyDescent="0.35">
      <c r="E5492">
        <v>5489</v>
      </c>
      <c r="F5492">
        <f t="shared" ca="1" si="87"/>
        <v>2.713154509141295E-2</v>
      </c>
    </row>
    <row r="5493" spans="5:6" x14ac:dyDescent="0.35">
      <c r="E5493">
        <v>5490</v>
      </c>
      <c r="F5493">
        <f t="shared" ca="1" si="87"/>
        <v>1.4721685680012812E-2</v>
      </c>
    </row>
    <row r="5494" spans="5:6" x14ac:dyDescent="0.35">
      <c r="E5494">
        <v>5491</v>
      </c>
      <c r="F5494">
        <f t="shared" ca="1" si="87"/>
        <v>-1.627384316870531E-2</v>
      </c>
    </row>
    <row r="5495" spans="5:6" x14ac:dyDescent="0.35">
      <c r="E5495">
        <v>5492</v>
      </c>
      <c r="F5495">
        <f t="shared" ca="1" si="87"/>
        <v>3.133867865453774E-3</v>
      </c>
    </row>
    <row r="5496" spans="5:6" x14ac:dyDescent="0.35">
      <c r="E5496">
        <v>5493</v>
      </c>
      <c r="F5496">
        <f t="shared" ca="1" si="87"/>
        <v>2.6109601370025444E-2</v>
      </c>
    </row>
    <row r="5497" spans="5:6" x14ac:dyDescent="0.35">
      <c r="E5497">
        <v>5494</v>
      </c>
      <c r="F5497">
        <f t="shared" ca="1" si="87"/>
        <v>-1.9803152141935433E-2</v>
      </c>
    </row>
    <row r="5498" spans="5:6" x14ac:dyDescent="0.35">
      <c r="E5498">
        <v>5495</v>
      </c>
      <c r="F5498">
        <f t="shared" ca="1" si="87"/>
        <v>3.1886778819133779E-2</v>
      </c>
    </row>
    <row r="5499" spans="5:6" x14ac:dyDescent="0.35">
      <c r="E5499">
        <v>5496</v>
      </c>
      <c r="F5499">
        <f t="shared" ca="1" si="87"/>
        <v>-1.9085266014886989E-3</v>
      </c>
    </row>
    <row r="5500" spans="5:6" x14ac:dyDescent="0.35">
      <c r="E5500">
        <v>5497</v>
      </c>
      <c r="F5500">
        <f t="shared" ca="1" si="87"/>
        <v>-2.4633164582898933E-2</v>
      </c>
    </row>
    <row r="5501" spans="5:6" x14ac:dyDescent="0.35">
      <c r="E5501">
        <v>5498</v>
      </c>
      <c r="F5501">
        <f t="shared" ca="1" si="87"/>
        <v>1.415047696287172E-2</v>
      </c>
    </row>
    <row r="5502" spans="5:6" x14ac:dyDescent="0.35">
      <c r="E5502">
        <v>5499</v>
      </c>
      <c r="F5502">
        <f t="shared" ca="1" si="87"/>
        <v>3.1995595015314862E-2</v>
      </c>
    </row>
    <row r="5503" spans="5:6" x14ac:dyDescent="0.35">
      <c r="E5503">
        <v>5500</v>
      </c>
      <c r="F5503">
        <f t="shared" ca="1" si="87"/>
        <v>-9.4845538036609084E-3</v>
      </c>
    </row>
    <row r="5504" spans="5:6" x14ac:dyDescent="0.35">
      <c r="E5504">
        <v>5501</v>
      </c>
      <c r="F5504">
        <f t="shared" ca="1" si="87"/>
        <v>-1.3772611307306318E-2</v>
      </c>
    </row>
    <row r="5505" spans="5:6" x14ac:dyDescent="0.35">
      <c r="E5505">
        <v>5502</v>
      </c>
      <c r="F5505">
        <f t="shared" ca="1" si="87"/>
        <v>-4.0646324319146025E-3</v>
      </c>
    </row>
    <row r="5506" spans="5:6" x14ac:dyDescent="0.35">
      <c r="E5506">
        <v>5503</v>
      </c>
      <c r="F5506">
        <f t="shared" ca="1" si="87"/>
        <v>-2.6561925484364346E-3</v>
      </c>
    </row>
    <row r="5507" spans="5:6" x14ac:dyDescent="0.35">
      <c r="E5507">
        <v>5504</v>
      </c>
      <c r="F5507">
        <f t="shared" ca="1" si="87"/>
        <v>-2.6841990870381499E-2</v>
      </c>
    </row>
    <row r="5508" spans="5:6" x14ac:dyDescent="0.35">
      <c r="E5508">
        <v>5505</v>
      </c>
      <c r="F5508">
        <f t="shared" ca="1" si="87"/>
        <v>-1.8236384557993954E-2</v>
      </c>
    </row>
    <row r="5509" spans="5:6" x14ac:dyDescent="0.35">
      <c r="E5509">
        <v>5506</v>
      </c>
      <c r="F5509">
        <f t="shared" ref="F5509:F5572" ca="1" si="88">_xlfn.NORM.INV(RAND(),M$6,M$7)</f>
        <v>-1.0241274481656165E-3</v>
      </c>
    </row>
    <row r="5510" spans="5:6" x14ac:dyDescent="0.35">
      <c r="E5510">
        <v>5507</v>
      </c>
      <c r="F5510">
        <f t="shared" ca="1" si="88"/>
        <v>-9.7615949532448461E-3</v>
      </c>
    </row>
    <row r="5511" spans="5:6" x14ac:dyDescent="0.35">
      <c r="E5511">
        <v>5508</v>
      </c>
      <c r="F5511">
        <f t="shared" ca="1" si="88"/>
        <v>-1.606277230918559E-2</v>
      </c>
    </row>
    <row r="5512" spans="5:6" x14ac:dyDescent="0.35">
      <c r="E5512">
        <v>5509</v>
      </c>
      <c r="F5512">
        <f t="shared" ca="1" si="88"/>
        <v>-3.4430434220767157E-2</v>
      </c>
    </row>
    <row r="5513" spans="5:6" x14ac:dyDescent="0.35">
      <c r="E5513">
        <v>5510</v>
      </c>
      <c r="F5513">
        <f t="shared" ca="1" si="88"/>
        <v>1.3923645941690344E-2</v>
      </c>
    </row>
    <row r="5514" spans="5:6" x14ac:dyDescent="0.35">
      <c r="E5514">
        <v>5511</v>
      </c>
      <c r="F5514">
        <f t="shared" ca="1" si="88"/>
        <v>-6.4545470984922141E-3</v>
      </c>
    </row>
    <row r="5515" spans="5:6" x14ac:dyDescent="0.35">
      <c r="E5515">
        <v>5512</v>
      </c>
      <c r="F5515">
        <f t="shared" ca="1" si="88"/>
        <v>-1.4341875316351723E-2</v>
      </c>
    </row>
    <row r="5516" spans="5:6" x14ac:dyDescent="0.35">
      <c r="E5516">
        <v>5513</v>
      </c>
      <c r="F5516">
        <f t="shared" ca="1" si="88"/>
        <v>-2.8467078671789653E-3</v>
      </c>
    </row>
    <row r="5517" spans="5:6" x14ac:dyDescent="0.35">
      <c r="E5517">
        <v>5514</v>
      </c>
      <c r="F5517">
        <f t="shared" ca="1" si="88"/>
        <v>-2.2221324892938342E-2</v>
      </c>
    </row>
    <row r="5518" spans="5:6" x14ac:dyDescent="0.35">
      <c r="E5518">
        <v>5515</v>
      </c>
      <c r="F5518">
        <f t="shared" ca="1" si="88"/>
        <v>-2.09783220995493E-2</v>
      </c>
    </row>
    <row r="5519" spans="5:6" x14ac:dyDescent="0.35">
      <c r="E5519">
        <v>5516</v>
      </c>
      <c r="F5519">
        <f t="shared" ca="1" si="88"/>
        <v>-1.8204492292621919E-2</v>
      </c>
    </row>
    <row r="5520" spans="5:6" x14ac:dyDescent="0.35">
      <c r="E5520">
        <v>5517</v>
      </c>
      <c r="F5520">
        <f t="shared" ca="1" si="88"/>
        <v>-2.7075929015757842E-2</v>
      </c>
    </row>
    <row r="5521" spans="5:6" x14ac:dyDescent="0.35">
      <c r="E5521">
        <v>5518</v>
      </c>
      <c r="F5521">
        <f t="shared" ca="1" si="88"/>
        <v>3.6918583533020618E-3</v>
      </c>
    </row>
    <row r="5522" spans="5:6" x14ac:dyDescent="0.35">
      <c r="E5522">
        <v>5519</v>
      </c>
      <c r="F5522">
        <f t="shared" ca="1" si="88"/>
        <v>8.1261925766072714E-3</v>
      </c>
    </row>
    <row r="5523" spans="5:6" x14ac:dyDescent="0.35">
      <c r="E5523">
        <v>5520</v>
      </c>
      <c r="F5523">
        <f t="shared" ca="1" si="88"/>
        <v>-1.3956026981753251E-2</v>
      </c>
    </row>
    <row r="5524" spans="5:6" x14ac:dyDescent="0.35">
      <c r="E5524">
        <v>5521</v>
      </c>
      <c r="F5524">
        <f t="shared" ca="1" si="88"/>
        <v>-5.3237849243698409E-3</v>
      </c>
    </row>
    <row r="5525" spans="5:6" x14ac:dyDescent="0.35">
      <c r="E5525">
        <v>5522</v>
      </c>
      <c r="F5525">
        <f t="shared" ca="1" si="88"/>
        <v>4.5046746365180355E-4</v>
      </c>
    </row>
    <row r="5526" spans="5:6" x14ac:dyDescent="0.35">
      <c r="E5526">
        <v>5523</v>
      </c>
      <c r="F5526">
        <f t="shared" ca="1" si="88"/>
        <v>-8.4498996928787096E-3</v>
      </c>
    </row>
    <row r="5527" spans="5:6" x14ac:dyDescent="0.35">
      <c r="E5527">
        <v>5524</v>
      </c>
      <c r="F5527">
        <f t="shared" ca="1" si="88"/>
        <v>2.5285088709772127E-2</v>
      </c>
    </row>
    <row r="5528" spans="5:6" x14ac:dyDescent="0.35">
      <c r="E5528">
        <v>5525</v>
      </c>
      <c r="F5528">
        <f t="shared" ca="1" si="88"/>
        <v>-8.056684044448599E-3</v>
      </c>
    </row>
    <row r="5529" spans="5:6" x14ac:dyDescent="0.35">
      <c r="E5529">
        <v>5526</v>
      </c>
      <c r="F5529">
        <f t="shared" ca="1" si="88"/>
        <v>9.9030291761785169E-3</v>
      </c>
    </row>
    <row r="5530" spans="5:6" x14ac:dyDescent="0.35">
      <c r="E5530">
        <v>5527</v>
      </c>
      <c r="F5530">
        <f t="shared" ca="1" si="88"/>
        <v>-3.5938279620466203E-3</v>
      </c>
    </row>
    <row r="5531" spans="5:6" x14ac:dyDescent="0.35">
      <c r="E5531">
        <v>5528</v>
      </c>
      <c r="F5531">
        <f t="shared" ca="1" si="88"/>
        <v>-1.7637669208264593E-3</v>
      </c>
    </row>
    <row r="5532" spans="5:6" x14ac:dyDescent="0.35">
      <c r="E5532">
        <v>5529</v>
      </c>
      <c r="F5532">
        <f t="shared" ca="1" si="88"/>
        <v>2.0385558733813209E-3</v>
      </c>
    </row>
    <row r="5533" spans="5:6" x14ac:dyDescent="0.35">
      <c r="E5533">
        <v>5530</v>
      </c>
      <c r="F5533">
        <f t="shared" ca="1" si="88"/>
        <v>3.0935937075346791E-2</v>
      </c>
    </row>
    <row r="5534" spans="5:6" x14ac:dyDescent="0.35">
      <c r="E5534">
        <v>5531</v>
      </c>
      <c r="F5534">
        <f t="shared" ca="1" si="88"/>
        <v>4.8535355786701734E-3</v>
      </c>
    </row>
    <row r="5535" spans="5:6" x14ac:dyDescent="0.35">
      <c r="E5535">
        <v>5532</v>
      </c>
      <c r="F5535">
        <f t="shared" ca="1" si="88"/>
        <v>-1.6723235519998266E-2</v>
      </c>
    </row>
    <row r="5536" spans="5:6" x14ac:dyDescent="0.35">
      <c r="E5536">
        <v>5533</v>
      </c>
      <c r="F5536">
        <f t="shared" ca="1" si="88"/>
        <v>-2.2819244354858659E-2</v>
      </c>
    </row>
    <row r="5537" spans="5:6" x14ac:dyDescent="0.35">
      <c r="E5537">
        <v>5534</v>
      </c>
      <c r="F5537">
        <f t="shared" ca="1" si="88"/>
        <v>-2.5482333760638277E-3</v>
      </c>
    </row>
    <row r="5538" spans="5:6" x14ac:dyDescent="0.35">
      <c r="E5538">
        <v>5535</v>
      </c>
      <c r="F5538">
        <f t="shared" ca="1" si="88"/>
        <v>4.7578087598281202E-3</v>
      </c>
    </row>
    <row r="5539" spans="5:6" x14ac:dyDescent="0.35">
      <c r="E5539">
        <v>5536</v>
      </c>
      <c r="F5539">
        <f t="shared" ca="1" si="88"/>
        <v>4.4595252141649269E-3</v>
      </c>
    </row>
    <row r="5540" spans="5:6" x14ac:dyDescent="0.35">
      <c r="E5540">
        <v>5537</v>
      </c>
      <c r="F5540">
        <f t="shared" ca="1" si="88"/>
        <v>-2.1648141483648221E-2</v>
      </c>
    </row>
    <row r="5541" spans="5:6" x14ac:dyDescent="0.35">
      <c r="E5541">
        <v>5538</v>
      </c>
      <c r="F5541">
        <f t="shared" ca="1" si="88"/>
        <v>-1.7471629295573752E-2</v>
      </c>
    </row>
    <row r="5542" spans="5:6" x14ac:dyDescent="0.35">
      <c r="E5542">
        <v>5539</v>
      </c>
      <c r="F5542">
        <f t="shared" ca="1" si="88"/>
        <v>3.074389575909412E-3</v>
      </c>
    </row>
    <row r="5543" spans="5:6" x14ac:dyDescent="0.35">
      <c r="E5543">
        <v>5540</v>
      </c>
      <c r="F5543">
        <f t="shared" ca="1" si="88"/>
        <v>-1.2515342791390294E-2</v>
      </c>
    </row>
    <row r="5544" spans="5:6" x14ac:dyDescent="0.35">
      <c r="E5544">
        <v>5541</v>
      </c>
      <c r="F5544">
        <f t="shared" ca="1" si="88"/>
        <v>-1.5083255695628619E-2</v>
      </c>
    </row>
    <row r="5545" spans="5:6" x14ac:dyDescent="0.35">
      <c r="E5545">
        <v>5542</v>
      </c>
      <c r="F5545">
        <f t="shared" ca="1" si="88"/>
        <v>1.1549369102986175E-2</v>
      </c>
    </row>
    <row r="5546" spans="5:6" x14ac:dyDescent="0.35">
      <c r="E5546">
        <v>5543</v>
      </c>
      <c r="F5546">
        <f t="shared" ca="1" si="88"/>
        <v>-2.4116878139416073E-3</v>
      </c>
    </row>
    <row r="5547" spans="5:6" x14ac:dyDescent="0.35">
      <c r="E5547">
        <v>5544</v>
      </c>
      <c r="F5547">
        <f t="shared" ca="1" si="88"/>
        <v>-1.3451661623451438E-2</v>
      </c>
    </row>
    <row r="5548" spans="5:6" x14ac:dyDescent="0.35">
      <c r="E5548">
        <v>5545</v>
      </c>
      <c r="F5548">
        <f t="shared" ca="1" si="88"/>
        <v>1.0702328521913659E-2</v>
      </c>
    </row>
    <row r="5549" spans="5:6" x14ac:dyDescent="0.35">
      <c r="E5549">
        <v>5546</v>
      </c>
      <c r="F5549">
        <f t="shared" ca="1" si="88"/>
        <v>-6.2052723860796079E-3</v>
      </c>
    </row>
    <row r="5550" spans="5:6" x14ac:dyDescent="0.35">
      <c r="E5550">
        <v>5547</v>
      </c>
      <c r="F5550">
        <f t="shared" ca="1" si="88"/>
        <v>-9.0761737360683763E-3</v>
      </c>
    </row>
    <row r="5551" spans="5:6" x14ac:dyDescent="0.35">
      <c r="E5551">
        <v>5548</v>
      </c>
      <c r="F5551">
        <f t="shared" ca="1" si="88"/>
        <v>2.148681762903273E-2</v>
      </c>
    </row>
    <row r="5552" spans="5:6" x14ac:dyDescent="0.35">
      <c r="E5552">
        <v>5549</v>
      </c>
      <c r="F5552">
        <f t="shared" ca="1" si="88"/>
        <v>-2.5041150635970979E-2</v>
      </c>
    </row>
    <row r="5553" spans="5:6" x14ac:dyDescent="0.35">
      <c r="E5553">
        <v>5550</v>
      </c>
      <c r="F5553">
        <f t="shared" ca="1" si="88"/>
        <v>2.0672697819763735E-3</v>
      </c>
    </row>
    <row r="5554" spans="5:6" x14ac:dyDescent="0.35">
      <c r="E5554">
        <v>5551</v>
      </c>
      <c r="F5554">
        <f t="shared" ca="1" si="88"/>
        <v>-1.3553418144497276E-2</v>
      </c>
    </row>
    <row r="5555" spans="5:6" x14ac:dyDescent="0.35">
      <c r="E5555">
        <v>5552</v>
      </c>
      <c r="F5555">
        <f t="shared" ca="1" si="88"/>
        <v>1.6885589029444353E-2</v>
      </c>
    </row>
    <row r="5556" spans="5:6" x14ac:dyDescent="0.35">
      <c r="E5556">
        <v>5553</v>
      </c>
      <c r="F5556">
        <f t="shared" ca="1" si="88"/>
        <v>4.8678847496979602E-3</v>
      </c>
    </row>
    <row r="5557" spans="5:6" x14ac:dyDescent="0.35">
      <c r="E5557">
        <v>5554</v>
      </c>
      <c r="F5557">
        <f t="shared" ca="1" si="88"/>
        <v>3.3181596008581664E-2</v>
      </c>
    </row>
    <row r="5558" spans="5:6" x14ac:dyDescent="0.35">
      <c r="E5558">
        <v>5555</v>
      </c>
      <c r="F5558">
        <f t="shared" ca="1" si="88"/>
        <v>-3.1962106253349853E-3</v>
      </c>
    </row>
    <row r="5559" spans="5:6" x14ac:dyDescent="0.35">
      <c r="E5559">
        <v>5556</v>
      </c>
      <c r="F5559">
        <f t="shared" ca="1" si="88"/>
        <v>-1.5450739313893447E-2</v>
      </c>
    </row>
    <row r="5560" spans="5:6" x14ac:dyDescent="0.35">
      <c r="E5560">
        <v>5557</v>
      </c>
      <c r="F5560">
        <f t="shared" ca="1" si="88"/>
        <v>-1.3657098709354056E-2</v>
      </c>
    </row>
    <row r="5561" spans="5:6" x14ac:dyDescent="0.35">
      <c r="E5561">
        <v>5558</v>
      </c>
      <c r="F5561">
        <f t="shared" ca="1" si="88"/>
        <v>-2.2459655885686311E-2</v>
      </c>
    </row>
    <row r="5562" spans="5:6" x14ac:dyDescent="0.35">
      <c r="E5562">
        <v>5559</v>
      </c>
      <c r="F5562">
        <f t="shared" ca="1" si="88"/>
        <v>1.0867737467613827E-2</v>
      </c>
    </row>
    <row r="5563" spans="5:6" x14ac:dyDescent="0.35">
      <c r="E5563">
        <v>5560</v>
      </c>
      <c r="F5563">
        <f t="shared" ca="1" si="88"/>
        <v>1.2213684603536305E-2</v>
      </c>
    </row>
    <row r="5564" spans="5:6" x14ac:dyDescent="0.35">
      <c r="E5564">
        <v>5561</v>
      </c>
      <c r="F5564">
        <f t="shared" ca="1" si="88"/>
        <v>9.8276396560005464E-3</v>
      </c>
    </row>
    <row r="5565" spans="5:6" x14ac:dyDescent="0.35">
      <c r="E5565">
        <v>5562</v>
      </c>
      <c r="F5565">
        <f t="shared" ca="1" si="88"/>
        <v>-4.5649982313688593E-4</v>
      </c>
    </row>
    <row r="5566" spans="5:6" x14ac:dyDescent="0.35">
      <c r="E5566">
        <v>5563</v>
      </c>
      <c r="F5566">
        <f t="shared" ca="1" si="88"/>
        <v>3.6153588358256702E-2</v>
      </c>
    </row>
    <row r="5567" spans="5:6" x14ac:dyDescent="0.35">
      <c r="E5567">
        <v>5564</v>
      </c>
      <c r="F5567">
        <f t="shared" ca="1" si="88"/>
        <v>-3.8564736560292188E-3</v>
      </c>
    </row>
    <row r="5568" spans="5:6" x14ac:dyDescent="0.35">
      <c r="E5568">
        <v>5565</v>
      </c>
      <c r="F5568">
        <f t="shared" ca="1" si="88"/>
        <v>2.7716264310249906E-2</v>
      </c>
    </row>
    <row r="5569" spans="5:6" x14ac:dyDescent="0.35">
      <c r="E5569">
        <v>5566</v>
      </c>
      <c r="F5569">
        <f t="shared" ca="1" si="88"/>
        <v>-1.7079785465203747E-2</v>
      </c>
    </row>
    <row r="5570" spans="5:6" x14ac:dyDescent="0.35">
      <c r="E5570">
        <v>5567</v>
      </c>
      <c r="F5570">
        <f t="shared" ca="1" si="88"/>
        <v>-6.8375745767888354E-3</v>
      </c>
    </row>
    <row r="5571" spans="5:6" x14ac:dyDescent="0.35">
      <c r="E5571">
        <v>5568</v>
      </c>
      <c r="F5571">
        <f t="shared" ca="1" si="88"/>
        <v>-2.3738108011579495E-2</v>
      </c>
    </row>
    <row r="5572" spans="5:6" x14ac:dyDescent="0.35">
      <c r="E5572">
        <v>5569</v>
      </c>
      <c r="F5572">
        <f t="shared" ca="1" si="88"/>
        <v>-2.0262760563976578E-3</v>
      </c>
    </row>
    <row r="5573" spans="5:6" x14ac:dyDescent="0.35">
      <c r="E5573">
        <v>5570</v>
      </c>
      <c r="F5573">
        <f t="shared" ref="F5573:F5636" ca="1" si="89">_xlfn.NORM.INV(RAND(),M$6,M$7)</f>
        <v>6.9458012820105899E-3</v>
      </c>
    </row>
    <row r="5574" spans="5:6" x14ac:dyDescent="0.35">
      <c r="E5574">
        <v>5571</v>
      </c>
      <c r="F5574">
        <f t="shared" ca="1" si="89"/>
        <v>2.3632520278425283E-2</v>
      </c>
    </row>
    <row r="5575" spans="5:6" x14ac:dyDescent="0.35">
      <c r="E5575">
        <v>5572</v>
      </c>
      <c r="F5575">
        <f t="shared" ca="1" si="89"/>
        <v>-2.2775678641654654E-2</v>
      </c>
    </row>
    <row r="5576" spans="5:6" x14ac:dyDescent="0.35">
      <c r="E5576">
        <v>5573</v>
      </c>
      <c r="F5576">
        <f t="shared" ca="1" si="89"/>
        <v>-2.2147558005035958E-3</v>
      </c>
    </row>
    <row r="5577" spans="5:6" x14ac:dyDescent="0.35">
      <c r="E5577">
        <v>5574</v>
      </c>
      <c r="F5577">
        <f t="shared" ca="1" si="89"/>
        <v>-1.8937110543289998E-3</v>
      </c>
    </row>
    <row r="5578" spans="5:6" x14ac:dyDescent="0.35">
      <c r="E5578">
        <v>5575</v>
      </c>
      <c r="F5578">
        <f t="shared" ca="1" si="89"/>
        <v>2.1698591661365101E-2</v>
      </c>
    </row>
    <row r="5579" spans="5:6" x14ac:dyDescent="0.35">
      <c r="E5579">
        <v>5576</v>
      </c>
      <c r="F5579">
        <f t="shared" ca="1" si="89"/>
        <v>-1.5026872159557383E-2</v>
      </c>
    </row>
    <row r="5580" spans="5:6" x14ac:dyDescent="0.35">
      <c r="E5580">
        <v>5577</v>
      </c>
      <c r="F5580">
        <f t="shared" ca="1" si="89"/>
        <v>1.0439382837502825E-2</v>
      </c>
    </row>
    <row r="5581" spans="5:6" x14ac:dyDescent="0.35">
      <c r="E5581">
        <v>5578</v>
      </c>
      <c r="F5581">
        <f t="shared" ca="1" si="89"/>
        <v>1.0912593946341134E-2</v>
      </c>
    </row>
    <row r="5582" spans="5:6" x14ac:dyDescent="0.35">
      <c r="E5582">
        <v>5579</v>
      </c>
      <c r="F5582">
        <f t="shared" ca="1" si="89"/>
        <v>-7.5702404533740022E-3</v>
      </c>
    </row>
    <row r="5583" spans="5:6" x14ac:dyDescent="0.35">
      <c r="E5583">
        <v>5580</v>
      </c>
      <c r="F5583">
        <f t="shared" ca="1" si="89"/>
        <v>-1.1042939348259907E-2</v>
      </c>
    </row>
    <row r="5584" spans="5:6" x14ac:dyDescent="0.35">
      <c r="E5584">
        <v>5581</v>
      </c>
      <c r="F5584">
        <f t="shared" ca="1" si="89"/>
        <v>1.1226780738881651E-2</v>
      </c>
    </row>
    <row r="5585" spans="5:6" x14ac:dyDescent="0.35">
      <c r="E5585">
        <v>5582</v>
      </c>
      <c r="F5585">
        <f t="shared" ca="1" si="89"/>
        <v>-9.8543580979444188E-3</v>
      </c>
    </row>
    <row r="5586" spans="5:6" x14ac:dyDescent="0.35">
      <c r="E5586">
        <v>5583</v>
      </c>
      <c r="F5586">
        <f t="shared" ca="1" si="89"/>
        <v>-7.9529703361503681E-3</v>
      </c>
    </row>
    <row r="5587" spans="5:6" x14ac:dyDescent="0.35">
      <c r="E5587">
        <v>5584</v>
      </c>
      <c r="F5587">
        <f t="shared" ca="1" si="89"/>
        <v>-1.1901019579443603E-2</v>
      </c>
    </row>
    <row r="5588" spans="5:6" x14ac:dyDescent="0.35">
      <c r="E5588">
        <v>5585</v>
      </c>
      <c r="F5588">
        <f t="shared" ca="1" si="89"/>
        <v>-1.3552569650124574E-2</v>
      </c>
    </row>
    <row r="5589" spans="5:6" x14ac:dyDescent="0.35">
      <c r="E5589">
        <v>5586</v>
      </c>
      <c r="F5589">
        <f t="shared" ca="1" si="89"/>
        <v>-2.3679694924577003E-2</v>
      </c>
    </row>
    <row r="5590" spans="5:6" x14ac:dyDescent="0.35">
      <c r="E5590">
        <v>5587</v>
      </c>
      <c r="F5590">
        <f t="shared" ca="1" si="89"/>
        <v>-8.4206812106329739E-3</v>
      </c>
    </row>
    <row r="5591" spans="5:6" x14ac:dyDescent="0.35">
      <c r="E5591">
        <v>5588</v>
      </c>
      <c r="F5591">
        <f t="shared" ca="1" si="89"/>
        <v>9.9978971996317143E-3</v>
      </c>
    </row>
    <row r="5592" spans="5:6" x14ac:dyDescent="0.35">
      <c r="E5592">
        <v>5589</v>
      </c>
      <c r="F5592">
        <f t="shared" ca="1" si="89"/>
        <v>-2.3894011762474084E-3</v>
      </c>
    </row>
    <row r="5593" spans="5:6" x14ac:dyDescent="0.35">
      <c r="E5593">
        <v>5590</v>
      </c>
      <c r="F5593">
        <f t="shared" ca="1" si="89"/>
        <v>8.1532808150481129E-3</v>
      </c>
    </row>
    <row r="5594" spans="5:6" x14ac:dyDescent="0.35">
      <c r="E5594">
        <v>5591</v>
      </c>
      <c r="F5594">
        <f t="shared" ca="1" si="89"/>
        <v>1.1010265936073048E-3</v>
      </c>
    </row>
    <row r="5595" spans="5:6" x14ac:dyDescent="0.35">
      <c r="E5595">
        <v>5592</v>
      </c>
      <c r="F5595">
        <f t="shared" ca="1" si="89"/>
        <v>-1.6994287065481579E-2</v>
      </c>
    </row>
    <row r="5596" spans="5:6" x14ac:dyDescent="0.35">
      <c r="E5596">
        <v>5593</v>
      </c>
      <c r="F5596">
        <f t="shared" ca="1" si="89"/>
        <v>-6.2207887970636509E-3</v>
      </c>
    </row>
    <row r="5597" spans="5:6" x14ac:dyDescent="0.35">
      <c r="E5597">
        <v>5594</v>
      </c>
      <c r="F5597">
        <f t="shared" ca="1" si="89"/>
        <v>-2.5443272549648486E-3</v>
      </c>
    </row>
    <row r="5598" spans="5:6" x14ac:dyDescent="0.35">
      <c r="E5598">
        <v>5595</v>
      </c>
      <c r="F5598">
        <f t="shared" ca="1" si="89"/>
        <v>1.3101889472917978E-2</v>
      </c>
    </row>
    <row r="5599" spans="5:6" x14ac:dyDescent="0.35">
      <c r="E5599">
        <v>5596</v>
      </c>
      <c r="F5599">
        <f t="shared" ca="1" si="89"/>
        <v>2.3721612274584837E-4</v>
      </c>
    </row>
    <row r="5600" spans="5:6" x14ac:dyDescent="0.35">
      <c r="E5600">
        <v>5597</v>
      </c>
      <c r="F5600">
        <f t="shared" ca="1" si="89"/>
        <v>-2.8364690591679707E-2</v>
      </c>
    </row>
    <row r="5601" spans="5:6" x14ac:dyDescent="0.35">
      <c r="E5601">
        <v>5598</v>
      </c>
      <c r="F5601">
        <f t="shared" ca="1" si="89"/>
        <v>2.8224964749558525E-2</v>
      </c>
    </row>
    <row r="5602" spans="5:6" x14ac:dyDescent="0.35">
      <c r="E5602">
        <v>5599</v>
      </c>
      <c r="F5602">
        <f t="shared" ca="1" si="89"/>
        <v>1.3798206804249964E-2</v>
      </c>
    </row>
    <row r="5603" spans="5:6" x14ac:dyDescent="0.35">
      <c r="E5603">
        <v>5600</v>
      </c>
      <c r="F5603">
        <f t="shared" ca="1" si="89"/>
        <v>-2.3069276404048183E-2</v>
      </c>
    </row>
    <row r="5604" spans="5:6" x14ac:dyDescent="0.35">
      <c r="E5604">
        <v>5601</v>
      </c>
      <c r="F5604">
        <f t="shared" ca="1" si="89"/>
        <v>-3.5070101356951466E-3</v>
      </c>
    </row>
    <row r="5605" spans="5:6" x14ac:dyDescent="0.35">
      <c r="E5605">
        <v>5602</v>
      </c>
      <c r="F5605">
        <f t="shared" ca="1" si="89"/>
        <v>-1.3507410564997872E-3</v>
      </c>
    </row>
    <row r="5606" spans="5:6" x14ac:dyDescent="0.35">
      <c r="E5606">
        <v>5603</v>
      </c>
      <c r="F5606">
        <f t="shared" ca="1" si="89"/>
        <v>-6.3730662199575202E-3</v>
      </c>
    </row>
    <row r="5607" spans="5:6" x14ac:dyDescent="0.35">
      <c r="E5607">
        <v>5604</v>
      </c>
      <c r="F5607">
        <f t="shared" ca="1" si="89"/>
        <v>-5.8374106340252458E-3</v>
      </c>
    </row>
    <row r="5608" spans="5:6" x14ac:dyDescent="0.35">
      <c r="E5608">
        <v>5605</v>
      </c>
      <c r="F5608">
        <f t="shared" ca="1" si="89"/>
        <v>4.4373046477083154E-3</v>
      </c>
    </row>
    <row r="5609" spans="5:6" x14ac:dyDescent="0.35">
      <c r="E5609">
        <v>5606</v>
      </c>
      <c r="F5609">
        <f t="shared" ca="1" si="89"/>
        <v>1.7178788155395808E-2</v>
      </c>
    </row>
    <row r="5610" spans="5:6" x14ac:dyDescent="0.35">
      <c r="E5610">
        <v>5607</v>
      </c>
      <c r="F5610">
        <f t="shared" ca="1" si="89"/>
        <v>1.0009760674990466E-2</v>
      </c>
    </row>
    <row r="5611" spans="5:6" x14ac:dyDescent="0.35">
      <c r="E5611">
        <v>5608</v>
      </c>
      <c r="F5611">
        <f t="shared" ca="1" si="89"/>
        <v>2.660561936419039E-2</v>
      </c>
    </row>
    <row r="5612" spans="5:6" x14ac:dyDescent="0.35">
      <c r="E5612">
        <v>5609</v>
      </c>
      <c r="F5612">
        <f t="shared" ca="1" si="89"/>
        <v>8.7126126481885911E-3</v>
      </c>
    </row>
    <row r="5613" spans="5:6" x14ac:dyDescent="0.35">
      <c r="E5613">
        <v>5610</v>
      </c>
      <c r="F5613">
        <f t="shared" ca="1" si="89"/>
        <v>-1.9125500659194902E-3</v>
      </c>
    </row>
    <row r="5614" spans="5:6" x14ac:dyDescent="0.35">
      <c r="E5614">
        <v>5611</v>
      </c>
      <c r="F5614">
        <f t="shared" ca="1" si="89"/>
        <v>1.7610149059108467E-2</v>
      </c>
    </row>
    <row r="5615" spans="5:6" x14ac:dyDescent="0.35">
      <c r="E5615">
        <v>5612</v>
      </c>
      <c r="F5615">
        <f t="shared" ca="1" si="89"/>
        <v>4.5301422914886258E-3</v>
      </c>
    </row>
    <row r="5616" spans="5:6" x14ac:dyDescent="0.35">
      <c r="E5616">
        <v>5613</v>
      </c>
      <c r="F5616">
        <f t="shared" ca="1" si="89"/>
        <v>-3.354818815267481E-2</v>
      </c>
    </row>
    <row r="5617" spans="5:6" x14ac:dyDescent="0.35">
      <c r="E5617">
        <v>5614</v>
      </c>
      <c r="F5617">
        <f t="shared" ca="1" si="89"/>
        <v>-1.7940435763132553E-3</v>
      </c>
    </row>
    <row r="5618" spans="5:6" x14ac:dyDescent="0.35">
      <c r="E5618">
        <v>5615</v>
      </c>
      <c r="F5618">
        <f t="shared" ca="1" si="89"/>
        <v>-1.8174824919636658E-2</v>
      </c>
    </row>
    <row r="5619" spans="5:6" x14ac:dyDescent="0.35">
      <c r="E5619">
        <v>5616</v>
      </c>
      <c r="F5619">
        <f t="shared" ca="1" si="89"/>
        <v>3.0059541309448084E-2</v>
      </c>
    </row>
    <row r="5620" spans="5:6" x14ac:dyDescent="0.35">
      <c r="E5620">
        <v>5617</v>
      </c>
      <c r="F5620">
        <f t="shared" ca="1" si="89"/>
        <v>-1.3564666999036421E-2</v>
      </c>
    </row>
    <row r="5621" spans="5:6" x14ac:dyDescent="0.35">
      <c r="E5621">
        <v>5618</v>
      </c>
      <c r="F5621">
        <f t="shared" ca="1" si="89"/>
        <v>-1.7288142207148138E-2</v>
      </c>
    </row>
    <row r="5622" spans="5:6" x14ac:dyDescent="0.35">
      <c r="E5622">
        <v>5619</v>
      </c>
      <c r="F5622">
        <f t="shared" ca="1" si="89"/>
        <v>7.7678225477966906E-3</v>
      </c>
    </row>
    <row r="5623" spans="5:6" x14ac:dyDescent="0.35">
      <c r="E5623">
        <v>5620</v>
      </c>
      <c r="F5623">
        <f t="shared" ca="1" si="89"/>
        <v>1.3870580989383183E-3</v>
      </c>
    </row>
    <row r="5624" spans="5:6" x14ac:dyDescent="0.35">
      <c r="E5624">
        <v>5621</v>
      </c>
      <c r="F5624">
        <f t="shared" ca="1" si="89"/>
        <v>2.8096977158409361E-2</v>
      </c>
    </row>
    <row r="5625" spans="5:6" x14ac:dyDescent="0.35">
      <c r="E5625">
        <v>5622</v>
      </c>
      <c r="F5625">
        <f t="shared" ca="1" si="89"/>
        <v>-2.3925670588050901E-3</v>
      </c>
    </row>
    <row r="5626" spans="5:6" x14ac:dyDescent="0.35">
      <c r="E5626">
        <v>5623</v>
      </c>
      <c r="F5626">
        <f t="shared" ca="1" si="89"/>
        <v>2.122112588619016E-2</v>
      </c>
    </row>
    <row r="5627" spans="5:6" x14ac:dyDescent="0.35">
      <c r="E5627">
        <v>5624</v>
      </c>
      <c r="F5627">
        <f t="shared" ca="1" si="89"/>
        <v>-1.2113618578594044E-2</v>
      </c>
    </row>
    <row r="5628" spans="5:6" x14ac:dyDescent="0.35">
      <c r="E5628">
        <v>5625</v>
      </c>
      <c r="F5628">
        <f t="shared" ca="1" si="89"/>
        <v>-1.8630774759520845E-2</v>
      </c>
    </row>
    <row r="5629" spans="5:6" x14ac:dyDescent="0.35">
      <c r="E5629">
        <v>5626</v>
      </c>
      <c r="F5629">
        <f t="shared" ca="1" si="89"/>
        <v>-2.347251086581767E-2</v>
      </c>
    </row>
    <row r="5630" spans="5:6" x14ac:dyDescent="0.35">
      <c r="E5630">
        <v>5627</v>
      </c>
      <c r="F5630">
        <f t="shared" ca="1" si="89"/>
        <v>-3.5634909202543604E-3</v>
      </c>
    </row>
    <row r="5631" spans="5:6" x14ac:dyDescent="0.35">
      <c r="E5631">
        <v>5628</v>
      </c>
      <c r="F5631">
        <f t="shared" ca="1" si="89"/>
        <v>1.6660752603801062E-2</v>
      </c>
    </row>
    <row r="5632" spans="5:6" x14ac:dyDescent="0.35">
      <c r="E5632">
        <v>5629</v>
      </c>
      <c r="F5632">
        <f t="shared" ca="1" si="89"/>
        <v>-1.7986412253443336E-2</v>
      </c>
    </row>
    <row r="5633" spans="5:6" x14ac:dyDescent="0.35">
      <c r="E5633">
        <v>5630</v>
      </c>
      <c r="F5633">
        <f t="shared" ca="1" si="89"/>
        <v>-7.0939153812694554E-3</v>
      </c>
    </row>
    <row r="5634" spans="5:6" x14ac:dyDescent="0.35">
      <c r="E5634">
        <v>5631</v>
      </c>
      <c r="F5634">
        <f t="shared" ca="1" si="89"/>
        <v>-2.1478827693668292E-3</v>
      </c>
    </row>
    <row r="5635" spans="5:6" x14ac:dyDescent="0.35">
      <c r="E5635">
        <v>5632</v>
      </c>
      <c r="F5635">
        <f t="shared" ca="1" si="89"/>
        <v>2.4961615750060766E-2</v>
      </c>
    </row>
    <row r="5636" spans="5:6" x14ac:dyDescent="0.35">
      <c r="E5636">
        <v>5633</v>
      </c>
      <c r="F5636">
        <f t="shared" ca="1" si="89"/>
        <v>4.6029649708573955E-2</v>
      </c>
    </row>
    <row r="5637" spans="5:6" x14ac:dyDescent="0.35">
      <c r="E5637">
        <v>5634</v>
      </c>
      <c r="F5637">
        <f t="shared" ref="F5637:F5700" ca="1" si="90">_xlfn.NORM.INV(RAND(),M$6,M$7)</f>
        <v>2.050252535858374E-2</v>
      </c>
    </row>
    <row r="5638" spans="5:6" x14ac:dyDescent="0.35">
      <c r="E5638">
        <v>5635</v>
      </c>
      <c r="F5638">
        <f t="shared" ca="1" si="90"/>
        <v>-5.3248948404311033E-3</v>
      </c>
    </row>
    <row r="5639" spans="5:6" x14ac:dyDescent="0.35">
      <c r="E5639">
        <v>5636</v>
      </c>
      <c r="F5639">
        <f t="shared" ca="1" si="90"/>
        <v>6.1216346132434872E-4</v>
      </c>
    </row>
    <row r="5640" spans="5:6" x14ac:dyDescent="0.35">
      <c r="E5640">
        <v>5637</v>
      </c>
      <c r="F5640">
        <f t="shared" ca="1" si="90"/>
        <v>9.7011918027895406E-4</v>
      </c>
    </row>
    <row r="5641" spans="5:6" x14ac:dyDescent="0.35">
      <c r="E5641">
        <v>5638</v>
      </c>
      <c r="F5641">
        <f t="shared" ca="1" si="90"/>
        <v>1.0374243354622751E-2</v>
      </c>
    </row>
    <row r="5642" spans="5:6" x14ac:dyDescent="0.35">
      <c r="E5642">
        <v>5639</v>
      </c>
      <c r="F5642">
        <f t="shared" ca="1" si="90"/>
        <v>3.0083174737203571E-3</v>
      </c>
    </row>
    <row r="5643" spans="5:6" x14ac:dyDescent="0.35">
      <c r="E5643">
        <v>5640</v>
      </c>
      <c r="F5643">
        <f t="shared" ca="1" si="90"/>
        <v>-9.8692848349230238E-3</v>
      </c>
    </row>
    <row r="5644" spans="5:6" x14ac:dyDescent="0.35">
      <c r="E5644">
        <v>5641</v>
      </c>
      <c r="F5644">
        <f t="shared" ca="1" si="90"/>
        <v>1.5726908354898868E-2</v>
      </c>
    </row>
    <row r="5645" spans="5:6" x14ac:dyDescent="0.35">
      <c r="E5645">
        <v>5642</v>
      </c>
      <c r="F5645">
        <f t="shared" ca="1" si="90"/>
        <v>4.4797128183165094E-3</v>
      </c>
    </row>
    <row r="5646" spans="5:6" x14ac:dyDescent="0.35">
      <c r="E5646">
        <v>5643</v>
      </c>
      <c r="F5646">
        <f t="shared" ca="1" si="90"/>
        <v>-1.9097320656296289E-2</v>
      </c>
    </row>
    <row r="5647" spans="5:6" x14ac:dyDescent="0.35">
      <c r="E5647">
        <v>5644</v>
      </c>
      <c r="F5647">
        <f t="shared" ca="1" si="90"/>
        <v>-1.2210301852519005E-2</v>
      </c>
    </row>
    <row r="5648" spans="5:6" x14ac:dyDescent="0.35">
      <c r="E5648">
        <v>5645</v>
      </c>
      <c r="F5648">
        <f t="shared" ca="1" si="90"/>
        <v>-2.5794319341368582E-2</v>
      </c>
    </row>
    <row r="5649" spans="5:6" x14ac:dyDescent="0.35">
      <c r="E5649">
        <v>5646</v>
      </c>
      <c r="F5649">
        <f t="shared" ca="1" si="90"/>
        <v>1.6178519326581497E-2</v>
      </c>
    </row>
    <row r="5650" spans="5:6" x14ac:dyDescent="0.35">
      <c r="E5650">
        <v>5647</v>
      </c>
      <c r="F5650">
        <f t="shared" ca="1" si="90"/>
        <v>-1.3231673424336038E-2</v>
      </c>
    </row>
    <row r="5651" spans="5:6" x14ac:dyDescent="0.35">
      <c r="E5651">
        <v>5648</v>
      </c>
      <c r="F5651">
        <f t="shared" ca="1" si="90"/>
        <v>2.7439384367492676E-2</v>
      </c>
    </row>
    <row r="5652" spans="5:6" x14ac:dyDescent="0.35">
      <c r="E5652">
        <v>5649</v>
      </c>
      <c r="F5652">
        <f t="shared" ca="1" si="90"/>
        <v>7.9806790403873108E-3</v>
      </c>
    </row>
    <row r="5653" spans="5:6" x14ac:dyDescent="0.35">
      <c r="E5653">
        <v>5650</v>
      </c>
      <c r="F5653">
        <f t="shared" ca="1" si="90"/>
        <v>4.5438097771194749E-3</v>
      </c>
    </row>
    <row r="5654" spans="5:6" x14ac:dyDescent="0.35">
      <c r="E5654">
        <v>5651</v>
      </c>
      <c r="F5654">
        <f t="shared" ca="1" si="90"/>
        <v>8.0483473024929812E-3</v>
      </c>
    </row>
    <row r="5655" spans="5:6" x14ac:dyDescent="0.35">
      <c r="E5655">
        <v>5652</v>
      </c>
      <c r="F5655">
        <f t="shared" ca="1" si="90"/>
        <v>-6.9312493223838978E-3</v>
      </c>
    </row>
    <row r="5656" spans="5:6" x14ac:dyDescent="0.35">
      <c r="E5656">
        <v>5653</v>
      </c>
      <c r="F5656">
        <f t="shared" ca="1" si="90"/>
        <v>2.7538809503359098E-2</v>
      </c>
    </row>
    <row r="5657" spans="5:6" x14ac:dyDescent="0.35">
      <c r="E5657">
        <v>5654</v>
      </c>
      <c r="F5657">
        <f t="shared" ca="1" si="90"/>
        <v>2.087574879282365E-2</v>
      </c>
    </row>
    <row r="5658" spans="5:6" x14ac:dyDescent="0.35">
      <c r="E5658">
        <v>5655</v>
      </c>
      <c r="F5658">
        <f t="shared" ca="1" si="90"/>
        <v>-5.3331174648053696E-3</v>
      </c>
    </row>
    <row r="5659" spans="5:6" x14ac:dyDescent="0.35">
      <c r="E5659">
        <v>5656</v>
      </c>
      <c r="F5659">
        <f t="shared" ca="1" si="90"/>
        <v>-4.23716858055168E-3</v>
      </c>
    </row>
    <row r="5660" spans="5:6" x14ac:dyDescent="0.35">
      <c r="E5660">
        <v>5657</v>
      </c>
      <c r="F5660">
        <f t="shared" ca="1" si="90"/>
        <v>-1.0058070506887565E-2</v>
      </c>
    </row>
    <row r="5661" spans="5:6" x14ac:dyDescent="0.35">
      <c r="E5661">
        <v>5658</v>
      </c>
      <c r="F5661">
        <f t="shared" ca="1" si="90"/>
        <v>4.4120363190888277E-3</v>
      </c>
    </row>
    <row r="5662" spans="5:6" x14ac:dyDescent="0.35">
      <c r="E5662">
        <v>5659</v>
      </c>
      <c r="F5662">
        <f t="shared" ca="1" si="90"/>
        <v>-1.0555613888988463E-2</v>
      </c>
    </row>
    <row r="5663" spans="5:6" x14ac:dyDescent="0.35">
      <c r="E5663">
        <v>5660</v>
      </c>
      <c r="F5663">
        <f t="shared" ca="1" si="90"/>
        <v>-1.1298508839968101E-2</v>
      </c>
    </row>
    <row r="5664" spans="5:6" x14ac:dyDescent="0.35">
      <c r="E5664">
        <v>5661</v>
      </c>
      <c r="F5664">
        <f t="shared" ca="1" si="90"/>
        <v>-1.4552794520571354E-2</v>
      </c>
    </row>
    <row r="5665" spans="5:6" x14ac:dyDescent="0.35">
      <c r="E5665">
        <v>5662</v>
      </c>
      <c r="F5665">
        <f t="shared" ca="1" si="90"/>
        <v>-9.8042018735912846E-3</v>
      </c>
    </row>
    <row r="5666" spans="5:6" x14ac:dyDescent="0.35">
      <c r="E5666">
        <v>5663</v>
      </c>
      <c r="F5666">
        <f t="shared" ca="1" si="90"/>
        <v>-1.5395741121884417E-2</v>
      </c>
    </row>
    <row r="5667" spans="5:6" x14ac:dyDescent="0.35">
      <c r="E5667">
        <v>5664</v>
      </c>
      <c r="F5667">
        <f t="shared" ca="1" si="90"/>
        <v>8.2230480683966774E-3</v>
      </c>
    </row>
    <row r="5668" spans="5:6" x14ac:dyDescent="0.35">
      <c r="E5668">
        <v>5665</v>
      </c>
      <c r="F5668">
        <f t="shared" ca="1" si="90"/>
        <v>6.0804621655048581E-3</v>
      </c>
    </row>
    <row r="5669" spans="5:6" x14ac:dyDescent="0.35">
      <c r="E5669">
        <v>5666</v>
      </c>
      <c r="F5669">
        <f t="shared" ca="1" si="90"/>
        <v>1.6475752729115965E-2</v>
      </c>
    </row>
    <row r="5670" spans="5:6" x14ac:dyDescent="0.35">
      <c r="E5670">
        <v>5667</v>
      </c>
      <c r="F5670">
        <f t="shared" ca="1" si="90"/>
        <v>8.5836865769314766E-3</v>
      </c>
    </row>
    <row r="5671" spans="5:6" x14ac:dyDescent="0.35">
      <c r="E5671">
        <v>5668</v>
      </c>
      <c r="F5671">
        <f t="shared" ca="1" si="90"/>
        <v>1.3779153358923626E-2</v>
      </c>
    </row>
    <row r="5672" spans="5:6" x14ac:dyDescent="0.35">
      <c r="E5672">
        <v>5669</v>
      </c>
      <c r="F5672">
        <f t="shared" ca="1" si="90"/>
        <v>2.0611837290920875E-2</v>
      </c>
    </row>
    <row r="5673" spans="5:6" x14ac:dyDescent="0.35">
      <c r="E5673">
        <v>5670</v>
      </c>
      <c r="F5673">
        <f t="shared" ca="1" si="90"/>
        <v>-5.4775064556078579E-3</v>
      </c>
    </row>
    <row r="5674" spans="5:6" x14ac:dyDescent="0.35">
      <c r="E5674">
        <v>5671</v>
      </c>
      <c r="F5674">
        <f t="shared" ca="1" si="90"/>
        <v>2.059303942107011E-2</v>
      </c>
    </row>
    <row r="5675" spans="5:6" x14ac:dyDescent="0.35">
      <c r="E5675">
        <v>5672</v>
      </c>
      <c r="F5675">
        <f t="shared" ca="1" si="90"/>
        <v>2.0198396372135358E-2</v>
      </c>
    </row>
    <row r="5676" spans="5:6" x14ac:dyDescent="0.35">
      <c r="E5676">
        <v>5673</v>
      </c>
      <c r="F5676">
        <f t="shared" ca="1" si="90"/>
        <v>6.6434633076723508E-3</v>
      </c>
    </row>
    <row r="5677" spans="5:6" x14ac:dyDescent="0.35">
      <c r="E5677">
        <v>5674</v>
      </c>
      <c r="F5677">
        <f t="shared" ca="1" si="90"/>
        <v>1.2170120370771991E-2</v>
      </c>
    </row>
    <row r="5678" spans="5:6" x14ac:dyDescent="0.35">
      <c r="E5678">
        <v>5675</v>
      </c>
      <c r="F5678">
        <f t="shared" ca="1" si="90"/>
        <v>2.2082164709891324E-2</v>
      </c>
    </row>
    <row r="5679" spans="5:6" x14ac:dyDescent="0.35">
      <c r="E5679">
        <v>5676</v>
      </c>
      <c r="F5679">
        <f t="shared" ca="1" si="90"/>
        <v>-2.6679248259963546E-2</v>
      </c>
    </row>
    <row r="5680" spans="5:6" x14ac:dyDescent="0.35">
      <c r="E5680">
        <v>5677</v>
      </c>
      <c r="F5680">
        <f t="shared" ca="1" si="90"/>
        <v>-1.1851049124814645E-2</v>
      </c>
    </row>
    <row r="5681" spans="5:6" x14ac:dyDescent="0.35">
      <c r="E5681">
        <v>5678</v>
      </c>
      <c r="F5681">
        <f t="shared" ca="1" si="90"/>
        <v>1.987220078716144E-2</v>
      </c>
    </row>
    <row r="5682" spans="5:6" x14ac:dyDescent="0.35">
      <c r="E5682">
        <v>5679</v>
      </c>
      <c r="F5682">
        <f t="shared" ca="1" si="90"/>
        <v>-3.4440484912194251E-2</v>
      </c>
    </row>
    <row r="5683" spans="5:6" x14ac:dyDescent="0.35">
      <c r="E5683">
        <v>5680</v>
      </c>
      <c r="F5683">
        <f t="shared" ca="1" si="90"/>
        <v>-4.9808959902950284E-2</v>
      </c>
    </row>
    <row r="5684" spans="5:6" x14ac:dyDescent="0.35">
      <c r="E5684">
        <v>5681</v>
      </c>
      <c r="F5684">
        <f t="shared" ca="1" si="90"/>
        <v>3.0486745192921296E-2</v>
      </c>
    </row>
    <row r="5685" spans="5:6" x14ac:dyDescent="0.35">
      <c r="E5685">
        <v>5682</v>
      </c>
      <c r="F5685">
        <f t="shared" ca="1" si="90"/>
        <v>5.4034013096689064E-3</v>
      </c>
    </row>
    <row r="5686" spans="5:6" x14ac:dyDescent="0.35">
      <c r="E5686">
        <v>5683</v>
      </c>
      <c r="F5686">
        <f t="shared" ca="1" si="90"/>
        <v>8.4887651659622384E-4</v>
      </c>
    </row>
    <row r="5687" spans="5:6" x14ac:dyDescent="0.35">
      <c r="E5687">
        <v>5684</v>
      </c>
      <c r="F5687">
        <f t="shared" ca="1" si="90"/>
        <v>2.3764425460123598E-2</v>
      </c>
    </row>
    <row r="5688" spans="5:6" x14ac:dyDescent="0.35">
      <c r="E5688">
        <v>5685</v>
      </c>
      <c r="F5688">
        <f t="shared" ca="1" si="90"/>
        <v>1.9672375776474484E-2</v>
      </c>
    </row>
    <row r="5689" spans="5:6" x14ac:dyDescent="0.35">
      <c r="E5689">
        <v>5686</v>
      </c>
      <c r="F5689">
        <f t="shared" ca="1" si="90"/>
        <v>8.9932654112323315E-3</v>
      </c>
    </row>
    <row r="5690" spans="5:6" x14ac:dyDescent="0.35">
      <c r="E5690">
        <v>5687</v>
      </c>
      <c r="F5690">
        <f t="shared" ca="1" si="90"/>
        <v>5.9092204674386127E-3</v>
      </c>
    </row>
    <row r="5691" spans="5:6" x14ac:dyDescent="0.35">
      <c r="E5691">
        <v>5688</v>
      </c>
      <c r="F5691">
        <f t="shared" ca="1" si="90"/>
        <v>-2.0854693335743753E-2</v>
      </c>
    </row>
    <row r="5692" spans="5:6" x14ac:dyDescent="0.35">
      <c r="E5692">
        <v>5689</v>
      </c>
      <c r="F5692">
        <f t="shared" ca="1" si="90"/>
        <v>-1.4455217797577203E-2</v>
      </c>
    </row>
    <row r="5693" spans="5:6" x14ac:dyDescent="0.35">
      <c r="E5693">
        <v>5690</v>
      </c>
      <c r="F5693">
        <f t="shared" ca="1" si="90"/>
        <v>-2.4676128511783987E-3</v>
      </c>
    </row>
    <row r="5694" spans="5:6" x14ac:dyDescent="0.35">
      <c r="E5694">
        <v>5691</v>
      </c>
      <c r="F5694">
        <f t="shared" ca="1" si="90"/>
        <v>-1.6798599975168558E-2</v>
      </c>
    </row>
    <row r="5695" spans="5:6" x14ac:dyDescent="0.35">
      <c r="E5695">
        <v>5692</v>
      </c>
      <c r="F5695">
        <f t="shared" ca="1" si="90"/>
        <v>2.4162592434293167E-2</v>
      </c>
    </row>
    <row r="5696" spans="5:6" x14ac:dyDescent="0.35">
      <c r="E5696">
        <v>5693</v>
      </c>
      <c r="F5696">
        <f t="shared" ca="1" si="90"/>
        <v>-4.2148461111826581E-3</v>
      </c>
    </row>
    <row r="5697" spans="5:6" x14ac:dyDescent="0.35">
      <c r="E5697">
        <v>5694</v>
      </c>
      <c r="F5697">
        <f t="shared" ca="1" si="90"/>
        <v>3.4136004362087025E-2</v>
      </c>
    </row>
    <row r="5698" spans="5:6" x14ac:dyDescent="0.35">
      <c r="E5698">
        <v>5695</v>
      </c>
      <c r="F5698">
        <f t="shared" ca="1" si="90"/>
        <v>1.6697650826270477E-2</v>
      </c>
    </row>
    <row r="5699" spans="5:6" x14ac:dyDescent="0.35">
      <c r="E5699">
        <v>5696</v>
      </c>
      <c r="F5699">
        <f t="shared" ca="1" si="90"/>
        <v>1.9795001173931398E-3</v>
      </c>
    </row>
    <row r="5700" spans="5:6" x14ac:dyDescent="0.35">
      <c r="E5700">
        <v>5697</v>
      </c>
      <c r="F5700">
        <f t="shared" ca="1" si="90"/>
        <v>1.9812072013799181E-2</v>
      </c>
    </row>
    <row r="5701" spans="5:6" x14ac:dyDescent="0.35">
      <c r="E5701">
        <v>5698</v>
      </c>
      <c r="F5701">
        <f t="shared" ref="F5701:F5764" ca="1" si="91">_xlfn.NORM.INV(RAND(),M$6,M$7)</f>
        <v>3.82349013702875E-3</v>
      </c>
    </row>
    <row r="5702" spans="5:6" x14ac:dyDescent="0.35">
      <c r="E5702">
        <v>5699</v>
      </c>
      <c r="F5702">
        <f t="shared" ca="1" si="91"/>
        <v>5.4140299990783052E-3</v>
      </c>
    </row>
    <row r="5703" spans="5:6" x14ac:dyDescent="0.35">
      <c r="E5703">
        <v>5700</v>
      </c>
      <c r="F5703">
        <f t="shared" ca="1" si="91"/>
        <v>1.4409322494079779E-2</v>
      </c>
    </row>
    <row r="5704" spans="5:6" x14ac:dyDescent="0.35">
      <c r="E5704">
        <v>5701</v>
      </c>
      <c r="F5704">
        <f t="shared" ca="1" si="91"/>
        <v>9.3940269601836459E-3</v>
      </c>
    </row>
    <row r="5705" spans="5:6" x14ac:dyDescent="0.35">
      <c r="E5705">
        <v>5702</v>
      </c>
      <c r="F5705">
        <f t="shared" ca="1" si="91"/>
        <v>-2.9554272666003495E-3</v>
      </c>
    </row>
    <row r="5706" spans="5:6" x14ac:dyDescent="0.35">
      <c r="E5706">
        <v>5703</v>
      </c>
      <c r="F5706">
        <f t="shared" ca="1" si="91"/>
        <v>1.8999243501291094E-2</v>
      </c>
    </row>
    <row r="5707" spans="5:6" x14ac:dyDescent="0.35">
      <c r="E5707">
        <v>5704</v>
      </c>
      <c r="F5707">
        <f t="shared" ca="1" si="91"/>
        <v>1.6507009390755778E-2</v>
      </c>
    </row>
    <row r="5708" spans="5:6" x14ac:dyDescent="0.35">
      <c r="E5708">
        <v>5705</v>
      </c>
      <c r="F5708">
        <f t="shared" ca="1" si="91"/>
        <v>4.2607580176689148E-3</v>
      </c>
    </row>
    <row r="5709" spans="5:6" x14ac:dyDescent="0.35">
      <c r="E5709">
        <v>5706</v>
      </c>
      <c r="F5709">
        <f t="shared" ca="1" si="91"/>
        <v>-1.0199014719785297E-2</v>
      </c>
    </row>
    <row r="5710" spans="5:6" x14ac:dyDescent="0.35">
      <c r="E5710">
        <v>5707</v>
      </c>
      <c r="F5710">
        <f t="shared" ca="1" si="91"/>
        <v>2.8686198959627485E-2</v>
      </c>
    </row>
    <row r="5711" spans="5:6" x14ac:dyDescent="0.35">
      <c r="E5711">
        <v>5708</v>
      </c>
      <c r="F5711">
        <f t="shared" ca="1" si="91"/>
        <v>4.5678779532299665E-2</v>
      </c>
    </row>
    <row r="5712" spans="5:6" x14ac:dyDescent="0.35">
      <c r="E5712">
        <v>5709</v>
      </c>
      <c r="F5712">
        <f t="shared" ca="1" si="91"/>
        <v>4.3149114488480429E-4</v>
      </c>
    </row>
    <row r="5713" spans="5:6" x14ac:dyDescent="0.35">
      <c r="E5713">
        <v>5710</v>
      </c>
      <c r="F5713">
        <f t="shared" ca="1" si="91"/>
        <v>-1.1457528833178155E-2</v>
      </c>
    </row>
    <row r="5714" spans="5:6" x14ac:dyDescent="0.35">
      <c r="E5714">
        <v>5711</v>
      </c>
      <c r="F5714">
        <f t="shared" ca="1" si="91"/>
        <v>-5.7469987879979045E-4</v>
      </c>
    </row>
    <row r="5715" spans="5:6" x14ac:dyDescent="0.35">
      <c r="E5715">
        <v>5712</v>
      </c>
      <c r="F5715">
        <f t="shared" ca="1" si="91"/>
        <v>3.5889871817673161E-3</v>
      </c>
    </row>
    <row r="5716" spans="5:6" x14ac:dyDescent="0.35">
      <c r="E5716">
        <v>5713</v>
      </c>
      <c r="F5716">
        <f t="shared" ca="1" si="91"/>
        <v>7.1578456909930817E-3</v>
      </c>
    </row>
    <row r="5717" spans="5:6" x14ac:dyDescent="0.35">
      <c r="E5717">
        <v>5714</v>
      </c>
      <c r="F5717">
        <f t="shared" ca="1" si="91"/>
        <v>-1.6553815087130726E-2</v>
      </c>
    </row>
    <row r="5718" spans="5:6" x14ac:dyDescent="0.35">
      <c r="E5718">
        <v>5715</v>
      </c>
      <c r="F5718">
        <f t="shared" ca="1" si="91"/>
        <v>3.361560826297657E-3</v>
      </c>
    </row>
    <row r="5719" spans="5:6" x14ac:dyDescent="0.35">
      <c r="E5719">
        <v>5716</v>
      </c>
      <c r="F5719">
        <f t="shared" ca="1" si="91"/>
        <v>1.2112493452107388E-2</v>
      </c>
    </row>
    <row r="5720" spans="5:6" x14ac:dyDescent="0.35">
      <c r="E5720">
        <v>5717</v>
      </c>
      <c r="F5720">
        <f t="shared" ca="1" si="91"/>
        <v>2.0513060230974697E-2</v>
      </c>
    </row>
    <row r="5721" spans="5:6" x14ac:dyDescent="0.35">
      <c r="E5721">
        <v>5718</v>
      </c>
      <c r="F5721">
        <f t="shared" ca="1" si="91"/>
        <v>-1.2256216852120571E-2</v>
      </c>
    </row>
    <row r="5722" spans="5:6" x14ac:dyDescent="0.35">
      <c r="E5722">
        <v>5719</v>
      </c>
      <c r="F5722">
        <f t="shared" ca="1" si="91"/>
        <v>-2.4034743857115713E-2</v>
      </c>
    </row>
    <row r="5723" spans="5:6" x14ac:dyDescent="0.35">
      <c r="E5723">
        <v>5720</v>
      </c>
      <c r="F5723">
        <f t="shared" ca="1" si="91"/>
        <v>1.0964012028484462E-2</v>
      </c>
    </row>
    <row r="5724" spans="5:6" x14ac:dyDescent="0.35">
      <c r="E5724">
        <v>5721</v>
      </c>
      <c r="F5724">
        <f t="shared" ca="1" si="91"/>
        <v>3.0197019742376967E-3</v>
      </c>
    </row>
    <row r="5725" spans="5:6" x14ac:dyDescent="0.35">
      <c r="E5725">
        <v>5722</v>
      </c>
      <c r="F5725">
        <f t="shared" ca="1" si="91"/>
        <v>1.7971402367252399E-3</v>
      </c>
    </row>
    <row r="5726" spans="5:6" x14ac:dyDescent="0.35">
      <c r="E5726">
        <v>5723</v>
      </c>
      <c r="F5726">
        <f t="shared" ca="1" si="91"/>
        <v>5.3589370819917478E-3</v>
      </c>
    </row>
    <row r="5727" spans="5:6" x14ac:dyDescent="0.35">
      <c r="E5727">
        <v>5724</v>
      </c>
      <c r="F5727">
        <f t="shared" ca="1" si="91"/>
        <v>1.052564193787736E-2</v>
      </c>
    </row>
    <row r="5728" spans="5:6" x14ac:dyDescent="0.35">
      <c r="E5728">
        <v>5725</v>
      </c>
      <c r="F5728">
        <f t="shared" ca="1" si="91"/>
        <v>-4.2642347503270613E-3</v>
      </c>
    </row>
    <row r="5729" spans="5:6" x14ac:dyDescent="0.35">
      <c r="E5729">
        <v>5726</v>
      </c>
      <c r="F5729">
        <f t="shared" ca="1" si="91"/>
        <v>-3.4814428434023202E-3</v>
      </c>
    </row>
    <row r="5730" spans="5:6" x14ac:dyDescent="0.35">
      <c r="E5730">
        <v>5727</v>
      </c>
      <c r="F5730">
        <f t="shared" ca="1" si="91"/>
        <v>2.6725737931826764E-2</v>
      </c>
    </row>
    <row r="5731" spans="5:6" x14ac:dyDescent="0.35">
      <c r="E5731">
        <v>5728</v>
      </c>
      <c r="F5731">
        <f t="shared" ca="1" si="91"/>
        <v>-3.5304279608931524E-3</v>
      </c>
    </row>
    <row r="5732" spans="5:6" x14ac:dyDescent="0.35">
      <c r="E5732">
        <v>5729</v>
      </c>
      <c r="F5732">
        <f t="shared" ca="1" si="91"/>
        <v>-8.1663418170907585E-4</v>
      </c>
    </row>
    <row r="5733" spans="5:6" x14ac:dyDescent="0.35">
      <c r="E5733">
        <v>5730</v>
      </c>
      <c r="F5733">
        <f t="shared" ca="1" si="91"/>
        <v>-3.4463092842192407E-2</v>
      </c>
    </row>
    <row r="5734" spans="5:6" x14ac:dyDescent="0.35">
      <c r="E5734">
        <v>5731</v>
      </c>
      <c r="F5734">
        <f t="shared" ca="1" si="91"/>
        <v>2.9576057790725727E-2</v>
      </c>
    </row>
    <row r="5735" spans="5:6" x14ac:dyDescent="0.35">
      <c r="E5735">
        <v>5732</v>
      </c>
      <c r="F5735">
        <f t="shared" ca="1" si="91"/>
        <v>-2.3232962835662705E-2</v>
      </c>
    </row>
    <row r="5736" spans="5:6" x14ac:dyDescent="0.35">
      <c r="E5736">
        <v>5733</v>
      </c>
      <c r="F5736">
        <f t="shared" ca="1" si="91"/>
        <v>2.6379491179650536E-3</v>
      </c>
    </row>
    <row r="5737" spans="5:6" x14ac:dyDescent="0.35">
      <c r="E5737">
        <v>5734</v>
      </c>
      <c r="F5737">
        <f t="shared" ca="1" si="91"/>
        <v>2.531563987144261E-2</v>
      </c>
    </row>
    <row r="5738" spans="5:6" x14ac:dyDescent="0.35">
      <c r="E5738">
        <v>5735</v>
      </c>
      <c r="F5738">
        <f t="shared" ca="1" si="91"/>
        <v>-9.8879750648750604E-4</v>
      </c>
    </row>
    <row r="5739" spans="5:6" x14ac:dyDescent="0.35">
      <c r="E5739">
        <v>5736</v>
      </c>
      <c r="F5739">
        <f t="shared" ca="1" si="91"/>
        <v>7.9820796944737923E-3</v>
      </c>
    </row>
    <row r="5740" spans="5:6" x14ac:dyDescent="0.35">
      <c r="E5740">
        <v>5737</v>
      </c>
      <c r="F5740">
        <f t="shared" ca="1" si="91"/>
        <v>-2.3613930002591977E-2</v>
      </c>
    </row>
    <row r="5741" spans="5:6" x14ac:dyDescent="0.35">
      <c r="E5741">
        <v>5738</v>
      </c>
      <c r="F5741">
        <f t="shared" ca="1" si="91"/>
        <v>4.2566259187810582E-3</v>
      </c>
    </row>
    <row r="5742" spans="5:6" x14ac:dyDescent="0.35">
      <c r="E5742">
        <v>5739</v>
      </c>
      <c r="F5742">
        <f t="shared" ca="1" si="91"/>
        <v>-1.2782954806666922E-2</v>
      </c>
    </row>
    <row r="5743" spans="5:6" x14ac:dyDescent="0.35">
      <c r="E5743">
        <v>5740</v>
      </c>
      <c r="F5743">
        <f t="shared" ca="1" si="91"/>
        <v>1.2759021972741065E-3</v>
      </c>
    </row>
    <row r="5744" spans="5:6" x14ac:dyDescent="0.35">
      <c r="E5744">
        <v>5741</v>
      </c>
      <c r="F5744">
        <f t="shared" ca="1" si="91"/>
        <v>-2.987711615642424E-2</v>
      </c>
    </row>
    <row r="5745" spans="5:6" x14ac:dyDescent="0.35">
      <c r="E5745">
        <v>5742</v>
      </c>
      <c r="F5745">
        <f t="shared" ca="1" si="91"/>
        <v>3.8386310787170051E-2</v>
      </c>
    </row>
    <row r="5746" spans="5:6" x14ac:dyDescent="0.35">
      <c r="E5746">
        <v>5743</v>
      </c>
      <c r="F5746">
        <f t="shared" ca="1" si="91"/>
        <v>-1.0208469703837951E-2</v>
      </c>
    </row>
    <row r="5747" spans="5:6" x14ac:dyDescent="0.35">
      <c r="E5747">
        <v>5744</v>
      </c>
      <c r="F5747">
        <f t="shared" ca="1" si="91"/>
        <v>5.4562328569655073E-3</v>
      </c>
    </row>
    <row r="5748" spans="5:6" x14ac:dyDescent="0.35">
      <c r="E5748">
        <v>5745</v>
      </c>
      <c r="F5748">
        <f t="shared" ca="1" si="91"/>
        <v>-7.6598092793184816E-3</v>
      </c>
    </row>
    <row r="5749" spans="5:6" x14ac:dyDescent="0.35">
      <c r="E5749">
        <v>5746</v>
      </c>
      <c r="F5749">
        <f t="shared" ca="1" si="91"/>
        <v>9.9526384190330545E-3</v>
      </c>
    </row>
    <row r="5750" spans="5:6" x14ac:dyDescent="0.35">
      <c r="E5750">
        <v>5747</v>
      </c>
      <c r="F5750">
        <f t="shared" ca="1" si="91"/>
        <v>-1.9345755172275388E-2</v>
      </c>
    </row>
    <row r="5751" spans="5:6" x14ac:dyDescent="0.35">
      <c r="E5751">
        <v>5748</v>
      </c>
      <c r="F5751">
        <f t="shared" ca="1" si="91"/>
        <v>6.1767254571143326E-3</v>
      </c>
    </row>
    <row r="5752" spans="5:6" x14ac:dyDescent="0.35">
      <c r="E5752">
        <v>5749</v>
      </c>
      <c r="F5752">
        <f t="shared" ca="1" si="91"/>
        <v>3.1828527110678729E-3</v>
      </c>
    </row>
    <row r="5753" spans="5:6" x14ac:dyDescent="0.35">
      <c r="E5753">
        <v>5750</v>
      </c>
      <c r="F5753">
        <f t="shared" ca="1" si="91"/>
        <v>2.4843463684683315E-3</v>
      </c>
    </row>
    <row r="5754" spans="5:6" x14ac:dyDescent="0.35">
      <c r="E5754">
        <v>5751</v>
      </c>
      <c r="F5754">
        <f t="shared" ca="1" si="91"/>
        <v>1.9997501279712022E-2</v>
      </c>
    </row>
    <row r="5755" spans="5:6" x14ac:dyDescent="0.35">
      <c r="E5755">
        <v>5752</v>
      </c>
      <c r="F5755">
        <f t="shared" ca="1" si="91"/>
        <v>1.5769971143536787E-2</v>
      </c>
    </row>
    <row r="5756" spans="5:6" x14ac:dyDescent="0.35">
      <c r="E5756">
        <v>5753</v>
      </c>
      <c r="F5756">
        <f t="shared" ca="1" si="91"/>
        <v>1.934961837630807E-2</v>
      </c>
    </row>
    <row r="5757" spans="5:6" x14ac:dyDescent="0.35">
      <c r="E5757">
        <v>5754</v>
      </c>
      <c r="F5757">
        <f t="shared" ca="1" si="91"/>
        <v>-2.6971342190494099E-2</v>
      </c>
    </row>
    <row r="5758" spans="5:6" x14ac:dyDescent="0.35">
      <c r="E5758">
        <v>5755</v>
      </c>
      <c r="F5758">
        <f t="shared" ca="1" si="91"/>
        <v>7.9617136319969431E-3</v>
      </c>
    </row>
    <row r="5759" spans="5:6" x14ac:dyDescent="0.35">
      <c r="E5759">
        <v>5756</v>
      </c>
      <c r="F5759">
        <f t="shared" ca="1" si="91"/>
        <v>2.7739636282838112E-2</v>
      </c>
    </row>
    <row r="5760" spans="5:6" x14ac:dyDescent="0.35">
      <c r="E5760">
        <v>5757</v>
      </c>
      <c r="F5760">
        <f t="shared" ca="1" si="91"/>
        <v>2.1394084693908095E-2</v>
      </c>
    </row>
    <row r="5761" spans="5:6" x14ac:dyDescent="0.35">
      <c r="E5761">
        <v>5758</v>
      </c>
      <c r="F5761">
        <f t="shared" ca="1" si="91"/>
        <v>1.2505574865534002E-2</v>
      </c>
    </row>
    <row r="5762" spans="5:6" x14ac:dyDescent="0.35">
      <c r="E5762">
        <v>5759</v>
      </c>
      <c r="F5762">
        <f t="shared" ca="1" si="91"/>
        <v>1.5202309236322851E-2</v>
      </c>
    </row>
    <row r="5763" spans="5:6" x14ac:dyDescent="0.35">
      <c r="E5763">
        <v>5760</v>
      </c>
      <c r="F5763">
        <f t="shared" ca="1" si="91"/>
        <v>7.4278088733887989E-3</v>
      </c>
    </row>
    <row r="5764" spans="5:6" x14ac:dyDescent="0.35">
      <c r="E5764">
        <v>5761</v>
      </c>
      <c r="F5764">
        <f t="shared" ca="1" si="91"/>
        <v>-7.0297924773065172E-3</v>
      </c>
    </row>
    <row r="5765" spans="5:6" x14ac:dyDescent="0.35">
      <c r="E5765">
        <v>5762</v>
      </c>
      <c r="F5765">
        <f t="shared" ref="F5765:F5828" ca="1" si="92">_xlfn.NORM.INV(RAND(),M$6,M$7)</f>
        <v>-5.1088458888982136E-3</v>
      </c>
    </row>
    <row r="5766" spans="5:6" x14ac:dyDescent="0.35">
      <c r="E5766">
        <v>5763</v>
      </c>
      <c r="F5766">
        <f t="shared" ca="1" si="92"/>
        <v>-4.6757188482504332E-3</v>
      </c>
    </row>
    <row r="5767" spans="5:6" x14ac:dyDescent="0.35">
      <c r="E5767">
        <v>5764</v>
      </c>
      <c r="F5767">
        <f t="shared" ca="1" si="92"/>
        <v>-3.4849653511200194E-3</v>
      </c>
    </row>
    <row r="5768" spans="5:6" x14ac:dyDescent="0.35">
      <c r="E5768">
        <v>5765</v>
      </c>
      <c r="F5768">
        <f t="shared" ca="1" si="92"/>
        <v>-3.266645819495032E-3</v>
      </c>
    </row>
    <row r="5769" spans="5:6" x14ac:dyDescent="0.35">
      <c r="E5769">
        <v>5766</v>
      </c>
      <c r="F5769">
        <f t="shared" ca="1" si="92"/>
        <v>-2.940419118501248E-3</v>
      </c>
    </row>
    <row r="5770" spans="5:6" x14ac:dyDescent="0.35">
      <c r="E5770">
        <v>5767</v>
      </c>
      <c r="F5770">
        <f t="shared" ca="1" si="92"/>
        <v>-1.7649112099245384E-2</v>
      </c>
    </row>
    <row r="5771" spans="5:6" x14ac:dyDescent="0.35">
      <c r="E5771">
        <v>5768</v>
      </c>
      <c r="F5771">
        <f t="shared" ca="1" si="92"/>
        <v>-3.2413295533186004E-2</v>
      </c>
    </row>
    <row r="5772" spans="5:6" x14ac:dyDescent="0.35">
      <c r="E5772">
        <v>5769</v>
      </c>
      <c r="F5772">
        <f t="shared" ca="1" si="92"/>
        <v>-6.4635341173336757E-3</v>
      </c>
    </row>
    <row r="5773" spans="5:6" x14ac:dyDescent="0.35">
      <c r="E5773">
        <v>5770</v>
      </c>
      <c r="F5773">
        <f t="shared" ca="1" si="92"/>
        <v>-4.9562528819002156E-3</v>
      </c>
    </row>
    <row r="5774" spans="5:6" x14ac:dyDescent="0.35">
      <c r="E5774">
        <v>5771</v>
      </c>
      <c r="F5774">
        <f t="shared" ca="1" si="92"/>
        <v>1.3602695326477588E-2</v>
      </c>
    </row>
    <row r="5775" spans="5:6" x14ac:dyDescent="0.35">
      <c r="E5775">
        <v>5772</v>
      </c>
      <c r="F5775">
        <f t="shared" ca="1" si="92"/>
        <v>-1.2091589923738258E-3</v>
      </c>
    </row>
    <row r="5776" spans="5:6" x14ac:dyDescent="0.35">
      <c r="E5776">
        <v>5773</v>
      </c>
      <c r="F5776">
        <f t="shared" ca="1" si="92"/>
        <v>2.0243782889633598E-2</v>
      </c>
    </row>
    <row r="5777" spans="5:6" x14ac:dyDescent="0.35">
      <c r="E5777">
        <v>5774</v>
      </c>
      <c r="F5777">
        <f t="shared" ca="1" si="92"/>
        <v>3.6108022350969343E-3</v>
      </c>
    </row>
    <row r="5778" spans="5:6" x14ac:dyDescent="0.35">
      <c r="E5778">
        <v>5775</v>
      </c>
      <c r="F5778">
        <f t="shared" ca="1" si="92"/>
        <v>1.4032506709083247E-2</v>
      </c>
    </row>
    <row r="5779" spans="5:6" x14ac:dyDescent="0.35">
      <c r="E5779">
        <v>5776</v>
      </c>
      <c r="F5779">
        <f t="shared" ca="1" si="92"/>
        <v>1.0151362326607356E-2</v>
      </c>
    </row>
    <row r="5780" spans="5:6" x14ac:dyDescent="0.35">
      <c r="E5780">
        <v>5777</v>
      </c>
      <c r="F5780">
        <f t="shared" ca="1" si="92"/>
        <v>-1.1699449907964858E-2</v>
      </c>
    </row>
    <row r="5781" spans="5:6" x14ac:dyDescent="0.35">
      <c r="E5781">
        <v>5778</v>
      </c>
      <c r="F5781">
        <f t="shared" ca="1" si="92"/>
        <v>8.3368134905309997E-3</v>
      </c>
    </row>
    <row r="5782" spans="5:6" x14ac:dyDescent="0.35">
      <c r="E5782">
        <v>5779</v>
      </c>
      <c r="F5782">
        <f t="shared" ca="1" si="92"/>
        <v>-8.6564873391517388E-3</v>
      </c>
    </row>
    <row r="5783" spans="5:6" x14ac:dyDescent="0.35">
      <c r="E5783">
        <v>5780</v>
      </c>
      <c r="F5783">
        <f t="shared" ca="1" si="92"/>
        <v>-1.7804569457292073E-3</v>
      </c>
    </row>
    <row r="5784" spans="5:6" x14ac:dyDescent="0.35">
      <c r="E5784">
        <v>5781</v>
      </c>
      <c r="F5784">
        <f t="shared" ca="1" si="92"/>
        <v>4.9283985805291582E-3</v>
      </c>
    </row>
    <row r="5785" spans="5:6" x14ac:dyDescent="0.35">
      <c r="E5785">
        <v>5782</v>
      </c>
      <c r="F5785">
        <f t="shared" ca="1" si="92"/>
        <v>-1.4082381183388845E-2</v>
      </c>
    </row>
    <row r="5786" spans="5:6" x14ac:dyDescent="0.35">
      <c r="E5786">
        <v>5783</v>
      </c>
      <c r="F5786">
        <f t="shared" ca="1" si="92"/>
        <v>1.948400615717803E-3</v>
      </c>
    </row>
    <row r="5787" spans="5:6" x14ac:dyDescent="0.35">
      <c r="E5787">
        <v>5784</v>
      </c>
      <c r="F5787">
        <f t="shared" ca="1" si="92"/>
        <v>2.8176552287048968E-2</v>
      </c>
    </row>
    <row r="5788" spans="5:6" x14ac:dyDescent="0.35">
      <c r="E5788">
        <v>5785</v>
      </c>
      <c r="F5788">
        <f t="shared" ca="1" si="92"/>
        <v>-1.9290298574012182E-3</v>
      </c>
    </row>
    <row r="5789" spans="5:6" x14ac:dyDescent="0.35">
      <c r="E5789">
        <v>5786</v>
      </c>
      <c r="F5789">
        <f t="shared" ca="1" si="92"/>
        <v>2.5766060151353907E-3</v>
      </c>
    </row>
    <row r="5790" spans="5:6" x14ac:dyDescent="0.35">
      <c r="E5790">
        <v>5787</v>
      </c>
      <c r="F5790">
        <f t="shared" ca="1" si="92"/>
        <v>8.4606651064173099E-3</v>
      </c>
    </row>
    <row r="5791" spans="5:6" x14ac:dyDescent="0.35">
      <c r="E5791">
        <v>5788</v>
      </c>
      <c r="F5791">
        <f t="shared" ca="1" si="92"/>
        <v>-1.4549357466039603E-2</v>
      </c>
    </row>
    <row r="5792" spans="5:6" x14ac:dyDescent="0.35">
      <c r="E5792">
        <v>5789</v>
      </c>
      <c r="F5792">
        <f t="shared" ca="1" si="92"/>
        <v>-6.513377359078097E-3</v>
      </c>
    </row>
    <row r="5793" spans="5:6" x14ac:dyDescent="0.35">
      <c r="E5793">
        <v>5790</v>
      </c>
      <c r="F5793">
        <f t="shared" ca="1" si="92"/>
        <v>-1.6266371296591382E-2</v>
      </c>
    </row>
    <row r="5794" spans="5:6" x14ac:dyDescent="0.35">
      <c r="E5794">
        <v>5791</v>
      </c>
      <c r="F5794">
        <f t="shared" ca="1" si="92"/>
        <v>-3.1483540513922506E-2</v>
      </c>
    </row>
    <row r="5795" spans="5:6" x14ac:dyDescent="0.35">
      <c r="E5795">
        <v>5792</v>
      </c>
      <c r="F5795">
        <f t="shared" ca="1" si="92"/>
        <v>-1.1041606303782306E-2</v>
      </c>
    </row>
    <row r="5796" spans="5:6" x14ac:dyDescent="0.35">
      <c r="E5796">
        <v>5793</v>
      </c>
      <c r="F5796">
        <f t="shared" ca="1" si="92"/>
        <v>-3.4976030218205174E-3</v>
      </c>
    </row>
    <row r="5797" spans="5:6" x14ac:dyDescent="0.35">
      <c r="E5797">
        <v>5794</v>
      </c>
      <c r="F5797">
        <f t="shared" ca="1" si="92"/>
        <v>3.4060022257625627E-3</v>
      </c>
    </row>
    <row r="5798" spans="5:6" x14ac:dyDescent="0.35">
      <c r="E5798">
        <v>5795</v>
      </c>
      <c r="F5798">
        <f t="shared" ca="1" si="92"/>
        <v>3.2355868096052014E-3</v>
      </c>
    </row>
    <row r="5799" spans="5:6" x14ac:dyDescent="0.35">
      <c r="E5799">
        <v>5796</v>
      </c>
      <c r="F5799">
        <f t="shared" ca="1" si="92"/>
        <v>1.8137937949070589E-2</v>
      </c>
    </row>
    <row r="5800" spans="5:6" x14ac:dyDescent="0.35">
      <c r="E5800">
        <v>5797</v>
      </c>
      <c r="F5800">
        <f t="shared" ca="1" si="92"/>
        <v>-2.0538963549914017E-2</v>
      </c>
    </row>
    <row r="5801" spans="5:6" x14ac:dyDescent="0.35">
      <c r="E5801">
        <v>5798</v>
      </c>
      <c r="F5801">
        <f t="shared" ca="1" si="92"/>
        <v>-1.7878355834426887E-2</v>
      </c>
    </row>
    <row r="5802" spans="5:6" x14ac:dyDescent="0.35">
      <c r="E5802">
        <v>5799</v>
      </c>
      <c r="F5802">
        <f t="shared" ca="1" si="92"/>
        <v>1.4888486710693125E-2</v>
      </c>
    </row>
    <row r="5803" spans="5:6" x14ac:dyDescent="0.35">
      <c r="E5803">
        <v>5800</v>
      </c>
      <c r="F5803">
        <f t="shared" ca="1" si="92"/>
        <v>2.1065847047836865E-2</v>
      </c>
    </row>
    <row r="5804" spans="5:6" x14ac:dyDescent="0.35">
      <c r="E5804">
        <v>5801</v>
      </c>
      <c r="F5804">
        <f t="shared" ca="1" si="92"/>
        <v>1.190238358888575E-3</v>
      </c>
    </row>
    <row r="5805" spans="5:6" x14ac:dyDescent="0.35">
      <c r="E5805">
        <v>5802</v>
      </c>
      <c r="F5805">
        <f t="shared" ca="1" si="92"/>
        <v>2.655606162344862E-3</v>
      </c>
    </row>
    <row r="5806" spans="5:6" x14ac:dyDescent="0.35">
      <c r="E5806">
        <v>5803</v>
      </c>
      <c r="F5806">
        <f t="shared" ca="1" si="92"/>
        <v>1.0793885937343244E-2</v>
      </c>
    </row>
    <row r="5807" spans="5:6" x14ac:dyDescent="0.35">
      <c r="E5807">
        <v>5804</v>
      </c>
      <c r="F5807">
        <f t="shared" ca="1" si="92"/>
        <v>-1.7128831633414714E-2</v>
      </c>
    </row>
    <row r="5808" spans="5:6" x14ac:dyDescent="0.35">
      <c r="E5808">
        <v>5805</v>
      </c>
      <c r="F5808">
        <f t="shared" ca="1" si="92"/>
        <v>4.1872512870121305E-3</v>
      </c>
    </row>
    <row r="5809" spans="5:6" x14ac:dyDescent="0.35">
      <c r="E5809">
        <v>5806</v>
      </c>
      <c r="F5809">
        <f t="shared" ca="1" si="92"/>
        <v>-1.6195213657621832E-2</v>
      </c>
    </row>
    <row r="5810" spans="5:6" x14ac:dyDescent="0.35">
      <c r="E5810">
        <v>5807</v>
      </c>
      <c r="F5810">
        <f t="shared" ca="1" si="92"/>
        <v>-1.6148595487994147E-2</v>
      </c>
    </row>
    <row r="5811" spans="5:6" x14ac:dyDescent="0.35">
      <c r="E5811">
        <v>5808</v>
      </c>
      <c r="F5811">
        <f t="shared" ca="1" si="92"/>
        <v>3.0585230546611802E-3</v>
      </c>
    </row>
    <row r="5812" spans="5:6" x14ac:dyDescent="0.35">
      <c r="E5812">
        <v>5809</v>
      </c>
      <c r="F5812">
        <f t="shared" ca="1" si="92"/>
        <v>1.6268765559161933E-2</v>
      </c>
    </row>
    <row r="5813" spans="5:6" x14ac:dyDescent="0.35">
      <c r="E5813">
        <v>5810</v>
      </c>
      <c r="F5813">
        <f t="shared" ca="1" si="92"/>
        <v>1.6066844003301172E-2</v>
      </c>
    </row>
    <row r="5814" spans="5:6" x14ac:dyDescent="0.35">
      <c r="E5814">
        <v>5811</v>
      </c>
      <c r="F5814">
        <f t="shared" ca="1" si="92"/>
        <v>-1.9098734940803462E-2</v>
      </c>
    </row>
    <row r="5815" spans="5:6" x14ac:dyDescent="0.35">
      <c r="E5815">
        <v>5812</v>
      </c>
      <c r="F5815">
        <f t="shared" ca="1" si="92"/>
        <v>-9.0629417858802252E-3</v>
      </c>
    </row>
    <row r="5816" spans="5:6" x14ac:dyDescent="0.35">
      <c r="E5816">
        <v>5813</v>
      </c>
      <c r="F5816">
        <f t="shared" ca="1" si="92"/>
        <v>-1.5123138282478424E-2</v>
      </c>
    </row>
    <row r="5817" spans="5:6" x14ac:dyDescent="0.35">
      <c r="E5817">
        <v>5814</v>
      </c>
      <c r="F5817">
        <f t="shared" ca="1" si="92"/>
        <v>2.1745839336520374E-2</v>
      </c>
    </row>
    <row r="5818" spans="5:6" x14ac:dyDescent="0.35">
      <c r="E5818">
        <v>5815</v>
      </c>
      <c r="F5818">
        <f t="shared" ca="1" si="92"/>
        <v>2.4427755993890989E-2</v>
      </c>
    </row>
    <row r="5819" spans="5:6" x14ac:dyDescent="0.35">
      <c r="E5819">
        <v>5816</v>
      </c>
      <c r="F5819">
        <f t="shared" ca="1" si="92"/>
        <v>-1.7735034818999854E-2</v>
      </c>
    </row>
    <row r="5820" spans="5:6" x14ac:dyDescent="0.35">
      <c r="E5820">
        <v>5817</v>
      </c>
      <c r="F5820">
        <f t="shared" ca="1" si="92"/>
        <v>-3.2428626154647603E-3</v>
      </c>
    </row>
    <row r="5821" spans="5:6" x14ac:dyDescent="0.35">
      <c r="E5821">
        <v>5818</v>
      </c>
      <c r="F5821">
        <f t="shared" ca="1" si="92"/>
        <v>-1.284660404361576E-2</v>
      </c>
    </row>
    <row r="5822" spans="5:6" x14ac:dyDescent="0.35">
      <c r="E5822">
        <v>5819</v>
      </c>
      <c r="F5822">
        <f t="shared" ca="1" si="92"/>
        <v>2.9768006530549885E-2</v>
      </c>
    </row>
    <row r="5823" spans="5:6" x14ac:dyDescent="0.35">
      <c r="E5823">
        <v>5820</v>
      </c>
      <c r="F5823">
        <f t="shared" ca="1" si="92"/>
        <v>1.1916963266833749E-2</v>
      </c>
    </row>
    <row r="5824" spans="5:6" x14ac:dyDescent="0.35">
      <c r="E5824">
        <v>5821</v>
      </c>
      <c r="F5824">
        <f t="shared" ca="1" si="92"/>
        <v>-1.5322809000430395E-2</v>
      </c>
    </row>
    <row r="5825" spans="5:6" x14ac:dyDescent="0.35">
      <c r="E5825">
        <v>5822</v>
      </c>
      <c r="F5825">
        <f t="shared" ca="1" si="92"/>
        <v>1.5221541425221826E-2</v>
      </c>
    </row>
    <row r="5826" spans="5:6" x14ac:dyDescent="0.35">
      <c r="E5826">
        <v>5823</v>
      </c>
      <c r="F5826">
        <f t="shared" ca="1" si="92"/>
        <v>-2.634452530935338E-2</v>
      </c>
    </row>
    <row r="5827" spans="5:6" x14ac:dyDescent="0.35">
      <c r="E5827">
        <v>5824</v>
      </c>
      <c r="F5827">
        <f t="shared" ca="1" si="92"/>
        <v>-1.4344924237765324E-3</v>
      </c>
    </row>
    <row r="5828" spans="5:6" x14ac:dyDescent="0.35">
      <c r="E5828">
        <v>5825</v>
      </c>
      <c r="F5828">
        <f t="shared" ca="1" si="92"/>
        <v>6.7682879774566846E-3</v>
      </c>
    </row>
    <row r="5829" spans="5:6" x14ac:dyDescent="0.35">
      <c r="E5829">
        <v>5826</v>
      </c>
      <c r="F5829">
        <f t="shared" ref="F5829:F5892" ca="1" si="93">_xlfn.NORM.INV(RAND(),M$6,M$7)</f>
        <v>5.0829893822501322E-4</v>
      </c>
    </row>
    <row r="5830" spans="5:6" x14ac:dyDescent="0.35">
      <c r="E5830">
        <v>5827</v>
      </c>
      <c r="F5830">
        <f t="shared" ca="1" si="93"/>
        <v>-1.2840074917409411E-2</v>
      </c>
    </row>
    <row r="5831" spans="5:6" x14ac:dyDescent="0.35">
      <c r="E5831">
        <v>5828</v>
      </c>
      <c r="F5831">
        <f t="shared" ca="1" si="93"/>
        <v>-2.366456737400862E-2</v>
      </c>
    </row>
    <row r="5832" spans="5:6" x14ac:dyDescent="0.35">
      <c r="E5832">
        <v>5829</v>
      </c>
      <c r="F5832">
        <f t="shared" ca="1" si="93"/>
        <v>3.2612881858831558E-2</v>
      </c>
    </row>
    <row r="5833" spans="5:6" x14ac:dyDescent="0.35">
      <c r="E5833">
        <v>5830</v>
      </c>
      <c r="F5833">
        <f t="shared" ca="1" si="93"/>
        <v>-1.8596920587742868E-2</v>
      </c>
    </row>
    <row r="5834" spans="5:6" x14ac:dyDescent="0.35">
      <c r="E5834">
        <v>5831</v>
      </c>
      <c r="F5834">
        <f t="shared" ca="1" si="93"/>
        <v>1.6133564832345043E-2</v>
      </c>
    </row>
    <row r="5835" spans="5:6" x14ac:dyDescent="0.35">
      <c r="E5835">
        <v>5832</v>
      </c>
      <c r="F5835">
        <f t="shared" ca="1" si="93"/>
        <v>-2.7971026036438533E-3</v>
      </c>
    </row>
    <row r="5836" spans="5:6" x14ac:dyDescent="0.35">
      <c r="E5836">
        <v>5833</v>
      </c>
      <c r="F5836">
        <f t="shared" ca="1" si="93"/>
        <v>1.644461121248982E-3</v>
      </c>
    </row>
    <row r="5837" spans="5:6" x14ac:dyDescent="0.35">
      <c r="E5837">
        <v>5834</v>
      </c>
      <c r="F5837">
        <f t="shared" ca="1" si="93"/>
        <v>-3.2723741773853648E-2</v>
      </c>
    </row>
    <row r="5838" spans="5:6" x14ac:dyDescent="0.35">
      <c r="E5838">
        <v>5835</v>
      </c>
      <c r="F5838">
        <f t="shared" ca="1" si="93"/>
        <v>-1.1354962346884264E-3</v>
      </c>
    </row>
    <row r="5839" spans="5:6" x14ac:dyDescent="0.35">
      <c r="E5839">
        <v>5836</v>
      </c>
      <c r="F5839">
        <f t="shared" ca="1" si="93"/>
        <v>-2.0685343178316877E-2</v>
      </c>
    </row>
    <row r="5840" spans="5:6" x14ac:dyDescent="0.35">
      <c r="E5840">
        <v>5837</v>
      </c>
      <c r="F5840">
        <f t="shared" ca="1" si="93"/>
        <v>-9.8813565694050223E-3</v>
      </c>
    </row>
    <row r="5841" spans="5:6" x14ac:dyDescent="0.35">
      <c r="E5841">
        <v>5838</v>
      </c>
      <c r="F5841">
        <f t="shared" ca="1" si="93"/>
        <v>5.7578104361437582E-4</v>
      </c>
    </row>
    <row r="5842" spans="5:6" x14ac:dyDescent="0.35">
      <c r="E5842">
        <v>5839</v>
      </c>
      <c r="F5842">
        <f t="shared" ca="1" si="93"/>
        <v>6.2599124050568252E-3</v>
      </c>
    </row>
    <row r="5843" spans="5:6" x14ac:dyDescent="0.35">
      <c r="E5843">
        <v>5840</v>
      </c>
      <c r="F5843">
        <f t="shared" ca="1" si="93"/>
        <v>1.5579314728678618E-2</v>
      </c>
    </row>
    <row r="5844" spans="5:6" x14ac:dyDescent="0.35">
      <c r="E5844">
        <v>5841</v>
      </c>
      <c r="F5844">
        <f t="shared" ca="1" si="93"/>
        <v>-2.3357970547132857E-3</v>
      </c>
    </row>
    <row r="5845" spans="5:6" x14ac:dyDescent="0.35">
      <c r="E5845">
        <v>5842</v>
      </c>
      <c r="F5845">
        <f t="shared" ca="1" si="93"/>
        <v>2.7795088677393105E-3</v>
      </c>
    </row>
    <row r="5846" spans="5:6" x14ac:dyDescent="0.35">
      <c r="E5846">
        <v>5843</v>
      </c>
      <c r="F5846">
        <f t="shared" ca="1" si="93"/>
        <v>-3.2420695273505224E-3</v>
      </c>
    </row>
    <row r="5847" spans="5:6" x14ac:dyDescent="0.35">
      <c r="E5847">
        <v>5844</v>
      </c>
      <c r="F5847">
        <f t="shared" ca="1" si="93"/>
        <v>-3.0211585574388745E-3</v>
      </c>
    </row>
    <row r="5848" spans="5:6" x14ac:dyDescent="0.35">
      <c r="E5848">
        <v>5845</v>
      </c>
      <c r="F5848">
        <f t="shared" ca="1" si="93"/>
        <v>6.2354583760000594E-3</v>
      </c>
    </row>
    <row r="5849" spans="5:6" x14ac:dyDescent="0.35">
      <c r="E5849">
        <v>5846</v>
      </c>
      <c r="F5849">
        <f t="shared" ca="1" si="93"/>
        <v>-5.5944426139335687E-3</v>
      </c>
    </row>
    <row r="5850" spans="5:6" x14ac:dyDescent="0.35">
      <c r="E5850">
        <v>5847</v>
      </c>
      <c r="F5850">
        <f t="shared" ca="1" si="93"/>
        <v>1.9990174725333043E-2</v>
      </c>
    </row>
    <row r="5851" spans="5:6" x14ac:dyDescent="0.35">
      <c r="E5851">
        <v>5848</v>
      </c>
      <c r="F5851">
        <f t="shared" ca="1" si="93"/>
        <v>9.2768654976558371E-3</v>
      </c>
    </row>
    <row r="5852" spans="5:6" x14ac:dyDescent="0.35">
      <c r="E5852">
        <v>5849</v>
      </c>
      <c r="F5852">
        <f t="shared" ca="1" si="93"/>
        <v>2.4720017343364521E-2</v>
      </c>
    </row>
    <row r="5853" spans="5:6" x14ac:dyDescent="0.35">
      <c r="E5853">
        <v>5850</v>
      </c>
      <c r="F5853">
        <f t="shared" ca="1" si="93"/>
        <v>1.0534293910146892E-2</v>
      </c>
    </row>
    <row r="5854" spans="5:6" x14ac:dyDescent="0.35">
      <c r="E5854">
        <v>5851</v>
      </c>
      <c r="F5854">
        <f t="shared" ca="1" si="93"/>
        <v>1.298864715553455E-2</v>
      </c>
    </row>
    <row r="5855" spans="5:6" x14ac:dyDescent="0.35">
      <c r="E5855">
        <v>5852</v>
      </c>
      <c r="F5855">
        <f t="shared" ca="1" si="93"/>
        <v>5.6967706998450728E-3</v>
      </c>
    </row>
    <row r="5856" spans="5:6" x14ac:dyDescent="0.35">
      <c r="E5856">
        <v>5853</v>
      </c>
      <c r="F5856">
        <f t="shared" ca="1" si="93"/>
        <v>-1.7210410094400927E-2</v>
      </c>
    </row>
    <row r="5857" spans="5:6" x14ac:dyDescent="0.35">
      <c r="E5857">
        <v>5854</v>
      </c>
      <c r="F5857">
        <f t="shared" ca="1" si="93"/>
        <v>9.8751613329880212E-3</v>
      </c>
    </row>
    <row r="5858" spans="5:6" x14ac:dyDescent="0.35">
      <c r="E5858">
        <v>5855</v>
      </c>
      <c r="F5858">
        <f t="shared" ca="1" si="93"/>
        <v>-9.6184079319871843E-3</v>
      </c>
    </row>
    <row r="5859" spans="5:6" x14ac:dyDescent="0.35">
      <c r="E5859">
        <v>5856</v>
      </c>
      <c r="F5859">
        <f t="shared" ca="1" si="93"/>
        <v>-5.5447521926359419E-3</v>
      </c>
    </row>
    <row r="5860" spans="5:6" x14ac:dyDescent="0.35">
      <c r="E5860">
        <v>5857</v>
      </c>
      <c r="F5860">
        <f t="shared" ca="1" si="93"/>
        <v>1.1806724612516596E-2</v>
      </c>
    </row>
    <row r="5861" spans="5:6" x14ac:dyDescent="0.35">
      <c r="E5861">
        <v>5858</v>
      </c>
      <c r="F5861">
        <f t="shared" ca="1" si="93"/>
        <v>2.1617947004071752E-2</v>
      </c>
    </row>
    <row r="5862" spans="5:6" x14ac:dyDescent="0.35">
      <c r="E5862">
        <v>5859</v>
      </c>
      <c r="F5862">
        <f t="shared" ca="1" si="93"/>
        <v>-7.3784445348036463E-3</v>
      </c>
    </row>
    <row r="5863" spans="5:6" x14ac:dyDescent="0.35">
      <c r="E5863">
        <v>5860</v>
      </c>
      <c r="F5863">
        <f t="shared" ca="1" si="93"/>
        <v>6.1923224736447E-4</v>
      </c>
    </row>
    <row r="5864" spans="5:6" x14ac:dyDescent="0.35">
      <c r="E5864">
        <v>5861</v>
      </c>
      <c r="F5864">
        <f t="shared" ca="1" si="93"/>
        <v>-1.6197735404506058E-2</v>
      </c>
    </row>
    <row r="5865" spans="5:6" x14ac:dyDescent="0.35">
      <c r="E5865">
        <v>5862</v>
      </c>
      <c r="F5865">
        <f t="shared" ca="1" si="93"/>
        <v>-1.4305773299390508E-2</v>
      </c>
    </row>
    <row r="5866" spans="5:6" x14ac:dyDescent="0.35">
      <c r="E5866">
        <v>5863</v>
      </c>
      <c r="F5866">
        <f t="shared" ca="1" si="93"/>
        <v>6.1090829626969118E-3</v>
      </c>
    </row>
    <row r="5867" spans="5:6" x14ac:dyDescent="0.35">
      <c r="E5867">
        <v>5864</v>
      </c>
      <c r="F5867">
        <f t="shared" ca="1" si="93"/>
        <v>3.1128714400156805E-2</v>
      </c>
    </row>
    <row r="5868" spans="5:6" x14ac:dyDescent="0.35">
      <c r="E5868">
        <v>5865</v>
      </c>
      <c r="F5868">
        <f t="shared" ca="1" si="93"/>
        <v>-1.6618466719405218E-2</v>
      </c>
    </row>
    <row r="5869" spans="5:6" x14ac:dyDescent="0.35">
      <c r="E5869">
        <v>5866</v>
      </c>
      <c r="F5869">
        <f t="shared" ca="1" si="93"/>
        <v>4.2348253296032963E-3</v>
      </c>
    </row>
    <row r="5870" spans="5:6" x14ac:dyDescent="0.35">
      <c r="E5870">
        <v>5867</v>
      </c>
      <c r="F5870">
        <f t="shared" ca="1" si="93"/>
        <v>1.8805275349299197E-2</v>
      </c>
    </row>
    <row r="5871" spans="5:6" x14ac:dyDescent="0.35">
      <c r="E5871">
        <v>5868</v>
      </c>
      <c r="F5871">
        <f t="shared" ca="1" si="93"/>
        <v>-1.1447669594246101E-2</v>
      </c>
    </row>
    <row r="5872" spans="5:6" x14ac:dyDescent="0.35">
      <c r="E5872">
        <v>5869</v>
      </c>
      <c r="F5872">
        <f t="shared" ca="1" si="93"/>
        <v>-1.7850488680649385E-3</v>
      </c>
    </row>
    <row r="5873" spans="5:6" x14ac:dyDescent="0.35">
      <c r="E5873">
        <v>5870</v>
      </c>
      <c r="F5873">
        <f t="shared" ca="1" si="93"/>
        <v>-5.9765410038778201E-3</v>
      </c>
    </row>
    <row r="5874" spans="5:6" x14ac:dyDescent="0.35">
      <c r="E5874">
        <v>5871</v>
      </c>
      <c r="F5874">
        <f t="shared" ca="1" si="93"/>
        <v>-2.5556115464944623E-3</v>
      </c>
    </row>
    <row r="5875" spans="5:6" x14ac:dyDescent="0.35">
      <c r="E5875">
        <v>5872</v>
      </c>
      <c r="F5875">
        <f t="shared" ca="1" si="93"/>
        <v>1.2800568030511964E-2</v>
      </c>
    </row>
    <row r="5876" spans="5:6" x14ac:dyDescent="0.35">
      <c r="E5876">
        <v>5873</v>
      </c>
      <c r="F5876">
        <f t="shared" ca="1" si="93"/>
        <v>-1.8681145021186188E-2</v>
      </c>
    </row>
    <row r="5877" spans="5:6" x14ac:dyDescent="0.35">
      <c r="E5877">
        <v>5874</v>
      </c>
      <c r="F5877">
        <f t="shared" ca="1" si="93"/>
        <v>-6.8706857324011619E-3</v>
      </c>
    </row>
    <row r="5878" spans="5:6" x14ac:dyDescent="0.35">
      <c r="E5878">
        <v>5875</v>
      </c>
      <c r="F5878">
        <f t="shared" ca="1" si="93"/>
        <v>-1.7316947744772663E-2</v>
      </c>
    </row>
    <row r="5879" spans="5:6" x14ac:dyDescent="0.35">
      <c r="E5879">
        <v>5876</v>
      </c>
      <c r="F5879">
        <f t="shared" ca="1" si="93"/>
        <v>-9.042950624422029E-3</v>
      </c>
    </row>
    <row r="5880" spans="5:6" x14ac:dyDescent="0.35">
      <c r="E5880">
        <v>5877</v>
      </c>
      <c r="F5880">
        <f t="shared" ca="1" si="93"/>
        <v>8.4015910710175633E-3</v>
      </c>
    </row>
    <row r="5881" spans="5:6" x14ac:dyDescent="0.35">
      <c r="E5881">
        <v>5878</v>
      </c>
      <c r="F5881">
        <f t="shared" ca="1" si="93"/>
        <v>-2.1852469883971735E-2</v>
      </c>
    </row>
    <row r="5882" spans="5:6" x14ac:dyDescent="0.35">
      <c r="E5882">
        <v>5879</v>
      </c>
      <c r="F5882">
        <f t="shared" ca="1" si="93"/>
        <v>2.7556604503651144E-2</v>
      </c>
    </row>
    <row r="5883" spans="5:6" x14ac:dyDescent="0.35">
      <c r="E5883">
        <v>5880</v>
      </c>
      <c r="F5883">
        <f t="shared" ca="1" si="93"/>
        <v>-2.3360835252150949E-2</v>
      </c>
    </row>
    <row r="5884" spans="5:6" x14ac:dyDescent="0.35">
      <c r="E5884">
        <v>5881</v>
      </c>
      <c r="F5884">
        <f t="shared" ca="1" si="93"/>
        <v>-6.6293415534863305E-4</v>
      </c>
    </row>
    <row r="5885" spans="5:6" x14ac:dyDescent="0.35">
      <c r="E5885">
        <v>5882</v>
      </c>
      <c r="F5885">
        <f t="shared" ca="1" si="93"/>
        <v>1.1523332535853877E-3</v>
      </c>
    </row>
    <row r="5886" spans="5:6" x14ac:dyDescent="0.35">
      <c r="E5886">
        <v>5883</v>
      </c>
      <c r="F5886">
        <f t="shared" ca="1" si="93"/>
        <v>-3.2461629366867771E-2</v>
      </c>
    </row>
    <row r="5887" spans="5:6" x14ac:dyDescent="0.35">
      <c r="E5887">
        <v>5884</v>
      </c>
      <c r="F5887">
        <f t="shared" ca="1" si="93"/>
        <v>-1.7894820206954796E-2</v>
      </c>
    </row>
    <row r="5888" spans="5:6" x14ac:dyDescent="0.35">
      <c r="E5888">
        <v>5885</v>
      </c>
      <c r="F5888">
        <f t="shared" ca="1" si="93"/>
        <v>-6.5392026784716782E-3</v>
      </c>
    </row>
    <row r="5889" spans="5:6" x14ac:dyDescent="0.35">
      <c r="E5889">
        <v>5886</v>
      </c>
      <c r="F5889">
        <f t="shared" ca="1" si="93"/>
        <v>3.0583431751372892E-2</v>
      </c>
    </row>
    <row r="5890" spans="5:6" x14ac:dyDescent="0.35">
      <c r="E5890">
        <v>5887</v>
      </c>
      <c r="F5890">
        <f t="shared" ca="1" si="93"/>
        <v>-1.0395496979981957E-2</v>
      </c>
    </row>
    <row r="5891" spans="5:6" x14ac:dyDescent="0.35">
      <c r="E5891">
        <v>5888</v>
      </c>
      <c r="F5891">
        <f t="shared" ca="1" si="93"/>
        <v>-1.2078551592331484E-2</v>
      </c>
    </row>
    <row r="5892" spans="5:6" x14ac:dyDescent="0.35">
      <c r="E5892">
        <v>5889</v>
      </c>
      <c r="F5892">
        <f t="shared" ca="1" si="93"/>
        <v>4.9421654004849144E-3</v>
      </c>
    </row>
    <row r="5893" spans="5:6" x14ac:dyDescent="0.35">
      <c r="E5893">
        <v>5890</v>
      </c>
      <c r="F5893">
        <f t="shared" ref="F5893:F5956" ca="1" si="94">_xlfn.NORM.INV(RAND(),M$6,M$7)</f>
        <v>-1.5279292887804434E-2</v>
      </c>
    </row>
    <row r="5894" spans="5:6" x14ac:dyDescent="0.35">
      <c r="E5894">
        <v>5891</v>
      </c>
      <c r="F5894">
        <f t="shared" ca="1" si="94"/>
        <v>-8.7537622505691574E-3</v>
      </c>
    </row>
    <row r="5895" spans="5:6" x14ac:dyDescent="0.35">
      <c r="E5895">
        <v>5892</v>
      </c>
      <c r="F5895">
        <f t="shared" ca="1" si="94"/>
        <v>-1.4640678760643455E-2</v>
      </c>
    </row>
    <row r="5896" spans="5:6" x14ac:dyDescent="0.35">
      <c r="E5896">
        <v>5893</v>
      </c>
      <c r="F5896">
        <f t="shared" ca="1" si="94"/>
        <v>-9.9961171424672035E-3</v>
      </c>
    </row>
    <row r="5897" spans="5:6" x14ac:dyDescent="0.35">
      <c r="E5897">
        <v>5894</v>
      </c>
      <c r="F5897">
        <f t="shared" ca="1" si="94"/>
        <v>1.4452764038331201E-3</v>
      </c>
    </row>
    <row r="5898" spans="5:6" x14ac:dyDescent="0.35">
      <c r="E5898">
        <v>5895</v>
      </c>
      <c r="F5898">
        <f t="shared" ca="1" si="94"/>
        <v>1.3395327445174575E-2</v>
      </c>
    </row>
    <row r="5899" spans="5:6" x14ac:dyDescent="0.35">
      <c r="E5899">
        <v>5896</v>
      </c>
      <c r="F5899">
        <f t="shared" ca="1" si="94"/>
        <v>1.0104023629077863E-2</v>
      </c>
    </row>
    <row r="5900" spans="5:6" x14ac:dyDescent="0.35">
      <c r="E5900">
        <v>5897</v>
      </c>
      <c r="F5900">
        <f t="shared" ca="1" si="94"/>
        <v>2.2550618635369581E-3</v>
      </c>
    </row>
    <row r="5901" spans="5:6" x14ac:dyDescent="0.35">
      <c r="E5901">
        <v>5898</v>
      </c>
      <c r="F5901">
        <f t="shared" ca="1" si="94"/>
        <v>3.0246111774359513E-2</v>
      </c>
    </row>
    <row r="5902" spans="5:6" x14ac:dyDescent="0.35">
      <c r="E5902">
        <v>5899</v>
      </c>
      <c r="F5902">
        <f t="shared" ca="1" si="94"/>
        <v>-6.8153153550949202E-3</v>
      </c>
    </row>
    <row r="5903" spans="5:6" x14ac:dyDescent="0.35">
      <c r="E5903">
        <v>5900</v>
      </c>
      <c r="F5903">
        <f t="shared" ca="1" si="94"/>
        <v>1.0931363513812505E-3</v>
      </c>
    </row>
    <row r="5904" spans="5:6" x14ac:dyDescent="0.35">
      <c r="E5904">
        <v>5901</v>
      </c>
      <c r="F5904">
        <f t="shared" ca="1" si="94"/>
        <v>2.0851429772566509E-3</v>
      </c>
    </row>
    <row r="5905" spans="5:6" x14ac:dyDescent="0.35">
      <c r="E5905">
        <v>5902</v>
      </c>
      <c r="F5905">
        <f t="shared" ca="1" si="94"/>
        <v>2.5822404443945575E-2</v>
      </c>
    </row>
    <row r="5906" spans="5:6" x14ac:dyDescent="0.35">
      <c r="E5906">
        <v>5903</v>
      </c>
      <c r="F5906">
        <f t="shared" ca="1" si="94"/>
        <v>5.2918183685849197E-3</v>
      </c>
    </row>
    <row r="5907" spans="5:6" x14ac:dyDescent="0.35">
      <c r="E5907">
        <v>5904</v>
      </c>
      <c r="F5907">
        <f t="shared" ca="1" si="94"/>
        <v>-1.6392064819043664E-2</v>
      </c>
    </row>
    <row r="5908" spans="5:6" x14ac:dyDescent="0.35">
      <c r="E5908">
        <v>5905</v>
      </c>
      <c r="F5908">
        <f t="shared" ca="1" si="94"/>
        <v>-1.4066223624728019E-2</v>
      </c>
    </row>
    <row r="5909" spans="5:6" x14ac:dyDescent="0.35">
      <c r="E5909">
        <v>5906</v>
      </c>
      <c r="F5909">
        <f t="shared" ca="1" si="94"/>
        <v>-1.7483874524353647E-2</v>
      </c>
    </row>
    <row r="5910" spans="5:6" x14ac:dyDescent="0.35">
      <c r="E5910">
        <v>5907</v>
      </c>
      <c r="F5910">
        <f t="shared" ca="1" si="94"/>
        <v>-1.4720498361018232E-3</v>
      </c>
    </row>
    <row r="5911" spans="5:6" x14ac:dyDescent="0.35">
      <c r="E5911">
        <v>5908</v>
      </c>
      <c r="F5911">
        <f t="shared" ca="1" si="94"/>
        <v>-4.4782968836956432E-3</v>
      </c>
    </row>
    <row r="5912" spans="5:6" x14ac:dyDescent="0.35">
      <c r="E5912">
        <v>5909</v>
      </c>
      <c r="F5912">
        <f t="shared" ca="1" si="94"/>
        <v>-4.5315919642917504E-3</v>
      </c>
    </row>
    <row r="5913" spans="5:6" x14ac:dyDescent="0.35">
      <c r="E5913">
        <v>5910</v>
      </c>
      <c r="F5913">
        <f t="shared" ca="1" si="94"/>
        <v>-3.964524327350635E-3</v>
      </c>
    </row>
    <row r="5914" spans="5:6" x14ac:dyDescent="0.35">
      <c r="E5914">
        <v>5911</v>
      </c>
      <c r="F5914">
        <f t="shared" ca="1" si="94"/>
        <v>-6.1152858773418917E-3</v>
      </c>
    </row>
    <row r="5915" spans="5:6" x14ac:dyDescent="0.35">
      <c r="E5915">
        <v>5912</v>
      </c>
      <c r="F5915">
        <f t="shared" ca="1" si="94"/>
        <v>-4.2236142050852635E-3</v>
      </c>
    </row>
    <row r="5916" spans="5:6" x14ac:dyDescent="0.35">
      <c r="E5916">
        <v>5913</v>
      </c>
      <c r="F5916">
        <f t="shared" ca="1" si="94"/>
        <v>6.0864549743138508E-3</v>
      </c>
    </row>
    <row r="5917" spans="5:6" x14ac:dyDescent="0.35">
      <c r="E5917">
        <v>5914</v>
      </c>
      <c r="F5917">
        <f t="shared" ca="1" si="94"/>
        <v>-1.0036737499691521E-2</v>
      </c>
    </row>
    <row r="5918" spans="5:6" x14ac:dyDescent="0.35">
      <c r="E5918">
        <v>5915</v>
      </c>
      <c r="F5918">
        <f t="shared" ca="1" si="94"/>
        <v>-1.9845342091001146E-2</v>
      </c>
    </row>
    <row r="5919" spans="5:6" x14ac:dyDescent="0.35">
      <c r="E5919">
        <v>5916</v>
      </c>
      <c r="F5919">
        <f t="shared" ca="1" si="94"/>
        <v>-1.8617942091356757E-2</v>
      </c>
    </row>
    <row r="5920" spans="5:6" x14ac:dyDescent="0.35">
      <c r="E5920">
        <v>5917</v>
      </c>
      <c r="F5920">
        <f t="shared" ca="1" si="94"/>
        <v>6.1911342430549261E-3</v>
      </c>
    </row>
    <row r="5921" spans="5:6" x14ac:dyDescent="0.35">
      <c r="E5921">
        <v>5918</v>
      </c>
      <c r="F5921">
        <f t="shared" ca="1" si="94"/>
        <v>1.2284473253054578E-3</v>
      </c>
    </row>
    <row r="5922" spans="5:6" x14ac:dyDescent="0.35">
      <c r="E5922">
        <v>5919</v>
      </c>
      <c r="F5922">
        <f t="shared" ca="1" si="94"/>
        <v>-3.2302164792106986E-3</v>
      </c>
    </row>
    <row r="5923" spans="5:6" x14ac:dyDescent="0.35">
      <c r="E5923">
        <v>5920</v>
      </c>
      <c r="F5923">
        <f t="shared" ca="1" si="94"/>
        <v>-2.8595580585743467E-2</v>
      </c>
    </row>
    <row r="5924" spans="5:6" x14ac:dyDescent="0.35">
      <c r="E5924">
        <v>5921</v>
      </c>
      <c r="F5924">
        <f t="shared" ca="1" si="94"/>
        <v>1.3001611739715802E-2</v>
      </c>
    </row>
    <row r="5925" spans="5:6" x14ac:dyDescent="0.35">
      <c r="E5925">
        <v>5922</v>
      </c>
      <c r="F5925">
        <f t="shared" ca="1" si="94"/>
        <v>8.4223585534123346E-3</v>
      </c>
    </row>
    <row r="5926" spans="5:6" x14ac:dyDescent="0.35">
      <c r="E5926">
        <v>5923</v>
      </c>
      <c r="F5926">
        <f t="shared" ca="1" si="94"/>
        <v>-1.7134657334965046E-2</v>
      </c>
    </row>
    <row r="5927" spans="5:6" x14ac:dyDescent="0.35">
      <c r="E5927">
        <v>5924</v>
      </c>
      <c r="F5927">
        <f t="shared" ca="1" si="94"/>
        <v>3.288274429404498E-3</v>
      </c>
    </row>
    <row r="5928" spans="5:6" x14ac:dyDescent="0.35">
      <c r="E5928">
        <v>5925</v>
      </c>
      <c r="F5928">
        <f t="shared" ca="1" si="94"/>
        <v>-8.0790061668002742E-4</v>
      </c>
    </row>
    <row r="5929" spans="5:6" x14ac:dyDescent="0.35">
      <c r="E5929">
        <v>5926</v>
      </c>
      <c r="F5929">
        <f t="shared" ca="1" si="94"/>
        <v>-1.5001718565316043E-3</v>
      </c>
    </row>
    <row r="5930" spans="5:6" x14ac:dyDescent="0.35">
      <c r="E5930">
        <v>5927</v>
      </c>
      <c r="F5930">
        <f t="shared" ca="1" si="94"/>
        <v>-1.6741913058710985E-2</v>
      </c>
    </row>
    <row r="5931" spans="5:6" x14ac:dyDescent="0.35">
      <c r="E5931">
        <v>5928</v>
      </c>
      <c r="F5931">
        <f t="shared" ca="1" si="94"/>
        <v>3.8390388153524625E-3</v>
      </c>
    </row>
    <row r="5932" spans="5:6" x14ac:dyDescent="0.35">
      <c r="E5932">
        <v>5929</v>
      </c>
      <c r="F5932">
        <f t="shared" ca="1" si="94"/>
        <v>-7.1245624780179465E-3</v>
      </c>
    </row>
    <row r="5933" spans="5:6" x14ac:dyDescent="0.35">
      <c r="E5933">
        <v>5930</v>
      </c>
      <c r="F5933">
        <f t="shared" ca="1" si="94"/>
        <v>-4.8831405180057172E-2</v>
      </c>
    </row>
    <row r="5934" spans="5:6" x14ac:dyDescent="0.35">
      <c r="E5934">
        <v>5931</v>
      </c>
      <c r="F5934">
        <f t="shared" ca="1" si="94"/>
        <v>1.1764261351790607E-2</v>
      </c>
    </row>
    <row r="5935" spans="5:6" x14ac:dyDescent="0.35">
      <c r="E5935">
        <v>5932</v>
      </c>
      <c r="F5935">
        <f t="shared" ca="1" si="94"/>
        <v>2.5654828807240411E-2</v>
      </c>
    </row>
    <row r="5936" spans="5:6" x14ac:dyDescent="0.35">
      <c r="E5936">
        <v>5933</v>
      </c>
      <c r="F5936">
        <f t="shared" ca="1" si="94"/>
        <v>2.0967244038289947E-2</v>
      </c>
    </row>
    <row r="5937" spans="5:6" x14ac:dyDescent="0.35">
      <c r="E5937">
        <v>5934</v>
      </c>
      <c r="F5937">
        <f t="shared" ca="1" si="94"/>
        <v>2.1045611424656874E-2</v>
      </c>
    </row>
    <row r="5938" spans="5:6" x14ac:dyDescent="0.35">
      <c r="E5938">
        <v>5935</v>
      </c>
      <c r="F5938">
        <f t="shared" ca="1" si="94"/>
        <v>-1.6355070177073933E-3</v>
      </c>
    </row>
    <row r="5939" spans="5:6" x14ac:dyDescent="0.35">
      <c r="E5939">
        <v>5936</v>
      </c>
      <c r="F5939">
        <f t="shared" ca="1" si="94"/>
        <v>-2.8455745936792648E-2</v>
      </c>
    </row>
    <row r="5940" spans="5:6" x14ac:dyDescent="0.35">
      <c r="E5940">
        <v>5937</v>
      </c>
      <c r="F5940">
        <f t="shared" ca="1" si="94"/>
        <v>3.5239051133950086E-3</v>
      </c>
    </row>
    <row r="5941" spans="5:6" x14ac:dyDescent="0.35">
      <c r="E5941">
        <v>5938</v>
      </c>
      <c r="F5941">
        <f t="shared" ca="1" si="94"/>
        <v>1.5545667731629981E-2</v>
      </c>
    </row>
    <row r="5942" spans="5:6" x14ac:dyDescent="0.35">
      <c r="E5942">
        <v>5939</v>
      </c>
      <c r="F5942">
        <f t="shared" ca="1" si="94"/>
        <v>-1.1021966586666336E-2</v>
      </c>
    </row>
    <row r="5943" spans="5:6" x14ac:dyDescent="0.35">
      <c r="E5943">
        <v>5940</v>
      </c>
      <c r="F5943">
        <f t="shared" ca="1" si="94"/>
        <v>3.3858398131570737E-3</v>
      </c>
    </row>
    <row r="5944" spans="5:6" x14ac:dyDescent="0.35">
      <c r="E5944">
        <v>5941</v>
      </c>
      <c r="F5944">
        <f t="shared" ca="1" si="94"/>
        <v>-1.503756259901692E-2</v>
      </c>
    </row>
    <row r="5945" spans="5:6" x14ac:dyDescent="0.35">
      <c r="E5945">
        <v>5942</v>
      </c>
      <c r="F5945">
        <f t="shared" ca="1" si="94"/>
        <v>2.543214098610588E-2</v>
      </c>
    </row>
    <row r="5946" spans="5:6" x14ac:dyDescent="0.35">
      <c r="E5946">
        <v>5943</v>
      </c>
      <c r="F5946">
        <f t="shared" ca="1" si="94"/>
        <v>8.2290765491133001E-3</v>
      </c>
    </row>
    <row r="5947" spans="5:6" x14ac:dyDescent="0.35">
      <c r="E5947">
        <v>5944</v>
      </c>
      <c r="F5947">
        <f t="shared" ca="1" si="94"/>
        <v>2.0970639037703829E-2</v>
      </c>
    </row>
    <row r="5948" spans="5:6" x14ac:dyDescent="0.35">
      <c r="E5948">
        <v>5945</v>
      </c>
      <c r="F5948">
        <f t="shared" ca="1" si="94"/>
        <v>-8.1664572265282512E-4</v>
      </c>
    </row>
    <row r="5949" spans="5:6" x14ac:dyDescent="0.35">
      <c r="E5949">
        <v>5946</v>
      </c>
      <c r="F5949">
        <f t="shared" ca="1" si="94"/>
        <v>2.8542755951874131E-2</v>
      </c>
    </row>
    <row r="5950" spans="5:6" x14ac:dyDescent="0.35">
      <c r="E5950">
        <v>5947</v>
      </c>
      <c r="F5950">
        <f t="shared" ca="1" si="94"/>
        <v>2.9632924744950901E-2</v>
      </c>
    </row>
    <row r="5951" spans="5:6" x14ac:dyDescent="0.35">
      <c r="E5951">
        <v>5948</v>
      </c>
      <c r="F5951">
        <f t="shared" ca="1" si="94"/>
        <v>1.0744501008090138E-2</v>
      </c>
    </row>
    <row r="5952" spans="5:6" x14ac:dyDescent="0.35">
      <c r="E5952">
        <v>5949</v>
      </c>
      <c r="F5952">
        <f t="shared" ca="1" si="94"/>
        <v>7.9382859014084841E-3</v>
      </c>
    </row>
    <row r="5953" spans="5:6" x14ac:dyDescent="0.35">
      <c r="E5953">
        <v>5950</v>
      </c>
      <c r="F5953">
        <f t="shared" ca="1" si="94"/>
        <v>-6.9506307832414614E-3</v>
      </c>
    </row>
    <row r="5954" spans="5:6" x14ac:dyDescent="0.35">
      <c r="E5954">
        <v>5951</v>
      </c>
      <c r="F5954">
        <f t="shared" ca="1" si="94"/>
        <v>6.6282527455167727E-3</v>
      </c>
    </row>
    <row r="5955" spans="5:6" x14ac:dyDescent="0.35">
      <c r="E5955">
        <v>5952</v>
      </c>
      <c r="F5955">
        <f t="shared" ca="1" si="94"/>
        <v>2.1073961695429605E-3</v>
      </c>
    </row>
    <row r="5956" spans="5:6" x14ac:dyDescent="0.35">
      <c r="E5956">
        <v>5953</v>
      </c>
      <c r="F5956">
        <f t="shared" ca="1" si="94"/>
        <v>2.0512516719378988E-2</v>
      </c>
    </row>
    <row r="5957" spans="5:6" x14ac:dyDescent="0.35">
      <c r="E5957">
        <v>5954</v>
      </c>
      <c r="F5957">
        <f t="shared" ref="F5957:F6020" ca="1" si="95">_xlfn.NORM.INV(RAND(),M$6,M$7)</f>
        <v>4.7698808511262075E-3</v>
      </c>
    </row>
    <row r="5958" spans="5:6" x14ac:dyDescent="0.35">
      <c r="E5958">
        <v>5955</v>
      </c>
      <c r="F5958">
        <f t="shared" ca="1" si="95"/>
        <v>2.2734100544858027E-2</v>
      </c>
    </row>
    <row r="5959" spans="5:6" x14ac:dyDescent="0.35">
      <c r="E5959">
        <v>5956</v>
      </c>
      <c r="F5959">
        <f t="shared" ca="1" si="95"/>
        <v>3.7344785939752061E-3</v>
      </c>
    </row>
    <row r="5960" spans="5:6" x14ac:dyDescent="0.35">
      <c r="E5960">
        <v>5957</v>
      </c>
      <c r="F5960">
        <f t="shared" ca="1" si="95"/>
        <v>-2.3120596009065245E-2</v>
      </c>
    </row>
    <row r="5961" spans="5:6" x14ac:dyDescent="0.35">
      <c r="E5961">
        <v>5958</v>
      </c>
      <c r="F5961">
        <f t="shared" ca="1" si="95"/>
        <v>-2.7980250007869308E-2</v>
      </c>
    </row>
    <row r="5962" spans="5:6" x14ac:dyDescent="0.35">
      <c r="E5962">
        <v>5959</v>
      </c>
      <c r="F5962">
        <f t="shared" ca="1" si="95"/>
        <v>-1.2666178848550725E-2</v>
      </c>
    </row>
    <row r="5963" spans="5:6" x14ac:dyDescent="0.35">
      <c r="E5963">
        <v>5960</v>
      </c>
      <c r="F5963">
        <f t="shared" ca="1" si="95"/>
        <v>-2.040115436020469E-2</v>
      </c>
    </row>
    <row r="5964" spans="5:6" x14ac:dyDescent="0.35">
      <c r="E5964">
        <v>5961</v>
      </c>
      <c r="F5964">
        <f t="shared" ca="1" si="95"/>
        <v>6.7532470208137695E-3</v>
      </c>
    </row>
    <row r="5965" spans="5:6" x14ac:dyDescent="0.35">
      <c r="E5965">
        <v>5962</v>
      </c>
      <c r="F5965">
        <f t="shared" ca="1" si="95"/>
        <v>-2.1602348954919023E-2</v>
      </c>
    </row>
    <row r="5966" spans="5:6" x14ac:dyDescent="0.35">
      <c r="E5966">
        <v>5963</v>
      </c>
      <c r="F5966">
        <f t="shared" ca="1" si="95"/>
        <v>1.7411225869749976E-2</v>
      </c>
    </row>
    <row r="5967" spans="5:6" x14ac:dyDescent="0.35">
      <c r="E5967">
        <v>5964</v>
      </c>
      <c r="F5967">
        <f t="shared" ca="1" si="95"/>
        <v>-1.5082786716053491E-3</v>
      </c>
    </row>
    <row r="5968" spans="5:6" x14ac:dyDescent="0.35">
      <c r="E5968">
        <v>5965</v>
      </c>
      <c r="F5968">
        <f t="shared" ca="1" si="95"/>
        <v>-1.1181914104590398E-2</v>
      </c>
    </row>
    <row r="5969" spans="5:6" x14ac:dyDescent="0.35">
      <c r="E5969">
        <v>5966</v>
      </c>
      <c r="F5969">
        <f t="shared" ca="1" si="95"/>
        <v>-1.365174045571496E-2</v>
      </c>
    </row>
    <row r="5970" spans="5:6" x14ac:dyDescent="0.35">
      <c r="E5970">
        <v>5967</v>
      </c>
      <c r="F5970">
        <f t="shared" ca="1" si="95"/>
        <v>-1.8950759277078399E-2</v>
      </c>
    </row>
    <row r="5971" spans="5:6" x14ac:dyDescent="0.35">
      <c r="E5971">
        <v>5968</v>
      </c>
      <c r="F5971">
        <f t="shared" ca="1" si="95"/>
        <v>-4.7609723676747913E-3</v>
      </c>
    </row>
    <row r="5972" spans="5:6" x14ac:dyDescent="0.35">
      <c r="E5972">
        <v>5969</v>
      </c>
      <c r="F5972">
        <f t="shared" ca="1" si="95"/>
        <v>1.0865549989198836E-2</v>
      </c>
    </row>
    <row r="5973" spans="5:6" x14ac:dyDescent="0.35">
      <c r="E5973">
        <v>5970</v>
      </c>
      <c r="F5973">
        <f t="shared" ca="1" si="95"/>
        <v>1.1860745801109284E-2</v>
      </c>
    </row>
    <row r="5974" spans="5:6" x14ac:dyDescent="0.35">
      <c r="E5974">
        <v>5971</v>
      </c>
      <c r="F5974">
        <f t="shared" ca="1" si="95"/>
        <v>1.5155755042809074E-2</v>
      </c>
    </row>
    <row r="5975" spans="5:6" x14ac:dyDescent="0.35">
      <c r="E5975">
        <v>5972</v>
      </c>
      <c r="F5975">
        <f t="shared" ca="1" si="95"/>
        <v>1.9911419318299907E-2</v>
      </c>
    </row>
    <row r="5976" spans="5:6" x14ac:dyDescent="0.35">
      <c r="E5976">
        <v>5973</v>
      </c>
      <c r="F5976">
        <f t="shared" ca="1" si="95"/>
        <v>1.6805298921195339E-2</v>
      </c>
    </row>
    <row r="5977" spans="5:6" x14ac:dyDescent="0.35">
      <c r="E5977">
        <v>5974</v>
      </c>
      <c r="F5977">
        <f t="shared" ca="1" si="95"/>
        <v>-1.6625165968112844E-2</v>
      </c>
    </row>
    <row r="5978" spans="5:6" x14ac:dyDescent="0.35">
      <c r="E5978">
        <v>5975</v>
      </c>
      <c r="F5978">
        <f t="shared" ca="1" si="95"/>
        <v>3.2602060071379823E-3</v>
      </c>
    </row>
    <row r="5979" spans="5:6" x14ac:dyDescent="0.35">
      <c r="E5979">
        <v>5976</v>
      </c>
      <c r="F5979">
        <f t="shared" ca="1" si="95"/>
        <v>3.6876106871133969E-2</v>
      </c>
    </row>
    <row r="5980" spans="5:6" x14ac:dyDescent="0.35">
      <c r="E5980">
        <v>5977</v>
      </c>
      <c r="F5980">
        <f t="shared" ca="1" si="95"/>
        <v>1.5413071571833793E-2</v>
      </c>
    </row>
    <row r="5981" spans="5:6" x14ac:dyDescent="0.35">
      <c r="E5981">
        <v>5978</v>
      </c>
      <c r="F5981">
        <f t="shared" ca="1" si="95"/>
        <v>-1.7494606386962493E-2</v>
      </c>
    </row>
    <row r="5982" spans="5:6" x14ac:dyDescent="0.35">
      <c r="E5982">
        <v>5979</v>
      </c>
      <c r="F5982">
        <f t="shared" ca="1" si="95"/>
        <v>-4.7036398440325512E-3</v>
      </c>
    </row>
    <row r="5983" spans="5:6" x14ac:dyDescent="0.35">
      <c r="E5983">
        <v>5980</v>
      </c>
      <c r="F5983">
        <f t="shared" ca="1" si="95"/>
        <v>6.9809535951697514E-4</v>
      </c>
    </row>
    <row r="5984" spans="5:6" x14ac:dyDescent="0.35">
      <c r="E5984">
        <v>5981</v>
      </c>
      <c r="F5984">
        <f t="shared" ca="1" si="95"/>
        <v>-8.1277907077539919E-3</v>
      </c>
    </row>
    <row r="5985" spans="5:6" x14ac:dyDescent="0.35">
      <c r="E5985">
        <v>5982</v>
      </c>
      <c r="F5985">
        <f t="shared" ca="1" si="95"/>
        <v>1.3356747367653759E-2</v>
      </c>
    </row>
    <row r="5986" spans="5:6" x14ac:dyDescent="0.35">
      <c r="E5986">
        <v>5983</v>
      </c>
      <c r="F5986">
        <f t="shared" ca="1" si="95"/>
        <v>-3.8956275772672301E-3</v>
      </c>
    </row>
    <row r="5987" spans="5:6" x14ac:dyDescent="0.35">
      <c r="E5987">
        <v>5984</v>
      </c>
      <c r="F5987">
        <f t="shared" ca="1" si="95"/>
        <v>7.4454715430231034E-3</v>
      </c>
    </row>
    <row r="5988" spans="5:6" x14ac:dyDescent="0.35">
      <c r="E5988">
        <v>5985</v>
      </c>
      <c r="F5988">
        <f t="shared" ca="1" si="95"/>
        <v>1.0007719086877771E-2</v>
      </c>
    </row>
    <row r="5989" spans="5:6" x14ac:dyDescent="0.35">
      <c r="E5989">
        <v>5986</v>
      </c>
      <c r="F5989">
        <f t="shared" ca="1" si="95"/>
        <v>1.0329039173157391E-2</v>
      </c>
    </row>
    <row r="5990" spans="5:6" x14ac:dyDescent="0.35">
      <c r="E5990">
        <v>5987</v>
      </c>
      <c r="F5990">
        <f t="shared" ca="1" si="95"/>
        <v>-7.543883198474783E-3</v>
      </c>
    </row>
    <row r="5991" spans="5:6" x14ac:dyDescent="0.35">
      <c r="E5991">
        <v>5988</v>
      </c>
      <c r="F5991">
        <f t="shared" ca="1" si="95"/>
        <v>1.190343616101735E-2</v>
      </c>
    </row>
    <row r="5992" spans="5:6" x14ac:dyDescent="0.35">
      <c r="E5992">
        <v>5989</v>
      </c>
      <c r="F5992">
        <f t="shared" ca="1" si="95"/>
        <v>1.7636129250419984E-2</v>
      </c>
    </row>
    <row r="5993" spans="5:6" x14ac:dyDescent="0.35">
      <c r="E5993">
        <v>5990</v>
      </c>
      <c r="F5993">
        <f t="shared" ca="1" si="95"/>
        <v>-1.4859252659487232E-3</v>
      </c>
    </row>
    <row r="5994" spans="5:6" x14ac:dyDescent="0.35">
      <c r="E5994">
        <v>5991</v>
      </c>
      <c r="F5994">
        <f t="shared" ca="1" si="95"/>
        <v>1.2682607486401255E-2</v>
      </c>
    </row>
    <row r="5995" spans="5:6" x14ac:dyDescent="0.35">
      <c r="E5995">
        <v>5992</v>
      </c>
      <c r="F5995">
        <f t="shared" ca="1" si="95"/>
        <v>-5.4400918710692113E-4</v>
      </c>
    </row>
    <row r="5996" spans="5:6" x14ac:dyDescent="0.35">
      <c r="E5996">
        <v>5993</v>
      </c>
      <c r="F5996">
        <f t="shared" ca="1" si="95"/>
        <v>-2.3321531300074575E-3</v>
      </c>
    </row>
    <row r="5997" spans="5:6" x14ac:dyDescent="0.35">
      <c r="E5997">
        <v>5994</v>
      </c>
      <c r="F5997">
        <f t="shared" ca="1" si="95"/>
        <v>2.5026983181914878E-2</v>
      </c>
    </row>
    <row r="5998" spans="5:6" x14ac:dyDescent="0.35">
      <c r="E5998">
        <v>5995</v>
      </c>
      <c r="F5998">
        <f t="shared" ca="1" si="95"/>
        <v>-1.6655973424005697E-3</v>
      </c>
    </row>
    <row r="5999" spans="5:6" x14ac:dyDescent="0.35">
      <c r="E5999">
        <v>5996</v>
      </c>
      <c r="F5999">
        <f t="shared" ca="1" si="95"/>
        <v>1.2825532766669317E-2</v>
      </c>
    </row>
    <row r="6000" spans="5:6" x14ac:dyDescent="0.35">
      <c r="E6000">
        <v>5997</v>
      </c>
      <c r="F6000">
        <f t="shared" ca="1" si="95"/>
        <v>1.7131292667158984E-2</v>
      </c>
    </row>
    <row r="6001" spans="5:6" x14ac:dyDescent="0.35">
      <c r="E6001">
        <v>5998</v>
      </c>
      <c r="F6001">
        <f t="shared" ca="1" si="95"/>
        <v>-1.2328569290849436E-3</v>
      </c>
    </row>
    <row r="6002" spans="5:6" x14ac:dyDescent="0.35">
      <c r="E6002">
        <v>5999</v>
      </c>
      <c r="F6002">
        <f t="shared" ca="1" si="95"/>
        <v>1.3369208666625363E-2</v>
      </c>
    </row>
    <row r="6003" spans="5:6" x14ac:dyDescent="0.35">
      <c r="E6003">
        <v>6000</v>
      </c>
      <c r="F6003">
        <f t="shared" ca="1" si="95"/>
        <v>-1.0096535823404437E-2</v>
      </c>
    </row>
    <row r="6004" spans="5:6" x14ac:dyDescent="0.35">
      <c r="E6004">
        <v>6001</v>
      </c>
      <c r="F6004">
        <f t="shared" ca="1" si="95"/>
        <v>-1.4613613283571218E-2</v>
      </c>
    </row>
    <row r="6005" spans="5:6" x14ac:dyDescent="0.35">
      <c r="E6005">
        <v>6002</v>
      </c>
      <c r="F6005">
        <f t="shared" ca="1" si="95"/>
        <v>-1.2023169951792621E-2</v>
      </c>
    </row>
    <row r="6006" spans="5:6" x14ac:dyDescent="0.35">
      <c r="E6006">
        <v>6003</v>
      </c>
      <c r="F6006">
        <f t="shared" ca="1" si="95"/>
        <v>2.8326795561800359E-3</v>
      </c>
    </row>
    <row r="6007" spans="5:6" x14ac:dyDescent="0.35">
      <c r="E6007">
        <v>6004</v>
      </c>
      <c r="F6007">
        <f t="shared" ca="1" si="95"/>
        <v>2.1086393460067326E-3</v>
      </c>
    </row>
    <row r="6008" spans="5:6" x14ac:dyDescent="0.35">
      <c r="E6008">
        <v>6005</v>
      </c>
      <c r="F6008">
        <f t="shared" ca="1" si="95"/>
        <v>1.2386535167285101E-2</v>
      </c>
    </row>
    <row r="6009" spans="5:6" x14ac:dyDescent="0.35">
      <c r="E6009">
        <v>6006</v>
      </c>
      <c r="F6009">
        <f t="shared" ca="1" si="95"/>
        <v>4.0472302103256889E-3</v>
      </c>
    </row>
    <row r="6010" spans="5:6" x14ac:dyDescent="0.35">
      <c r="E6010">
        <v>6007</v>
      </c>
      <c r="F6010">
        <f t="shared" ca="1" si="95"/>
        <v>1.9318048573966465E-2</v>
      </c>
    </row>
    <row r="6011" spans="5:6" x14ac:dyDescent="0.35">
      <c r="E6011">
        <v>6008</v>
      </c>
      <c r="F6011">
        <f t="shared" ca="1" si="95"/>
        <v>4.3894632715640175E-3</v>
      </c>
    </row>
    <row r="6012" spans="5:6" x14ac:dyDescent="0.35">
      <c r="E6012">
        <v>6009</v>
      </c>
      <c r="F6012">
        <f t="shared" ca="1" si="95"/>
        <v>-5.4630925078127451E-3</v>
      </c>
    </row>
    <row r="6013" spans="5:6" x14ac:dyDescent="0.35">
      <c r="E6013">
        <v>6010</v>
      </c>
      <c r="F6013">
        <f t="shared" ca="1" si="95"/>
        <v>1.7128241702362188E-2</v>
      </c>
    </row>
    <row r="6014" spans="5:6" x14ac:dyDescent="0.35">
      <c r="E6014">
        <v>6011</v>
      </c>
      <c r="F6014">
        <f t="shared" ca="1" si="95"/>
        <v>1.4690235110456824E-2</v>
      </c>
    </row>
    <row r="6015" spans="5:6" x14ac:dyDescent="0.35">
      <c r="E6015">
        <v>6012</v>
      </c>
      <c r="F6015">
        <f t="shared" ca="1" si="95"/>
        <v>1.70711617710806E-2</v>
      </c>
    </row>
    <row r="6016" spans="5:6" x14ac:dyDescent="0.35">
      <c r="E6016">
        <v>6013</v>
      </c>
      <c r="F6016">
        <f t="shared" ca="1" si="95"/>
        <v>-3.1522946679377922E-3</v>
      </c>
    </row>
    <row r="6017" spans="5:6" x14ac:dyDescent="0.35">
      <c r="E6017">
        <v>6014</v>
      </c>
      <c r="F6017">
        <f t="shared" ca="1" si="95"/>
        <v>-1.5129303004619296E-2</v>
      </c>
    </row>
    <row r="6018" spans="5:6" x14ac:dyDescent="0.35">
      <c r="E6018">
        <v>6015</v>
      </c>
      <c r="F6018">
        <f t="shared" ca="1" si="95"/>
        <v>-6.9387821005696499E-3</v>
      </c>
    </row>
    <row r="6019" spans="5:6" x14ac:dyDescent="0.35">
      <c r="E6019">
        <v>6016</v>
      </c>
      <c r="F6019">
        <f t="shared" ca="1" si="95"/>
        <v>-1.6470593860273539E-2</v>
      </c>
    </row>
    <row r="6020" spans="5:6" x14ac:dyDescent="0.35">
      <c r="E6020">
        <v>6017</v>
      </c>
      <c r="F6020">
        <f t="shared" ca="1" si="95"/>
        <v>-7.868027113007766E-3</v>
      </c>
    </row>
    <row r="6021" spans="5:6" x14ac:dyDescent="0.35">
      <c r="E6021">
        <v>6018</v>
      </c>
      <c r="F6021">
        <f t="shared" ref="F6021:F6084" ca="1" si="96">_xlfn.NORM.INV(RAND(),M$6,M$7)</f>
        <v>1.1625121589158918E-2</v>
      </c>
    </row>
    <row r="6022" spans="5:6" x14ac:dyDescent="0.35">
      <c r="E6022">
        <v>6019</v>
      </c>
      <c r="F6022">
        <f t="shared" ca="1" si="96"/>
        <v>6.3086893992511826E-3</v>
      </c>
    </row>
    <row r="6023" spans="5:6" x14ac:dyDescent="0.35">
      <c r="E6023">
        <v>6020</v>
      </c>
      <c r="F6023">
        <f t="shared" ca="1" si="96"/>
        <v>4.3163901116775932E-3</v>
      </c>
    </row>
    <row r="6024" spans="5:6" x14ac:dyDescent="0.35">
      <c r="E6024">
        <v>6021</v>
      </c>
      <c r="F6024">
        <f t="shared" ca="1" si="96"/>
        <v>-4.783742612014699E-3</v>
      </c>
    </row>
    <row r="6025" spans="5:6" x14ac:dyDescent="0.35">
      <c r="E6025">
        <v>6022</v>
      </c>
      <c r="F6025">
        <f t="shared" ca="1" si="96"/>
        <v>-2.1797598138282307E-2</v>
      </c>
    </row>
    <row r="6026" spans="5:6" x14ac:dyDescent="0.35">
      <c r="E6026">
        <v>6023</v>
      </c>
      <c r="F6026">
        <f t="shared" ca="1" si="96"/>
        <v>-2.0613302772412054E-3</v>
      </c>
    </row>
    <row r="6027" spans="5:6" x14ac:dyDescent="0.35">
      <c r="E6027">
        <v>6024</v>
      </c>
      <c r="F6027">
        <f t="shared" ca="1" si="96"/>
        <v>1.3577058067818172E-3</v>
      </c>
    </row>
    <row r="6028" spans="5:6" x14ac:dyDescent="0.35">
      <c r="E6028">
        <v>6025</v>
      </c>
      <c r="F6028">
        <f t="shared" ca="1" si="96"/>
        <v>1.7236143319320506E-2</v>
      </c>
    </row>
    <row r="6029" spans="5:6" x14ac:dyDescent="0.35">
      <c r="E6029">
        <v>6026</v>
      </c>
      <c r="F6029">
        <f t="shared" ca="1" si="96"/>
        <v>3.7618359214358411E-3</v>
      </c>
    </row>
    <row r="6030" spans="5:6" x14ac:dyDescent="0.35">
      <c r="E6030">
        <v>6027</v>
      </c>
      <c r="F6030">
        <f t="shared" ca="1" si="96"/>
        <v>1.6222774421841611E-3</v>
      </c>
    </row>
    <row r="6031" spans="5:6" x14ac:dyDescent="0.35">
      <c r="E6031">
        <v>6028</v>
      </c>
      <c r="F6031">
        <f t="shared" ca="1" si="96"/>
        <v>-6.2375377392761546E-3</v>
      </c>
    </row>
    <row r="6032" spans="5:6" x14ac:dyDescent="0.35">
      <c r="E6032">
        <v>6029</v>
      </c>
      <c r="F6032">
        <f t="shared" ca="1" si="96"/>
        <v>-4.6698479039342008E-4</v>
      </c>
    </row>
    <row r="6033" spans="5:6" x14ac:dyDescent="0.35">
      <c r="E6033">
        <v>6030</v>
      </c>
      <c r="F6033">
        <f t="shared" ca="1" si="96"/>
        <v>-6.6167464191825044E-3</v>
      </c>
    </row>
    <row r="6034" spans="5:6" x14ac:dyDescent="0.35">
      <c r="E6034">
        <v>6031</v>
      </c>
      <c r="F6034">
        <f t="shared" ca="1" si="96"/>
        <v>4.8050184454040863E-3</v>
      </c>
    </row>
    <row r="6035" spans="5:6" x14ac:dyDescent="0.35">
      <c r="E6035">
        <v>6032</v>
      </c>
      <c r="F6035">
        <f t="shared" ca="1" si="96"/>
        <v>-1.9670601268119846E-3</v>
      </c>
    </row>
    <row r="6036" spans="5:6" x14ac:dyDescent="0.35">
      <c r="E6036">
        <v>6033</v>
      </c>
      <c r="F6036">
        <f t="shared" ca="1" si="96"/>
        <v>-2.5145378826371041E-2</v>
      </c>
    </row>
    <row r="6037" spans="5:6" x14ac:dyDescent="0.35">
      <c r="E6037">
        <v>6034</v>
      </c>
      <c r="F6037">
        <f t="shared" ca="1" si="96"/>
        <v>3.0811854454398466E-2</v>
      </c>
    </row>
    <row r="6038" spans="5:6" x14ac:dyDescent="0.35">
      <c r="E6038">
        <v>6035</v>
      </c>
      <c r="F6038">
        <f t="shared" ca="1" si="96"/>
        <v>7.5703333678135021E-3</v>
      </c>
    </row>
    <row r="6039" spans="5:6" x14ac:dyDescent="0.35">
      <c r="E6039">
        <v>6036</v>
      </c>
      <c r="F6039">
        <f t="shared" ca="1" si="96"/>
        <v>-1.8642900113012784E-2</v>
      </c>
    </row>
    <row r="6040" spans="5:6" x14ac:dyDescent="0.35">
      <c r="E6040">
        <v>6037</v>
      </c>
      <c r="F6040">
        <f t="shared" ca="1" si="96"/>
        <v>1.8528888056910324E-2</v>
      </c>
    </row>
    <row r="6041" spans="5:6" x14ac:dyDescent="0.35">
      <c r="E6041">
        <v>6038</v>
      </c>
      <c r="F6041">
        <f t="shared" ca="1" si="96"/>
        <v>-1.1607410398785465E-2</v>
      </c>
    </row>
    <row r="6042" spans="5:6" x14ac:dyDescent="0.35">
      <c r="E6042">
        <v>6039</v>
      </c>
      <c r="F6042">
        <f t="shared" ca="1" si="96"/>
        <v>7.452583365652252E-3</v>
      </c>
    </row>
    <row r="6043" spans="5:6" x14ac:dyDescent="0.35">
      <c r="E6043">
        <v>6040</v>
      </c>
      <c r="F6043">
        <f t="shared" ca="1" si="96"/>
        <v>3.1968661662051971E-2</v>
      </c>
    </row>
    <row r="6044" spans="5:6" x14ac:dyDescent="0.35">
      <c r="E6044">
        <v>6041</v>
      </c>
      <c r="F6044">
        <f t="shared" ca="1" si="96"/>
        <v>2.9967697148397129E-2</v>
      </c>
    </row>
    <row r="6045" spans="5:6" x14ac:dyDescent="0.35">
      <c r="E6045">
        <v>6042</v>
      </c>
      <c r="F6045">
        <f t="shared" ca="1" si="96"/>
        <v>-7.7701101706551274E-3</v>
      </c>
    </row>
    <row r="6046" spans="5:6" x14ac:dyDescent="0.35">
      <c r="E6046">
        <v>6043</v>
      </c>
      <c r="F6046">
        <f t="shared" ca="1" si="96"/>
        <v>2.3909589294430621E-2</v>
      </c>
    </row>
    <row r="6047" spans="5:6" x14ac:dyDescent="0.35">
      <c r="E6047">
        <v>6044</v>
      </c>
      <c r="F6047">
        <f t="shared" ca="1" si="96"/>
        <v>-4.6346065044220982E-3</v>
      </c>
    </row>
    <row r="6048" spans="5:6" x14ac:dyDescent="0.35">
      <c r="E6048">
        <v>6045</v>
      </c>
      <c r="F6048">
        <f t="shared" ca="1" si="96"/>
        <v>2.7064739080728255E-2</v>
      </c>
    </row>
    <row r="6049" spans="5:6" x14ac:dyDescent="0.35">
      <c r="E6049">
        <v>6046</v>
      </c>
      <c r="F6049">
        <f t="shared" ca="1" si="96"/>
        <v>1.3189398519934034E-3</v>
      </c>
    </row>
    <row r="6050" spans="5:6" x14ac:dyDescent="0.35">
      <c r="E6050">
        <v>6047</v>
      </c>
      <c r="F6050">
        <f t="shared" ca="1" si="96"/>
        <v>-4.6403564547060835E-3</v>
      </c>
    </row>
    <row r="6051" spans="5:6" x14ac:dyDescent="0.35">
      <c r="E6051">
        <v>6048</v>
      </c>
      <c r="F6051">
        <f t="shared" ca="1" si="96"/>
        <v>2.0803303910964667E-2</v>
      </c>
    </row>
    <row r="6052" spans="5:6" x14ac:dyDescent="0.35">
      <c r="E6052">
        <v>6049</v>
      </c>
      <c r="F6052">
        <f t="shared" ca="1" si="96"/>
        <v>5.6195529929567185E-3</v>
      </c>
    </row>
    <row r="6053" spans="5:6" x14ac:dyDescent="0.35">
      <c r="E6053">
        <v>6050</v>
      </c>
      <c r="F6053">
        <f t="shared" ca="1" si="96"/>
        <v>-2.8455296282780141E-5</v>
      </c>
    </row>
    <row r="6054" spans="5:6" x14ac:dyDescent="0.35">
      <c r="E6054">
        <v>6051</v>
      </c>
      <c r="F6054">
        <f t="shared" ca="1" si="96"/>
        <v>-4.2133819371882059E-3</v>
      </c>
    </row>
    <row r="6055" spans="5:6" x14ac:dyDescent="0.35">
      <c r="E6055">
        <v>6052</v>
      </c>
      <c r="F6055">
        <f t="shared" ca="1" si="96"/>
        <v>-2.4902918601433653E-3</v>
      </c>
    </row>
    <row r="6056" spans="5:6" x14ac:dyDescent="0.35">
      <c r="E6056">
        <v>6053</v>
      </c>
      <c r="F6056">
        <f t="shared" ca="1" si="96"/>
        <v>4.0787463799157025E-3</v>
      </c>
    </row>
    <row r="6057" spans="5:6" x14ac:dyDescent="0.35">
      <c r="E6057">
        <v>6054</v>
      </c>
      <c r="F6057">
        <f t="shared" ca="1" si="96"/>
        <v>8.9823142961267879E-3</v>
      </c>
    </row>
    <row r="6058" spans="5:6" x14ac:dyDescent="0.35">
      <c r="E6058">
        <v>6055</v>
      </c>
      <c r="F6058">
        <f t="shared" ca="1" si="96"/>
        <v>-1.7620982899498789E-3</v>
      </c>
    </row>
    <row r="6059" spans="5:6" x14ac:dyDescent="0.35">
      <c r="E6059">
        <v>6056</v>
      </c>
      <c r="F6059">
        <f t="shared" ca="1" si="96"/>
        <v>-4.4998106403232171E-3</v>
      </c>
    </row>
    <row r="6060" spans="5:6" x14ac:dyDescent="0.35">
      <c r="E6060">
        <v>6057</v>
      </c>
      <c r="F6060">
        <f t="shared" ca="1" si="96"/>
        <v>2.6463200461265307E-3</v>
      </c>
    </row>
    <row r="6061" spans="5:6" x14ac:dyDescent="0.35">
      <c r="E6061">
        <v>6058</v>
      </c>
      <c r="F6061">
        <f t="shared" ca="1" si="96"/>
        <v>1.7988749533083596E-2</v>
      </c>
    </row>
    <row r="6062" spans="5:6" x14ac:dyDescent="0.35">
      <c r="E6062">
        <v>6059</v>
      </c>
      <c r="F6062">
        <f t="shared" ca="1" si="96"/>
        <v>-3.0657039880530867E-2</v>
      </c>
    </row>
    <row r="6063" spans="5:6" x14ac:dyDescent="0.35">
      <c r="E6063">
        <v>6060</v>
      </c>
      <c r="F6063">
        <f t="shared" ca="1" si="96"/>
        <v>1.00178907803693E-2</v>
      </c>
    </row>
    <row r="6064" spans="5:6" x14ac:dyDescent="0.35">
      <c r="E6064">
        <v>6061</v>
      </c>
      <c r="F6064">
        <f t="shared" ca="1" si="96"/>
        <v>-5.0227167159704123E-3</v>
      </c>
    </row>
    <row r="6065" spans="5:6" x14ac:dyDescent="0.35">
      <c r="E6065">
        <v>6062</v>
      </c>
      <c r="F6065">
        <f t="shared" ca="1" si="96"/>
        <v>3.8417321749148026E-2</v>
      </c>
    </row>
    <row r="6066" spans="5:6" x14ac:dyDescent="0.35">
      <c r="E6066">
        <v>6063</v>
      </c>
      <c r="F6066">
        <f t="shared" ca="1" si="96"/>
        <v>1.3959385837372404E-2</v>
      </c>
    </row>
    <row r="6067" spans="5:6" x14ac:dyDescent="0.35">
      <c r="E6067">
        <v>6064</v>
      </c>
      <c r="F6067">
        <f t="shared" ca="1" si="96"/>
        <v>-2.5875523804279837E-3</v>
      </c>
    </row>
    <row r="6068" spans="5:6" x14ac:dyDescent="0.35">
      <c r="E6068">
        <v>6065</v>
      </c>
      <c r="F6068">
        <f t="shared" ca="1" si="96"/>
        <v>4.6690487991212148E-3</v>
      </c>
    </row>
    <row r="6069" spans="5:6" x14ac:dyDescent="0.35">
      <c r="E6069">
        <v>6066</v>
      </c>
      <c r="F6069">
        <f t="shared" ca="1" si="96"/>
        <v>-2.7460573492457213E-4</v>
      </c>
    </row>
    <row r="6070" spans="5:6" x14ac:dyDescent="0.35">
      <c r="E6070">
        <v>6067</v>
      </c>
      <c r="F6070">
        <f t="shared" ca="1" si="96"/>
        <v>-3.3238179328265144E-2</v>
      </c>
    </row>
    <row r="6071" spans="5:6" x14ac:dyDescent="0.35">
      <c r="E6071">
        <v>6068</v>
      </c>
      <c r="F6071">
        <f t="shared" ca="1" si="96"/>
        <v>1.7528786565395391E-3</v>
      </c>
    </row>
    <row r="6072" spans="5:6" x14ac:dyDescent="0.35">
      <c r="E6072">
        <v>6069</v>
      </c>
      <c r="F6072">
        <f t="shared" ca="1" si="96"/>
        <v>1.1556901583545429E-2</v>
      </c>
    </row>
    <row r="6073" spans="5:6" x14ac:dyDescent="0.35">
      <c r="E6073">
        <v>6070</v>
      </c>
      <c r="F6073">
        <f t="shared" ca="1" si="96"/>
        <v>-1.5349600313842676E-2</v>
      </c>
    </row>
    <row r="6074" spans="5:6" x14ac:dyDescent="0.35">
      <c r="E6074">
        <v>6071</v>
      </c>
      <c r="F6074">
        <f t="shared" ca="1" si="96"/>
        <v>4.2721159107144802E-2</v>
      </c>
    </row>
    <row r="6075" spans="5:6" x14ac:dyDescent="0.35">
      <c r="E6075">
        <v>6072</v>
      </c>
      <c r="F6075">
        <f t="shared" ca="1" si="96"/>
        <v>-3.4258798091211335E-3</v>
      </c>
    </row>
    <row r="6076" spans="5:6" x14ac:dyDescent="0.35">
      <c r="E6076">
        <v>6073</v>
      </c>
      <c r="F6076">
        <f t="shared" ca="1" si="96"/>
        <v>-3.3919293448430089E-3</v>
      </c>
    </row>
    <row r="6077" spans="5:6" x14ac:dyDescent="0.35">
      <c r="E6077">
        <v>6074</v>
      </c>
      <c r="F6077">
        <f t="shared" ca="1" si="96"/>
        <v>1.00565314413362E-3</v>
      </c>
    </row>
    <row r="6078" spans="5:6" x14ac:dyDescent="0.35">
      <c r="E6078">
        <v>6075</v>
      </c>
      <c r="F6078">
        <f t="shared" ca="1" si="96"/>
        <v>3.2022659239596109E-2</v>
      </c>
    </row>
    <row r="6079" spans="5:6" x14ac:dyDescent="0.35">
      <c r="E6079">
        <v>6076</v>
      </c>
      <c r="F6079">
        <f t="shared" ca="1" si="96"/>
        <v>-1.814253782385877E-2</v>
      </c>
    </row>
    <row r="6080" spans="5:6" x14ac:dyDescent="0.35">
      <c r="E6080">
        <v>6077</v>
      </c>
      <c r="F6080">
        <f t="shared" ca="1" si="96"/>
        <v>1.6030762956370298E-3</v>
      </c>
    </row>
    <row r="6081" spans="5:6" x14ac:dyDescent="0.35">
      <c r="E6081">
        <v>6078</v>
      </c>
      <c r="F6081">
        <f t="shared" ca="1" si="96"/>
        <v>4.7737849012298777E-3</v>
      </c>
    </row>
    <row r="6082" spans="5:6" x14ac:dyDescent="0.35">
      <c r="E6082">
        <v>6079</v>
      </c>
      <c r="F6082">
        <f t="shared" ca="1" si="96"/>
        <v>1.079372390930947E-2</v>
      </c>
    </row>
    <row r="6083" spans="5:6" x14ac:dyDescent="0.35">
      <c r="E6083">
        <v>6080</v>
      </c>
      <c r="F6083">
        <f t="shared" ca="1" si="96"/>
        <v>-2.224175303198505E-2</v>
      </c>
    </row>
    <row r="6084" spans="5:6" x14ac:dyDescent="0.35">
      <c r="E6084">
        <v>6081</v>
      </c>
      <c r="F6084">
        <f t="shared" ca="1" si="96"/>
        <v>-6.8124227829567349E-4</v>
      </c>
    </row>
    <row r="6085" spans="5:6" x14ac:dyDescent="0.35">
      <c r="E6085">
        <v>6082</v>
      </c>
      <c r="F6085">
        <f t="shared" ref="F6085:F6148" ca="1" si="97">_xlfn.NORM.INV(RAND(),M$6,M$7)</f>
        <v>-4.6033404859446136E-3</v>
      </c>
    </row>
    <row r="6086" spans="5:6" x14ac:dyDescent="0.35">
      <c r="E6086">
        <v>6083</v>
      </c>
      <c r="F6086">
        <f t="shared" ca="1" si="97"/>
        <v>9.9785485436667005E-3</v>
      </c>
    </row>
    <row r="6087" spans="5:6" x14ac:dyDescent="0.35">
      <c r="E6087">
        <v>6084</v>
      </c>
      <c r="F6087">
        <f t="shared" ca="1" si="97"/>
        <v>-1.799687428088113E-2</v>
      </c>
    </row>
    <row r="6088" spans="5:6" x14ac:dyDescent="0.35">
      <c r="E6088">
        <v>6085</v>
      </c>
      <c r="F6088">
        <f t="shared" ca="1" si="97"/>
        <v>3.6688389234992215E-2</v>
      </c>
    </row>
    <row r="6089" spans="5:6" x14ac:dyDescent="0.35">
      <c r="E6089">
        <v>6086</v>
      </c>
      <c r="F6089">
        <f t="shared" ca="1" si="97"/>
        <v>3.4495326637253937E-2</v>
      </c>
    </row>
    <row r="6090" spans="5:6" x14ac:dyDescent="0.35">
      <c r="E6090">
        <v>6087</v>
      </c>
      <c r="F6090">
        <f t="shared" ca="1" si="97"/>
        <v>3.3707516593840582E-3</v>
      </c>
    </row>
    <row r="6091" spans="5:6" x14ac:dyDescent="0.35">
      <c r="E6091">
        <v>6088</v>
      </c>
      <c r="F6091">
        <f t="shared" ca="1" si="97"/>
        <v>1.6157366777155364E-2</v>
      </c>
    </row>
    <row r="6092" spans="5:6" x14ac:dyDescent="0.35">
      <c r="E6092">
        <v>6089</v>
      </c>
      <c r="F6092">
        <f t="shared" ca="1" si="97"/>
        <v>6.6918363698238829E-3</v>
      </c>
    </row>
    <row r="6093" spans="5:6" x14ac:dyDescent="0.35">
      <c r="E6093">
        <v>6090</v>
      </c>
      <c r="F6093">
        <f t="shared" ca="1" si="97"/>
        <v>-2.1916072217455517E-2</v>
      </c>
    </row>
    <row r="6094" spans="5:6" x14ac:dyDescent="0.35">
      <c r="E6094">
        <v>6091</v>
      </c>
      <c r="F6094">
        <f t="shared" ca="1" si="97"/>
        <v>2.0000199724272891E-2</v>
      </c>
    </row>
    <row r="6095" spans="5:6" x14ac:dyDescent="0.35">
      <c r="E6095">
        <v>6092</v>
      </c>
      <c r="F6095">
        <f t="shared" ca="1" si="97"/>
        <v>7.0069784771633614E-3</v>
      </c>
    </row>
    <row r="6096" spans="5:6" x14ac:dyDescent="0.35">
      <c r="E6096">
        <v>6093</v>
      </c>
      <c r="F6096">
        <f t="shared" ca="1" si="97"/>
        <v>2.199755610536408E-2</v>
      </c>
    </row>
    <row r="6097" spans="5:6" x14ac:dyDescent="0.35">
      <c r="E6097">
        <v>6094</v>
      </c>
      <c r="F6097">
        <f t="shared" ca="1" si="97"/>
        <v>-9.0310552246241974E-3</v>
      </c>
    </row>
    <row r="6098" spans="5:6" x14ac:dyDescent="0.35">
      <c r="E6098">
        <v>6095</v>
      </c>
      <c r="F6098">
        <f t="shared" ca="1" si="97"/>
        <v>-2.0178474045272911E-3</v>
      </c>
    </row>
    <row r="6099" spans="5:6" x14ac:dyDescent="0.35">
      <c r="E6099">
        <v>6096</v>
      </c>
      <c r="F6099">
        <f t="shared" ca="1" si="97"/>
        <v>3.2226572580143275E-4</v>
      </c>
    </row>
    <row r="6100" spans="5:6" x14ac:dyDescent="0.35">
      <c r="E6100">
        <v>6097</v>
      </c>
      <c r="F6100">
        <f t="shared" ca="1" si="97"/>
        <v>9.4336806036747368E-3</v>
      </c>
    </row>
    <row r="6101" spans="5:6" x14ac:dyDescent="0.35">
      <c r="E6101">
        <v>6098</v>
      </c>
      <c r="F6101">
        <f t="shared" ca="1" si="97"/>
        <v>1.2122133361895793E-2</v>
      </c>
    </row>
    <row r="6102" spans="5:6" x14ac:dyDescent="0.35">
      <c r="E6102">
        <v>6099</v>
      </c>
      <c r="F6102">
        <f t="shared" ca="1" si="97"/>
        <v>1.7264401574177434E-3</v>
      </c>
    </row>
    <row r="6103" spans="5:6" x14ac:dyDescent="0.35">
      <c r="E6103">
        <v>6100</v>
      </c>
      <c r="F6103">
        <f t="shared" ca="1" si="97"/>
        <v>-3.6686803199028353E-2</v>
      </c>
    </row>
    <row r="6104" spans="5:6" x14ac:dyDescent="0.35">
      <c r="E6104">
        <v>6101</v>
      </c>
      <c r="F6104">
        <f t="shared" ca="1" si="97"/>
        <v>2.2541163727587219E-2</v>
      </c>
    </row>
    <row r="6105" spans="5:6" x14ac:dyDescent="0.35">
      <c r="E6105">
        <v>6102</v>
      </c>
      <c r="F6105">
        <f t="shared" ca="1" si="97"/>
        <v>5.3719262049336117E-3</v>
      </c>
    </row>
    <row r="6106" spans="5:6" x14ac:dyDescent="0.35">
      <c r="E6106">
        <v>6103</v>
      </c>
      <c r="F6106">
        <f t="shared" ca="1" si="97"/>
        <v>-1.0000913973005074E-2</v>
      </c>
    </row>
    <row r="6107" spans="5:6" x14ac:dyDescent="0.35">
      <c r="E6107">
        <v>6104</v>
      </c>
      <c r="F6107">
        <f t="shared" ca="1" si="97"/>
        <v>-4.6914712680712692E-2</v>
      </c>
    </row>
    <row r="6108" spans="5:6" x14ac:dyDescent="0.35">
      <c r="E6108">
        <v>6105</v>
      </c>
      <c r="F6108">
        <f t="shared" ca="1" si="97"/>
        <v>-9.3239361416894723E-3</v>
      </c>
    </row>
    <row r="6109" spans="5:6" x14ac:dyDescent="0.35">
      <c r="E6109">
        <v>6106</v>
      </c>
      <c r="F6109">
        <f t="shared" ca="1" si="97"/>
        <v>1.3919806084357118E-2</v>
      </c>
    </row>
    <row r="6110" spans="5:6" x14ac:dyDescent="0.35">
      <c r="E6110">
        <v>6107</v>
      </c>
      <c r="F6110">
        <f t="shared" ca="1" si="97"/>
        <v>-1.4101723087728923E-2</v>
      </c>
    </row>
    <row r="6111" spans="5:6" x14ac:dyDescent="0.35">
      <c r="E6111">
        <v>6108</v>
      </c>
      <c r="F6111">
        <f t="shared" ca="1" si="97"/>
        <v>-1.0850066834760877E-3</v>
      </c>
    </row>
    <row r="6112" spans="5:6" x14ac:dyDescent="0.35">
      <c r="E6112">
        <v>6109</v>
      </c>
      <c r="F6112">
        <f t="shared" ca="1" si="97"/>
        <v>-7.6195698685962883E-3</v>
      </c>
    </row>
    <row r="6113" spans="5:6" x14ac:dyDescent="0.35">
      <c r="E6113">
        <v>6110</v>
      </c>
      <c r="F6113">
        <f t="shared" ca="1" si="97"/>
        <v>1.3493672554535326E-2</v>
      </c>
    </row>
    <row r="6114" spans="5:6" x14ac:dyDescent="0.35">
      <c r="E6114">
        <v>6111</v>
      </c>
      <c r="F6114">
        <f t="shared" ca="1" si="97"/>
        <v>3.4481888769932198E-3</v>
      </c>
    </row>
    <row r="6115" spans="5:6" x14ac:dyDescent="0.35">
      <c r="E6115">
        <v>6112</v>
      </c>
      <c r="F6115">
        <f t="shared" ca="1" si="97"/>
        <v>-1.715780113974354E-2</v>
      </c>
    </row>
    <row r="6116" spans="5:6" x14ac:dyDescent="0.35">
      <c r="E6116">
        <v>6113</v>
      </c>
      <c r="F6116">
        <f t="shared" ca="1" si="97"/>
        <v>-8.1948513862336193E-3</v>
      </c>
    </row>
    <row r="6117" spans="5:6" x14ac:dyDescent="0.35">
      <c r="E6117">
        <v>6114</v>
      </c>
      <c r="F6117">
        <f t="shared" ca="1" si="97"/>
        <v>-9.7164014972797499E-3</v>
      </c>
    </row>
    <row r="6118" spans="5:6" x14ac:dyDescent="0.35">
      <c r="E6118">
        <v>6115</v>
      </c>
      <c r="F6118">
        <f t="shared" ca="1" si="97"/>
        <v>-5.0358178096364748E-3</v>
      </c>
    </row>
    <row r="6119" spans="5:6" x14ac:dyDescent="0.35">
      <c r="E6119">
        <v>6116</v>
      </c>
      <c r="F6119">
        <f t="shared" ca="1" si="97"/>
        <v>-7.121853740903742E-3</v>
      </c>
    </row>
    <row r="6120" spans="5:6" x14ac:dyDescent="0.35">
      <c r="E6120">
        <v>6117</v>
      </c>
      <c r="F6120">
        <f t="shared" ca="1" si="97"/>
        <v>7.2087668681020756E-3</v>
      </c>
    </row>
    <row r="6121" spans="5:6" x14ac:dyDescent="0.35">
      <c r="E6121">
        <v>6118</v>
      </c>
      <c r="F6121">
        <f t="shared" ca="1" si="97"/>
        <v>3.6654115410651436E-3</v>
      </c>
    </row>
    <row r="6122" spans="5:6" x14ac:dyDescent="0.35">
      <c r="E6122">
        <v>6119</v>
      </c>
      <c r="F6122">
        <f t="shared" ca="1" si="97"/>
        <v>-1.5207740307389035E-2</v>
      </c>
    </row>
    <row r="6123" spans="5:6" x14ac:dyDescent="0.35">
      <c r="E6123">
        <v>6120</v>
      </c>
      <c r="F6123">
        <f t="shared" ca="1" si="97"/>
        <v>4.2556104860601842E-3</v>
      </c>
    </row>
    <row r="6124" spans="5:6" x14ac:dyDescent="0.35">
      <c r="E6124">
        <v>6121</v>
      </c>
      <c r="F6124">
        <f t="shared" ca="1" si="97"/>
        <v>-3.7020027237438316E-3</v>
      </c>
    </row>
    <row r="6125" spans="5:6" x14ac:dyDescent="0.35">
      <c r="E6125">
        <v>6122</v>
      </c>
      <c r="F6125">
        <f t="shared" ca="1" si="97"/>
        <v>2.2366574020197389E-2</v>
      </c>
    </row>
    <row r="6126" spans="5:6" x14ac:dyDescent="0.35">
      <c r="E6126">
        <v>6123</v>
      </c>
      <c r="F6126">
        <f t="shared" ca="1" si="97"/>
        <v>4.5179171528430028E-3</v>
      </c>
    </row>
    <row r="6127" spans="5:6" x14ac:dyDescent="0.35">
      <c r="E6127">
        <v>6124</v>
      </c>
      <c r="F6127">
        <f t="shared" ca="1" si="97"/>
        <v>-2.5911479837533401E-2</v>
      </c>
    </row>
    <row r="6128" spans="5:6" x14ac:dyDescent="0.35">
      <c r="E6128">
        <v>6125</v>
      </c>
      <c r="F6128">
        <f t="shared" ca="1" si="97"/>
        <v>-6.6321734010165384E-3</v>
      </c>
    </row>
    <row r="6129" spans="5:6" x14ac:dyDescent="0.35">
      <c r="E6129">
        <v>6126</v>
      </c>
      <c r="F6129">
        <f t="shared" ca="1" si="97"/>
        <v>3.0171509985806727E-2</v>
      </c>
    </row>
    <row r="6130" spans="5:6" x14ac:dyDescent="0.35">
      <c r="E6130">
        <v>6127</v>
      </c>
      <c r="F6130">
        <f t="shared" ca="1" si="97"/>
        <v>-9.2433401803058701E-3</v>
      </c>
    </row>
    <row r="6131" spans="5:6" x14ac:dyDescent="0.35">
      <c r="E6131">
        <v>6128</v>
      </c>
      <c r="F6131">
        <f t="shared" ca="1" si="97"/>
        <v>8.8719305926381591E-3</v>
      </c>
    </row>
    <row r="6132" spans="5:6" x14ac:dyDescent="0.35">
      <c r="E6132">
        <v>6129</v>
      </c>
      <c r="F6132">
        <f t="shared" ca="1" si="97"/>
        <v>1.609516137447348E-2</v>
      </c>
    </row>
    <row r="6133" spans="5:6" x14ac:dyDescent="0.35">
      <c r="E6133">
        <v>6130</v>
      </c>
      <c r="F6133">
        <f t="shared" ca="1" si="97"/>
        <v>-4.7138563816676322E-3</v>
      </c>
    </row>
    <row r="6134" spans="5:6" x14ac:dyDescent="0.35">
      <c r="E6134">
        <v>6131</v>
      </c>
      <c r="F6134">
        <f t="shared" ca="1" si="97"/>
        <v>1.6410318553746011E-2</v>
      </c>
    </row>
    <row r="6135" spans="5:6" x14ac:dyDescent="0.35">
      <c r="E6135">
        <v>6132</v>
      </c>
      <c r="F6135">
        <f t="shared" ca="1" si="97"/>
        <v>1.4983605785197701E-2</v>
      </c>
    </row>
    <row r="6136" spans="5:6" x14ac:dyDescent="0.35">
      <c r="E6136">
        <v>6133</v>
      </c>
      <c r="F6136">
        <f t="shared" ca="1" si="97"/>
        <v>-3.5090021299676498E-2</v>
      </c>
    </row>
    <row r="6137" spans="5:6" x14ac:dyDescent="0.35">
      <c r="E6137">
        <v>6134</v>
      </c>
      <c r="F6137">
        <f t="shared" ca="1" si="97"/>
        <v>-3.9478565392067074E-4</v>
      </c>
    </row>
    <row r="6138" spans="5:6" x14ac:dyDescent="0.35">
      <c r="E6138">
        <v>6135</v>
      </c>
      <c r="F6138">
        <f t="shared" ca="1" si="97"/>
        <v>-7.4381080102866037E-3</v>
      </c>
    </row>
    <row r="6139" spans="5:6" x14ac:dyDescent="0.35">
      <c r="E6139">
        <v>6136</v>
      </c>
      <c r="F6139">
        <f t="shared" ca="1" si="97"/>
        <v>-1.4439266285335961E-2</v>
      </c>
    </row>
    <row r="6140" spans="5:6" x14ac:dyDescent="0.35">
      <c r="E6140">
        <v>6137</v>
      </c>
      <c r="F6140">
        <f t="shared" ca="1" si="97"/>
        <v>2.2966810670542494E-2</v>
      </c>
    </row>
    <row r="6141" spans="5:6" x14ac:dyDescent="0.35">
      <c r="E6141">
        <v>6138</v>
      </c>
      <c r="F6141">
        <f t="shared" ca="1" si="97"/>
        <v>-1.4180680006880495E-4</v>
      </c>
    </row>
    <row r="6142" spans="5:6" x14ac:dyDescent="0.35">
      <c r="E6142">
        <v>6139</v>
      </c>
      <c r="F6142">
        <f t="shared" ca="1" si="97"/>
        <v>2.9856517103211876E-2</v>
      </c>
    </row>
    <row r="6143" spans="5:6" x14ac:dyDescent="0.35">
      <c r="E6143">
        <v>6140</v>
      </c>
      <c r="F6143">
        <f t="shared" ca="1" si="97"/>
        <v>-5.2782066345812978E-3</v>
      </c>
    </row>
    <row r="6144" spans="5:6" x14ac:dyDescent="0.35">
      <c r="E6144">
        <v>6141</v>
      </c>
      <c r="F6144">
        <f t="shared" ca="1" si="97"/>
        <v>5.4499672933365313E-3</v>
      </c>
    </row>
    <row r="6145" spans="5:6" x14ac:dyDescent="0.35">
      <c r="E6145">
        <v>6142</v>
      </c>
      <c r="F6145">
        <f t="shared" ca="1" si="97"/>
        <v>-7.3629944317324635E-3</v>
      </c>
    </row>
    <row r="6146" spans="5:6" x14ac:dyDescent="0.35">
      <c r="E6146">
        <v>6143</v>
      </c>
      <c r="F6146">
        <f t="shared" ca="1" si="97"/>
        <v>-1.4207341455814352E-2</v>
      </c>
    </row>
    <row r="6147" spans="5:6" x14ac:dyDescent="0.35">
      <c r="E6147">
        <v>6144</v>
      </c>
      <c r="F6147">
        <f t="shared" ca="1" si="97"/>
        <v>-2.5453277376263253E-2</v>
      </c>
    </row>
    <row r="6148" spans="5:6" x14ac:dyDescent="0.35">
      <c r="E6148">
        <v>6145</v>
      </c>
      <c r="F6148">
        <f t="shared" ca="1" si="97"/>
        <v>-1.7769642503563381E-2</v>
      </c>
    </row>
    <row r="6149" spans="5:6" x14ac:dyDescent="0.35">
      <c r="E6149">
        <v>6146</v>
      </c>
      <c r="F6149">
        <f t="shared" ref="F6149:F6212" ca="1" si="98">_xlfn.NORM.INV(RAND(),M$6,M$7)</f>
        <v>-1.6983463858509353E-3</v>
      </c>
    </row>
    <row r="6150" spans="5:6" x14ac:dyDescent="0.35">
      <c r="E6150">
        <v>6147</v>
      </c>
      <c r="F6150">
        <f t="shared" ca="1" si="98"/>
        <v>-6.4054135584086288E-3</v>
      </c>
    </row>
    <row r="6151" spans="5:6" x14ac:dyDescent="0.35">
      <c r="E6151">
        <v>6148</v>
      </c>
      <c r="F6151">
        <f t="shared" ca="1" si="98"/>
        <v>1.283674592576616E-2</v>
      </c>
    </row>
    <row r="6152" spans="5:6" x14ac:dyDescent="0.35">
      <c r="E6152">
        <v>6149</v>
      </c>
      <c r="F6152">
        <f t="shared" ca="1" si="98"/>
        <v>5.1950038031029896E-3</v>
      </c>
    </row>
    <row r="6153" spans="5:6" x14ac:dyDescent="0.35">
      <c r="E6153">
        <v>6150</v>
      </c>
      <c r="F6153">
        <f t="shared" ca="1" si="98"/>
        <v>6.9316206786806242E-3</v>
      </c>
    </row>
    <row r="6154" spans="5:6" x14ac:dyDescent="0.35">
      <c r="E6154">
        <v>6151</v>
      </c>
      <c r="F6154">
        <f t="shared" ca="1" si="98"/>
        <v>-1.1603283736796262E-2</v>
      </c>
    </row>
    <row r="6155" spans="5:6" x14ac:dyDescent="0.35">
      <c r="E6155">
        <v>6152</v>
      </c>
      <c r="F6155">
        <f t="shared" ca="1" si="98"/>
        <v>3.5813378208458327E-3</v>
      </c>
    </row>
    <row r="6156" spans="5:6" x14ac:dyDescent="0.35">
      <c r="E6156">
        <v>6153</v>
      </c>
      <c r="F6156">
        <f t="shared" ca="1" si="98"/>
        <v>1.8549065135945255E-2</v>
      </c>
    </row>
    <row r="6157" spans="5:6" x14ac:dyDescent="0.35">
      <c r="E6157">
        <v>6154</v>
      </c>
      <c r="F6157">
        <f t="shared" ca="1" si="98"/>
        <v>-2.3253879361470756E-3</v>
      </c>
    </row>
    <row r="6158" spans="5:6" x14ac:dyDescent="0.35">
      <c r="E6158">
        <v>6155</v>
      </c>
      <c r="F6158">
        <f t="shared" ca="1" si="98"/>
        <v>-1.2573842149453609E-2</v>
      </c>
    </row>
    <row r="6159" spans="5:6" x14ac:dyDescent="0.35">
      <c r="E6159">
        <v>6156</v>
      </c>
      <c r="F6159">
        <f t="shared" ca="1" si="98"/>
        <v>-6.2002798071617788E-3</v>
      </c>
    </row>
    <row r="6160" spans="5:6" x14ac:dyDescent="0.35">
      <c r="E6160">
        <v>6157</v>
      </c>
      <c r="F6160">
        <f t="shared" ca="1" si="98"/>
        <v>2.4518983811580873E-2</v>
      </c>
    </row>
    <row r="6161" spans="5:6" x14ac:dyDescent="0.35">
      <c r="E6161">
        <v>6158</v>
      </c>
      <c r="F6161">
        <f t="shared" ca="1" si="98"/>
        <v>-9.9044121098685132E-3</v>
      </c>
    </row>
    <row r="6162" spans="5:6" x14ac:dyDescent="0.35">
      <c r="E6162">
        <v>6159</v>
      </c>
      <c r="F6162">
        <f t="shared" ca="1" si="98"/>
        <v>-1.7902622585434188E-3</v>
      </c>
    </row>
    <row r="6163" spans="5:6" x14ac:dyDescent="0.35">
      <c r="E6163">
        <v>6160</v>
      </c>
      <c r="F6163">
        <f t="shared" ca="1" si="98"/>
        <v>-2.6591974777485334E-2</v>
      </c>
    </row>
    <row r="6164" spans="5:6" x14ac:dyDescent="0.35">
      <c r="E6164">
        <v>6161</v>
      </c>
      <c r="F6164">
        <f t="shared" ca="1" si="98"/>
        <v>-5.4978009156978454E-3</v>
      </c>
    </row>
    <row r="6165" spans="5:6" x14ac:dyDescent="0.35">
      <c r="E6165">
        <v>6162</v>
      </c>
      <c r="F6165">
        <f t="shared" ca="1" si="98"/>
        <v>1.7613195399719243E-3</v>
      </c>
    </row>
    <row r="6166" spans="5:6" x14ac:dyDescent="0.35">
      <c r="E6166">
        <v>6163</v>
      </c>
      <c r="F6166">
        <f t="shared" ca="1" si="98"/>
        <v>-1.3493846171193648E-2</v>
      </c>
    </row>
    <row r="6167" spans="5:6" x14ac:dyDescent="0.35">
      <c r="E6167">
        <v>6164</v>
      </c>
      <c r="F6167">
        <f t="shared" ca="1" si="98"/>
        <v>-9.6332552135227896E-4</v>
      </c>
    </row>
    <row r="6168" spans="5:6" x14ac:dyDescent="0.35">
      <c r="E6168">
        <v>6165</v>
      </c>
      <c r="F6168">
        <f t="shared" ca="1" si="98"/>
        <v>-7.617427637492109E-3</v>
      </c>
    </row>
    <row r="6169" spans="5:6" x14ac:dyDescent="0.35">
      <c r="E6169">
        <v>6166</v>
      </c>
      <c r="F6169">
        <f t="shared" ca="1" si="98"/>
        <v>-7.8285592319590879E-3</v>
      </c>
    </row>
    <row r="6170" spans="5:6" x14ac:dyDescent="0.35">
      <c r="E6170">
        <v>6167</v>
      </c>
      <c r="F6170">
        <f t="shared" ca="1" si="98"/>
        <v>-2.3505479733290806E-2</v>
      </c>
    </row>
    <row r="6171" spans="5:6" x14ac:dyDescent="0.35">
      <c r="E6171">
        <v>6168</v>
      </c>
      <c r="F6171">
        <f t="shared" ca="1" si="98"/>
        <v>-1.7701297096930319E-2</v>
      </c>
    </row>
    <row r="6172" spans="5:6" x14ac:dyDescent="0.35">
      <c r="E6172">
        <v>6169</v>
      </c>
      <c r="F6172">
        <f t="shared" ca="1" si="98"/>
        <v>-1.4816631163751336E-2</v>
      </c>
    </row>
    <row r="6173" spans="5:6" x14ac:dyDescent="0.35">
      <c r="E6173">
        <v>6170</v>
      </c>
      <c r="F6173">
        <f t="shared" ca="1" si="98"/>
        <v>-9.1790945956257818E-3</v>
      </c>
    </row>
    <row r="6174" spans="5:6" x14ac:dyDescent="0.35">
      <c r="E6174">
        <v>6171</v>
      </c>
      <c r="F6174">
        <f t="shared" ca="1" si="98"/>
        <v>-3.1873799584358097E-4</v>
      </c>
    </row>
    <row r="6175" spans="5:6" x14ac:dyDescent="0.35">
      <c r="E6175">
        <v>6172</v>
      </c>
      <c r="F6175">
        <f t="shared" ca="1" si="98"/>
        <v>2.2868172573079397E-3</v>
      </c>
    </row>
    <row r="6176" spans="5:6" x14ac:dyDescent="0.35">
      <c r="E6176">
        <v>6173</v>
      </c>
      <c r="F6176">
        <f t="shared" ca="1" si="98"/>
        <v>1.4678284021645687E-2</v>
      </c>
    </row>
    <row r="6177" spans="5:6" x14ac:dyDescent="0.35">
      <c r="E6177">
        <v>6174</v>
      </c>
      <c r="F6177">
        <f t="shared" ca="1" si="98"/>
        <v>-6.4659285620440564E-4</v>
      </c>
    </row>
    <row r="6178" spans="5:6" x14ac:dyDescent="0.35">
      <c r="E6178">
        <v>6175</v>
      </c>
      <c r="F6178">
        <f t="shared" ca="1" si="98"/>
        <v>1.3124334546955349E-2</v>
      </c>
    </row>
    <row r="6179" spans="5:6" x14ac:dyDescent="0.35">
      <c r="E6179">
        <v>6176</v>
      </c>
      <c r="F6179">
        <f t="shared" ca="1" si="98"/>
        <v>1.392318731973741E-2</v>
      </c>
    </row>
    <row r="6180" spans="5:6" x14ac:dyDescent="0.35">
      <c r="E6180">
        <v>6177</v>
      </c>
      <c r="F6180">
        <f t="shared" ca="1" si="98"/>
        <v>-4.5380748731810175E-3</v>
      </c>
    </row>
    <row r="6181" spans="5:6" x14ac:dyDescent="0.35">
      <c r="E6181">
        <v>6178</v>
      </c>
      <c r="F6181">
        <f t="shared" ca="1" si="98"/>
        <v>1.652242061438202E-2</v>
      </c>
    </row>
    <row r="6182" spans="5:6" x14ac:dyDescent="0.35">
      <c r="E6182">
        <v>6179</v>
      </c>
      <c r="F6182">
        <f t="shared" ca="1" si="98"/>
        <v>-1.5988021339812499E-2</v>
      </c>
    </row>
    <row r="6183" spans="5:6" x14ac:dyDescent="0.35">
      <c r="E6183">
        <v>6180</v>
      </c>
      <c r="F6183">
        <f t="shared" ca="1" si="98"/>
        <v>-2.2246598399011969E-2</v>
      </c>
    </row>
    <row r="6184" spans="5:6" x14ac:dyDescent="0.35">
      <c r="E6184">
        <v>6181</v>
      </c>
      <c r="F6184">
        <f t="shared" ca="1" si="98"/>
        <v>2.3656588939108086E-2</v>
      </c>
    </row>
    <row r="6185" spans="5:6" x14ac:dyDescent="0.35">
      <c r="E6185">
        <v>6182</v>
      </c>
      <c r="F6185">
        <f t="shared" ca="1" si="98"/>
        <v>4.2494128593106945E-2</v>
      </c>
    </row>
    <row r="6186" spans="5:6" x14ac:dyDescent="0.35">
      <c r="E6186">
        <v>6183</v>
      </c>
      <c r="F6186">
        <f t="shared" ca="1" si="98"/>
        <v>5.550422558094772E-3</v>
      </c>
    </row>
    <row r="6187" spans="5:6" x14ac:dyDescent="0.35">
      <c r="E6187">
        <v>6184</v>
      </c>
      <c r="F6187">
        <f t="shared" ca="1" si="98"/>
        <v>-6.1158403287226212E-3</v>
      </c>
    </row>
    <row r="6188" spans="5:6" x14ac:dyDescent="0.35">
      <c r="E6188">
        <v>6185</v>
      </c>
      <c r="F6188">
        <f t="shared" ca="1" si="98"/>
        <v>-2.0268153872125921E-2</v>
      </c>
    </row>
    <row r="6189" spans="5:6" x14ac:dyDescent="0.35">
      <c r="E6189">
        <v>6186</v>
      </c>
      <c r="F6189">
        <f t="shared" ca="1" si="98"/>
        <v>-4.5664112206675132E-3</v>
      </c>
    </row>
    <row r="6190" spans="5:6" x14ac:dyDescent="0.35">
      <c r="E6190">
        <v>6187</v>
      </c>
      <c r="F6190">
        <f t="shared" ca="1" si="98"/>
        <v>-4.0503698528943609E-3</v>
      </c>
    </row>
    <row r="6191" spans="5:6" x14ac:dyDescent="0.35">
      <c r="E6191">
        <v>6188</v>
      </c>
      <c r="F6191">
        <f t="shared" ca="1" si="98"/>
        <v>-5.9623577462331384E-3</v>
      </c>
    </row>
    <row r="6192" spans="5:6" x14ac:dyDescent="0.35">
      <c r="E6192">
        <v>6189</v>
      </c>
      <c r="F6192">
        <f t="shared" ca="1" si="98"/>
        <v>4.0115343175318617E-3</v>
      </c>
    </row>
    <row r="6193" spans="5:6" x14ac:dyDescent="0.35">
      <c r="E6193">
        <v>6190</v>
      </c>
      <c r="F6193">
        <f t="shared" ca="1" si="98"/>
        <v>3.3811877749332538E-2</v>
      </c>
    </row>
    <row r="6194" spans="5:6" x14ac:dyDescent="0.35">
      <c r="E6194">
        <v>6191</v>
      </c>
      <c r="F6194">
        <f t="shared" ca="1" si="98"/>
        <v>-1.5250129449692271E-2</v>
      </c>
    </row>
    <row r="6195" spans="5:6" x14ac:dyDescent="0.35">
      <c r="E6195">
        <v>6192</v>
      </c>
      <c r="F6195">
        <f t="shared" ca="1" si="98"/>
        <v>3.0879072844386891E-2</v>
      </c>
    </row>
    <row r="6196" spans="5:6" x14ac:dyDescent="0.35">
      <c r="E6196">
        <v>6193</v>
      </c>
      <c r="F6196">
        <f t="shared" ca="1" si="98"/>
        <v>4.1903701635757863E-3</v>
      </c>
    </row>
    <row r="6197" spans="5:6" x14ac:dyDescent="0.35">
      <c r="E6197">
        <v>6194</v>
      </c>
      <c r="F6197">
        <f t="shared" ca="1" si="98"/>
        <v>-5.6871960753337222E-3</v>
      </c>
    </row>
    <row r="6198" spans="5:6" x14ac:dyDescent="0.35">
      <c r="E6198">
        <v>6195</v>
      </c>
      <c r="F6198">
        <f t="shared" ca="1" si="98"/>
        <v>1.4778126376267998E-2</v>
      </c>
    </row>
    <row r="6199" spans="5:6" x14ac:dyDescent="0.35">
      <c r="E6199">
        <v>6196</v>
      </c>
      <c r="F6199">
        <f t="shared" ca="1" si="98"/>
        <v>-2.4906919113442939E-4</v>
      </c>
    </row>
    <row r="6200" spans="5:6" x14ac:dyDescent="0.35">
      <c r="E6200">
        <v>6197</v>
      </c>
      <c r="F6200">
        <f t="shared" ca="1" si="98"/>
        <v>-1.9567787655692202E-3</v>
      </c>
    </row>
    <row r="6201" spans="5:6" x14ac:dyDescent="0.35">
      <c r="E6201">
        <v>6198</v>
      </c>
      <c r="F6201">
        <f t="shared" ca="1" si="98"/>
        <v>7.5198577111467643E-3</v>
      </c>
    </row>
    <row r="6202" spans="5:6" x14ac:dyDescent="0.35">
      <c r="E6202">
        <v>6199</v>
      </c>
      <c r="F6202">
        <f t="shared" ca="1" si="98"/>
        <v>-8.9900856626827269E-4</v>
      </c>
    </row>
    <row r="6203" spans="5:6" x14ac:dyDescent="0.35">
      <c r="E6203">
        <v>6200</v>
      </c>
      <c r="F6203">
        <f t="shared" ca="1" si="98"/>
        <v>-4.7855645575656486E-5</v>
      </c>
    </row>
    <row r="6204" spans="5:6" x14ac:dyDescent="0.35">
      <c r="E6204">
        <v>6201</v>
      </c>
      <c r="F6204">
        <f t="shared" ca="1" si="98"/>
        <v>-1.9999392829747446E-2</v>
      </c>
    </row>
    <row r="6205" spans="5:6" x14ac:dyDescent="0.35">
      <c r="E6205">
        <v>6202</v>
      </c>
      <c r="F6205">
        <f t="shared" ca="1" si="98"/>
        <v>1.2407836548706102E-2</v>
      </c>
    </row>
    <row r="6206" spans="5:6" x14ac:dyDescent="0.35">
      <c r="E6206">
        <v>6203</v>
      </c>
      <c r="F6206">
        <f t="shared" ca="1" si="98"/>
        <v>1.7186027674106177E-2</v>
      </c>
    </row>
    <row r="6207" spans="5:6" x14ac:dyDescent="0.35">
      <c r="E6207">
        <v>6204</v>
      </c>
      <c r="F6207">
        <f t="shared" ca="1" si="98"/>
        <v>-4.3634513073087808E-3</v>
      </c>
    </row>
    <row r="6208" spans="5:6" x14ac:dyDescent="0.35">
      <c r="E6208">
        <v>6205</v>
      </c>
      <c r="F6208">
        <f t="shared" ca="1" si="98"/>
        <v>-2.6343749427114455E-2</v>
      </c>
    </row>
    <row r="6209" spans="5:6" x14ac:dyDescent="0.35">
      <c r="E6209">
        <v>6206</v>
      </c>
      <c r="F6209">
        <f t="shared" ca="1" si="98"/>
        <v>1.4423059078243891E-2</v>
      </c>
    </row>
    <row r="6210" spans="5:6" x14ac:dyDescent="0.35">
      <c r="E6210">
        <v>6207</v>
      </c>
      <c r="F6210">
        <f t="shared" ca="1" si="98"/>
        <v>-1.2751243818658416E-2</v>
      </c>
    </row>
    <row r="6211" spans="5:6" x14ac:dyDescent="0.35">
      <c r="E6211">
        <v>6208</v>
      </c>
      <c r="F6211">
        <f t="shared" ca="1" si="98"/>
        <v>1.3399451066209418E-2</v>
      </c>
    </row>
    <row r="6212" spans="5:6" x14ac:dyDescent="0.35">
      <c r="E6212">
        <v>6209</v>
      </c>
      <c r="F6212">
        <f t="shared" ca="1" si="98"/>
        <v>-2.1671284774733486E-3</v>
      </c>
    </row>
    <row r="6213" spans="5:6" x14ac:dyDescent="0.35">
      <c r="E6213">
        <v>6210</v>
      </c>
      <c r="F6213">
        <f t="shared" ref="F6213:F6276" ca="1" si="99">_xlfn.NORM.INV(RAND(),M$6,M$7)</f>
        <v>-5.4452606368990825E-3</v>
      </c>
    </row>
    <row r="6214" spans="5:6" x14ac:dyDescent="0.35">
      <c r="E6214">
        <v>6211</v>
      </c>
      <c r="F6214">
        <f t="shared" ca="1" si="99"/>
        <v>-5.590500189874649E-3</v>
      </c>
    </row>
    <row r="6215" spans="5:6" x14ac:dyDescent="0.35">
      <c r="E6215">
        <v>6212</v>
      </c>
      <c r="F6215">
        <f t="shared" ca="1" si="99"/>
        <v>1.0845388839543659E-2</v>
      </c>
    </row>
    <row r="6216" spans="5:6" x14ac:dyDescent="0.35">
      <c r="E6216">
        <v>6213</v>
      </c>
      <c r="F6216">
        <f t="shared" ca="1" si="99"/>
        <v>1.7871789744707847E-2</v>
      </c>
    </row>
    <row r="6217" spans="5:6" x14ac:dyDescent="0.35">
      <c r="E6217">
        <v>6214</v>
      </c>
      <c r="F6217">
        <f t="shared" ca="1" si="99"/>
        <v>1.7113551817667633E-2</v>
      </c>
    </row>
    <row r="6218" spans="5:6" x14ac:dyDescent="0.35">
      <c r="E6218">
        <v>6215</v>
      </c>
      <c r="F6218">
        <f t="shared" ca="1" si="99"/>
        <v>8.024678531643359E-4</v>
      </c>
    </row>
    <row r="6219" spans="5:6" x14ac:dyDescent="0.35">
      <c r="E6219">
        <v>6216</v>
      </c>
      <c r="F6219">
        <f t="shared" ca="1" si="99"/>
        <v>3.0374701730368086E-2</v>
      </c>
    </row>
    <row r="6220" spans="5:6" x14ac:dyDescent="0.35">
      <c r="E6220">
        <v>6217</v>
      </c>
      <c r="F6220">
        <f t="shared" ca="1" si="99"/>
        <v>-4.9773831769936386E-3</v>
      </c>
    </row>
    <row r="6221" spans="5:6" x14ac:dyDescent="0.35">
      <c r="E6221">
        <v>6218</v>
      </c>
      <c r="F6221">
        <f t="shared" ca="1" si="99"/>
        <v>7.8693653673633478E-3</v>
      </c>
    </row>
    <row r="6222" spans="5:6" x14ac:dyDescent="0.35">
      <c r="E6222">
        <v>6219</v>
      </c>
      <c r="F6222">
        <f t="shared" ca="1" si="99"/>
        <v>-1.1689968010524861E-2</v>
      </c>
    </row>
    <row r="6223" spans="5:6" x14ac:dyDescent="0.35">
      <c r="E6223">
        <v>6220</v>
      </c>
      <c r="F6223">
        <f t="shared" ca="1" si="99"/>
        <v>-7.0316738725900744E-3</v>
      </c>
    </row>
    <row r="6224" spans="5:6" x14ac:dyDescent="0.35">
      <c r="E6224">
        <v>6221</v>
      </c>
      <c r="F6224">
        <f t="shared" ca="1" si="99"/>
        <v>3.462972265843281E-2</v>
      </c>
    </row>
    <row r="6225" spans="5:6" x14ac:dyDescent="0.35">
      <c r="E6225">
        <v>6222</v>
      </c>
      <c r="F6225">
        <f t="shared" ca="1" si="99"/>
        <v>-2.7114152171180813E-3</v>
      </c>
    </row>
    <row r="6226" spans="5:6" x14ac:dyDescent="0.35">
      <c r="E6226">
        <v>6223</v>
      </c>
      <c r="F6226">
        <f t="shared" ca="1" si="99"/>
        <v>1.4959256939309643E-2</v>
      </c>
    </row>
    <row r="6227" spans="5:6" x14ac:dyDescent="0.35">
      <c r="E6227">
        <v>6224</v>
      </c>
      <c r="F6227">
        <f t="shared" ca="1" si="99"/>
        <v>2.3672947396669981E-2</v>
      </c>
    </row>
    <row r="6228" spans="5:6" x14ac:dyDescent="0.35">
      <c r="E6228">
        <v>6225</v>
      </c>
      <c r="F6228">
        <f t="shared" ca="1" si="99"/>
        <v>6.4341355008663975E-3</v>
      </c>
    </row>
    <row r="6229" spans="5:6" x14ac:dyDescent="0.35">
      <c r="E6229">
        <v>6226</v>
      </c>
      <c r="F6229">
        <f t="shared" ca="1" si="99"/>
        <v>2.8054748662582462E-3</v>
      </c>
    </row>
    <row r="6230" spans="5:6" x14ac:dyDescent="0.35">
      <c r="E6230">
        <v>6227</v>
      </c>
      <c r="F6230">
        <f t="shared" ca="1" si="99"/>
        <v>9.8113738803703946E-3</v>
      </c>
    </row>
    <row r="6231" spans="5:6" x14ac:dyDescent="0.35">
      <c r="E6231">
        <v>6228</v>
      </c>
      <c r="F6231">
        <f t="shared" ca="1" si="99"/>
        <v>1.1937233858334137E-3</v>
      </c>
    </row>
    <row r="6232" spans="5:6" x14ac:dyDescent="0.35">
      <c r="E6232">
        <v>6229</v>
      </c>
      <c r="F6232">
        <f t="shared" ca="1" si="99"/>
        <v>-2.0528523898855405E-3</v>
      </c>
    </row>
    <row r="6233" spans="5:6" x14ac:dyDescent="0.35">
      <c r="E6233">
        <v>6230</v>
      </c>
      <c r="F6233">
        <f t="shared" ca="1" si="99"/>
        <v>4.0157295706628932E-2</v>
      </c>
    </row>
    <row r="6234" spans="5:6" x14ac:dyDescent="0.35">
      <c r="E6234">
        <v>6231</v>
      </c>
      <c r="F6234">
        <f t="shared" ca="1" si="99"/>
        <v>4.837004226320548E-3</v>
      </c>
    </row>
    <row r="6235" spans="5:6" x14ac:dyDescent="0.35">
      <c r="E6235">
        <v>6232</v>
      </c>
      <c r="F6235">
        <f t="shared" ca="1" si="99"/>
        <v>-9.5689907923310041E-3</v>
      </c>
    </row>
    <row r="6236" spans="5:6" x14ac:dyDescent="0.35">
      <c r="E6236">
        <v>6233</v>
      </c>
      <c r="F6236">
        <f t="shared" ca="1" si="99"/>
        <v>7.5439608092810351E-3</v>
      </c>
    </row>
    <row r="6237" spans="5:6" x14ac:dyDescent="0.35">
      <c r="E6237">
        <v>6234</v>
      </c>
      <c r="F6237">
        <f t="shared" ca="1" si="99"/>
        <v>-1.4626620685977051E-2</v>
      </c>
    </row>
    <row r="6238" spans="5:6" x14ac:dyDescent="0.35">
      <c r="E6238">
        <v>6235</v>
      </c>
      <c r="F6238">
        <f t="shared" ca="1" si="99"/>
        <v>6.7777589667342318E-3</v>
      </c>
    </row>
    <row r="6239" spans="5:6" x14ac:dyDescent="0.35">
      <c r="E6239">
        <v>6236</v>
      </c>
      <c r="F6239">
        <f t="shared" ca="1" si="99"/>
        <v>9.7436975978130932E-3</v>
      </c>
    </row>
    <row r="6240" spans="5:6" x14ac:dyDescent="0.35">
      <c r="E6240">
        <v>6237</v>
      </c>
      <c r="F6240">
        <f t="shared" ca="1" si="99"/>
        <v>-3.7101410198284151E-3</v>
      </c>
    </row>
    <row r="6241" spans="5:6" x14ac:dyDescent="0.35">
      <c r="E6241">
        <v>6238</v>
      </c>
      <c r="F6241">
        <f t="shared" ca="1" si="99"/>
        <v>3.7391267685392207E-2</v>
      </c>
    </row>
    <row r="6242" spans="5:6" x14ac:dyDescent="0.35">
      <c r="E6242">
        <v>6239</v>
      </c>
      <c r="F6242">
        <f t="shared" ca="1" si="99"/>
        <v>4.5101301542721508E-3</v>
      </c>
    </row>
    <row r="6243" spans="5:6" x14ac:dyDescent="0.35">
      <c r="E6243">
        <v>6240</v>
      </c>
      <c r="F6243">
        <f t="shared" ca="1" si="99"/>
        <v>1.2755611084652004E-2</v>
      </c>
    </row>
    <row r="6244" spans="5:6" x14ac:dyDescent="0.35">
      <c r="E6244">
        <v>6241</v>
      </c>
      <c r="F6244">
        <f t="shared" ca="1" si="99"/>
        <v>2.6030379327699154E-4</v>
      </c>
    </row>
    <row r="6245" spans="5:6" x14ac:dyDescent="0.35">
      <c r="E6245">
        <v>6242</v>
      </c>
      <c r="F6245">
        <f t="shared" ca="1" si="99"/>
        <v>-1.2510578717573113E-2</v>
      </c>
    </row>
    <row r="6246" spans="5:6" x14ac:dyDescent="0.35">
      <c r="E6246">
        <v>6243</v>
      </c>
      <c r="F6246">
        <f t="shared" ca="1" si="99"/>
        <v>-5.1617105188847545E-3</v>
      </c>
    </row>
    <row r="6247" spans="5:6" x14ac:dyDescent="0.35">
      <c r="E6247">
        <v>6244</v>
      </c>
      <c r="F6247">
        <f t="shared" ca="1" si="99"/>
        <v>2.1150430307321637E-4</v>
      </c>
    </row>
    <row r="6248" spans="5:6" x14ac:dyDescent="0.35">
      <c r="E6248">
        <v>6245</v>
      </c>
      <c r="F6248">
        <f t="shared" ca="1" si="99"/>
        <v>-1.7987206777362451E-2</v>
      </c>
    </row>
    <row r="6249" spans="5:6" x14ac:dyDescent="0.35">
      <c r="E6249">
        <v>6246</v>
      </c>
      <c r="F6249">
        <f t="shared" ca="1" si="99"/>
        <v>1.8895447071988704E-3</v>
      </c>
    </row>
    <row r="6250" spans="5:6" x14ac:dyDescent="0.35">
      <c r="E6250">
        <v>6247</v>
      </c>
      <c r="F6250">
        <f t="shared" ca="1" si="99"/>
        <v>6.6586562990823333E-3</v>
      </c>
    </row>
    <row r="6251" spans="5:6" x14ac:dyDescent="0.35">
      <c r="E6251">
        <v>6248</v>
      </c>
      <c r="F6251">
        <f t="shared" ca="1" si="99"/>
        <v>-1.4147452319989665E-3</v>
      </c>
    </row>
    <row r="6252" spans="5:6" x14ac:dyDescent="0.35">
      <c r="E6252">
        <v>6249</v>
      </c>
      <c r="F6252">
        <f t="shared" ca="1" si="99"/>
        <v>2.8840515146349031E-2</v>
      </c>
    </row>
    <row r="6253" spans="5:6" x14ac:dyDescent="0.35">
      <c r="E6253">
        <v>6250</v>
      </c>
      <c r="F6253">
        <f t="shared" ca="1" si="99"/>
        <v>-1.0298360040963208E-2</v>
      </c>
    </row>
    <row r="6254" spans="5:6" x14ac:dyDescent="0.35">
      <c r="E6254">
        <v>6251</v>
      </c>
      <c r="F6254">
        <f t="shared" ca="1" si="99"/>
        <v>3.6876638252023152E-3</v>
      </c>
    </row>
    <row r="6255" spans="5:6" x14ac:dyDescent="0.35">
      <c r="E6255">
        <v>6252</v>
      </c>
      <c r="F6255">
        <f t="shared" ca="1" si="99"/>
        <v>-1.7028155069176334E-2</v>
      </c>
    </row>
    <row r="6256" spans="5:6" x14ac:dyDescent="0.35">
      <c r="E6256">
        <v>6253</v>
      </c>
      <c r="F6256">
        <f t="shared" ca="1" si="99"/>
        <v>-1.8716585793866355E-2</v>
      </c>
    </row>
    <row r="6257" spans="5:6" x14ac:dyDescent="0.35">
      <c r="E6257">
        <v>6254</v>
      </c>
      <c r="F6257">
        <f t="shared" ca="1" si="99"/>
        <v>-7.0979433258857513E-3</v>
      </c>
    </row>
    <row r="6258" spans="5:6" x14ac:dyDescent="0.35">
      <c r="E6258">
        <v>6255</v>
      </c>
      <c r="F6258">
        <f t="shared" ca="1" si="99"/>
        <v>-4.9508510644466416E-3</v>
      </c>
    </row>
    <row r="6259" spans="5:6" x14ac:dyDescent="0.35">
      <c r="E6259">
        <v>6256</v>
      </c>
      <c r="F6259">
        <f t="shared" ca="1" si="99"/>
        <v>-8.4966421532864152E-3</v>
      </c>
    </row>
    <row r="6260" spans="5:6" x14ac:dyDescent="0.35">
      <c r="E6260">
        <v>6257</v>
      </c>
      <c r="F6260">
        <f t="shared" ca="1" si="99"/>
        <v>-1.3689516247811917E-2</v>
      </c>
    </row>
    <row r="6261" spans="5:6" x14ac:dyDescent="0.35">
      <c r="E6261">
        <v>6258</v>
      </c>
      <c r="F6261">
        <f t="shared" ca="1" si="99"/>
        <v>2.7129093310811536E-2</v>
      </c>
    </row>
    <row r="6262" spans="5:6" x14ac:dyDescent="0.35">
      <c r="E6262">
        <v>6259</v>
      </c>
      <c r="F6262">
        <f t="shared" ca="1" si="99"/>
        <v>-4.6027268927039495E-3</v>
      </c>
    </row>
    <row r="6263" spans="5:6" x14ac:dyDescent="0.35">
      <c r="E6263">
        <v>6260</v>
      </c>
      <c r="F6263">
        <f t="shared" ca="1" si="99"/>
        <v>9.3684426959003853E-3</v>
      </c>
    </row>
    <row r="6264" spans="5:6" x14ac:dyDescent="0.35">
      <c r="E6264">
        <v>6261</v>
      </c>
      <c r="F6264">
        <f t="shared" ca="1" si="99"/>
        <v>2.2591213629075263E-3</v>
      </c>
    </row>
    <row r="6265" spans="5:6" x14ac:dyDescent="0.35">
      <c r="E6265">
        <v>6262</v>
      </c>
      <c r="F6265">
        <f t="shared" ca="1" si="99"/>
        <v>-3.6673884883312831E-3</v>
      </c>
    </row>
    <row r="6266" spans="5:6" x14ac:dyDescent="0.35">
      <c r="E6266">
        <v>6263</v>
      </c>
      <c r="F6266">
        <f t="shared" ca="1" si="99"/>
        <v>1.4345187369682008E-2</v>
      </c>
    </row>
    <row r="6267" spans="5:6" x14ac:dyDescent="0.35">
      <c r="E6267">
        <v>6264</v>
      </c>
      <c r="F6267">
        <f t="shared" ca="1" si="99"/>
        <v>7.9398634755349622E-3</v>
      </c>
    </row>
    <row r="6268" spans="5:6" x14ac:dyDescent="0.35">
      <c r="E6268">
        <v>6265</v>
      </c>
      <c r="F6268">
        <f t="shared" ca="1" si="99"/>
        <v>1.5770111919908541E-3</v>
      </c>
    </row>
    <row r="6269" spans="5:6" x14ac:dyDescent="0.35">
      <c r="E6269">
        <v>6266</v>
      </c>
      <c r="F6269">
        <f t="shared" ca="1" si="99"/>
        <v>-3.1944257990680846E-3</v>
      </c>
    </row>
    <row r="6270" spans="5:6" x14ac:dyDescent="0.35">
      <c r="E6270">
        <v>6267</v>
      </c>
      <c r="F6270">
        <f t="shared" ca="1" si="99"/>
        <v>-6.9473568758822817E-3</v>
      </c>
    </row>
    <row r="6271" spans="5:6" x14ac:dyDescent="0.35">
      <c r="E6271">
        <v>6268</v>
      </c>
      <c r="F6271">
        <f t="shared" ca="1" si="99"/>
        <v>-6.8940442106054847E-3</v>
      </c>
    </row>
    <row r="6272" spans="5:6" x14ac:dyDescent="0.35">
      <c r="E6272">
        <v>6269</v>
      </c>
      <c r="F6272">
        <f t="shared" ca="1" si="99"/>
        <v>1.9656662883959463E-2</v>
      </c>
    </row>
    <row r="6273" spans="5:6" x14ac:dyDescent="0.35">
      <c r="E6273">
        <v>6270</v>
      </c>
      <c r="F6273">
        <f t="shared" ca="1" si="99"/>
        <v>-9.8264753942848789E-4</v>
      </c>
    </row>
    <row r="6274" spans="5:6" x14ac:dyDescent="0.35">
      <c r="E6274">
        <v>6271</v>
      </c>
      <c r="F6274">
        <f t="shared" ca="1" si="99"/>
        <v>2.0617842303087802E-2</v>
      </c>
    </row>
    <row r="6275" spans="5:6" x14ac:dyDescent="0.35">
      <c r="E6275">
        <v>6272</v>
      </c>
      <c r="F6275">
        <f t="shared" ca="1" si="99"/>
        <v>2.902937673627792E-2</v>
      </c>
    </row>
    <row r="6276" spans="5:6" x14ac:dyDescent="0.35">
      <c r="E6276">
        <v>6273</v>
      </c>
      <c r="F6276">
        <f t="shared" ca="1" si="99"/>
        <v>6.9989483708540936E-3</v>
      </c>
    </row>
    <row r="6277" spans="5:6" x14ac:dyDescent="0.35">
      <c r="E6277">
        <v>6274</v>
      </c>
      <c r="F6277">
        <f t="shared" ref="F6277:F6340" ca="1" si="100">_xlfn.NORM.INV(RAND(),M$6,M$7)</f>
        <v>5.242854835295508E-3</v>
      </c>
    </row>
    <row r="6278" spans="5:6" x14ac:dyDescent="0.35">
      <c r="E6278">
        <v>6275</v>
      </c>
      <c r="F6278">
        <f t="shared" ca="1" si="100"/>
        <v>-7.9716227981545089E-3</v>
      </c>
    </row>
    <row r="6279" spans="5:6" x14ac:dyDescent="0.35">
      <c r="E6279">
        <v>6276</v>
      </c>
      <c r="F6279">
        <f t="shared" ca="1" si="100"/>
        <v>4.7817360378918294E-3</v>
      </c>
    </row>
    <row r="6280" spans="5:6" x14ac:dyDescent="0.35">
      <c r="E6280">
        <v>6277</v>
      </c>
      <c r="F6280">
        <f t="shared" ca="1" si="100"/>
        <v>-1.0698249746151368E-2</v>
      </c>
    </row>
    <row r="6281" spans="5:6" x14ac:dyDescent="0.35">
      <c r="E6281">
        <v>6278</v>
      </c>
      <c r="F6281">
        <f t="shared" ca="1" si="100"/>
        <v>1.718789347579253E-2</v>
      </c>
    </row>
    <row r="6282" spans="5:6" x14ac:dyDescent="0.35">
      <c r="E6282">
        <v>6279</v>
      </c>
      <c r="F6282">
        <f t="shared" ca="1" si="100"/>
        <v>-8.6583593955823178E-3</v>
      </c>
    </row>
    <row r="6283" spans="5:6" x14ac:dyDescent="0.35">
      <c r="E6283">
        <v>6280</v>
      </c>
      <c r="F6283">
        <f t="shared" ca="1" si="100"/>
        <v>-1.7916153421009488E-2</v>
      </c>
    </row>
    <row r="6284" spans="5:6" x14ac:dyDescent="0.35">
      <c r="E6284">
        <v>6281</v>
      </c>
      <c r="F6284">
        <f t="shared" ca="1" si="100"/>
        <v>-1.1619444554537173E-2</v>
      </c>
    </row>
    <row r="6285" spans="5:6" x14ac:dyDescent="0.35">
      <c r="E6285">
        <v>6282</v>
      </c>
      <c r="F6285">
        <f t="shared" ca="1" si="100"/>
        <v>-1.1026210313288631E-2</v>
      </c>
    </row>
    <row r="6286" spans="5:6" x14ac:dyDescent="0.35">
      <c r="E6286">
        <v>6283</v>
      </c>
      <c r="F6286">
        <f t="shared" ca="1" si="100"/>
        <v>-1.1399926273834833E-2</v>
      </c>
    </row>
    <row r="6287" spans="5:6" x14ac:dyDescent="0.35">
      <c r="E6287">
        <v>6284</v>
      </c>
      <c r="F6287">
        <f t="shared" ca="1" si="100"/>
        <v>-2.3188488965714283E-2</v>
      </c>
    </row>
    <row r="6288" spans="5:6" x14ac:dyDescent="0.35">
      <c r="E6288">
        <v>6285</v>
      </c>
      <c r="F6288">
        <f t="shared" ca="1" si="100"/>
        <v>1.5462001958749111E-2</v>
      </c>
    </row>
    <row r="6289" spans="5:6" x14ac:dyDescent="0.35">
      <c r="E6289">
        <v>6286</v>
      </c>
      <c r="F6289">
        <f t="shared" ca="1" si="100"/>
        <v>-8.0111963404849735E-3</v>
      </c>
    </row>
    <row r="6290" spans="5:6" x14ac:dyDescent="0.35">
      <c r="E6290">
        <v>6287</v>
      </c>
      <c r="F6290">
        <f t="shared" ca="1" si="100"/>
        <v>-2.1646211539596179E-2</v>
      </c>
    </row>
    <row r="6291" spans="5:6" x14ac:dyDescent="0.35">
      <c r="E6291">
        <v>6288</v>
      </c>
      <c r="F6291">
        <f t="shared" ca="1" si="100"/>
        <v>-1.38381419879933E-2</v>
      </c>
    </row>
    <row r="6292" spans="5:6" x14ac:dyDescent="0.35">
      <c r="E6292">
        <v>6289</v>
      </c>
      <c r="F6292">
        <f t="shared" ca="1" si="100"/>
        <v>-1.5288126849225946E-2</v>
      </c>
    </row>
    <row r="6293" spans="5:6" x14ac:dyDescent="0.35">
      <c r="E6293">
        <v>6290</v>
      </c>
      <c r="F6293">
        <f t="shared" ca="1" si="100"/>
        <v>1.3598547560250479E-2</v>
      </c>
    </row>
    <row r="6294" spans="5:6" x14ac:dyDescent="0.35">
      <c r="E6294">
        <v>6291</v>
      </c>
      <c r="F6294">
        <f t="shared" ca="1" si="100"/>
        <v>-2.1786016536265343E-2</v>
      </c>
    </row>
    <row r="6295" spans="5:6" x14ac:dyDescent="0.35">
      <c r="E6295">
        <v>6292</v>
      </c>
      <c r="F6295">
        <f t="shared" ca="1" si="100"/>
        <v>-7.7613146372316894E-3</v>
      </c>
    </row>
    <row r="6296" spans="5:6" x14ac:dyDescent="0.35">
      <c r="E6296">
        <v>6293</v>
      </c>
      <c r="F6296">
        <f t="shared" ca="1" si="100"/>
        <v>-5.1623615257569266E-3</v>
      </c>
    </row>
    <row r="6297" spans="5:6" x14ac:dyDescent="0.35">
      <c r="E6297">
        <v>6294</v>
      </c>
      <c r="F6297">
        <f t="shared" ca="1" si="100"/>
        <v>-4.578397700277223E-3</v>
      </c>
    </row>
    <row r="6298" spans="5:6" x14ac:dyDescent="0.35">
      <c r="E6298">
        <v>6295</v>
      </c>
      <c r="F6298">
        <f t="shared" ca="1" si="100"/>
        <v>-7.5399234450506756E-3</v>
      </c>
    </row>
    <row r="6299" spans="5:6" x14ac:dyDescent="0.35">
      <c r="E6299">
        <v>6296</v>
      </c>
      <c r="F6299">
        <f t="shared" ca="1" si="100"/>
        <v>-7.6731607995606747E-3</v>
      </c>
    </row>
    <row r="6300" spans="5:6" x14ac:dyDescent="0.35">
      <c r="E6300">
        <v>6297</v>
      </c>
      <c r="F6300">
        <f t="shared" ca="1" si="100"/>
        <v>-2.3674593628996692E-2</v>
      </c>
    </row>
    <row r="6301" spans="5:6" x14ac:dyDescent="0.35">
      <c r="E6301">
        <v>6298</v>
      </c>
      <c r="F6301">
        <f t="shared" ca="1" si="100"/>
        <v>9.7805812398803413E-3</v>
      </c>
    </row>
    <row r="6302" spans="5:6" x14ac:dyDescent="0.35">
      <c r="E6302">
        <v>6299</v>
      </c>
      <c r="F6302">
        <f t="shared" ca="1" si="100"/>
        <v>3.7334050285291976E-3</v>
      </c>
    </row>
    <row r="6303" spans="5:6" x14ac:dyDescent="0.35">
      <c r="E6303">
        <v>6300</v>
      </c>
      <c r="F6303">
        <f t="shared" ca="1" si="100"/>
        <v>8.605126373365721E-4</v>
      </c>
    </row>
    <row r="6304" spans="5:6" x14ac:dyDescent="0.35">
      <c r="E6304">
        <v>6301</v>
      </c>
      <c r="F6304">
        <f t="shared" ca="1" si="100"/>
        <v>1.7887021354021693E-2</v>
      </c>
    </row>
    <row r="6305" spans="5:6" x14ac:dyDescent="0.35">
      <c r="E6305">
        <v>6302</v>
      </c>
      <c r="F6305">
        <f t="shared" ca="1" si="100"/>
        <v>4.0535102238836744E-3</v>
      </c>
    </row>
    <row r="6306" spans="5:6" x14ac:dyDescent="0.35">
      <c r="E6306">
        <v>6303</v>
      </c>
      <c r="F6306">
        <f t="shared" ca="1" si="100"/>
        <v>4.3974806216588403E-3</v>
      </c>
    </row>
    <row r="6307" spans="5:6" x14ac:dyDescent="0.35">
      <c r="E6307">
        <v>6304</v>
      </c>
      <c r="F6307">
        <f t="shared" ca="1" si="100"/>
        <v>-2.0467541551980932E-2</v>
      </c>
    </row>
    <row r="6308" spans="5:6" x14ac:dyDescent="0.35">
      <c r="E6308">
        <v>6305</v>
      </c>
      <c r="F6308">
        <f t="shared" ca="1" si="100"/>
        <v>-1.1315069058509087E-2</v>
      </c>
    </row>
    <row r="6309" spans="5:6" x14ac:dyDescent="0.35">
      <c r="E6309">
        <v>6306</v>
      </c>
      <c r="F6309">
        <f t="shared" ca="1" si="100"/>
        <v>9.0954355818303519E-3</v>
      </c>
    </row>
    <row r="6310" spans="5:6" x14ac:dyDescent="0.35">
      <c r="E6310">
        <v>6307</v>
      </c>
      <c r="F6310">
        <f t="shared" ca="1" si="100"/>
        <v>1.5867391678418143E-2</v>
      </c>
    </row>
    <row r="6311" spans="5:6" x14ac:dyDescent="0.35">
      <c r="E6311">
        <v>6308</v>
      </c>
      <c r="F6311">
        <f t="shared" ca="1" si="100"/>
        <v>-1.2184064802800331E-2</v>
      </c>
    </row>
    <row r="6312" spans="5:6" x14ac:dyDescent="0.35">
      <c r="E6312">
        <v>6309</v>
      </c>
      <c r="F6312">
        <f t="shared" ca="1" si="100"/>
        <v>2.0956200088122923E-3</v>
      </c>
    </row>
    <row r="6313" spans="5:6" x14ac:dyDescent="0.35">
      <c r="E6313">
        <v>6310</v>
      </c>
      <c r="F6313">
        <f t="shared" ca="1" si="100"/>
        <v>5.0870064069234201E-3</v>
      </c>
    </row>
    <row r="6314" spans="5:6" x14ac:dyDescent="0.35">
      <c r="E6314">
        <v>6311</v>
      </c>
      <c r="F6314">
        <f t="shared" ca="1" si="100"/>
        <v>-1.3898125453242451E-2</v>
      </c>
    </row>
    <row r="6315" spans="5:6" x14ac:dyDescent="0.35">
      <c r="E6315">
        <v>6312</v>
      </c>
      <c r="F6315">
        <f t="shared" ca="1" si="100"/>
        <v>2.3606229616212173E-3</v>
      </c>
    </row>
    <row r="6316" spans="5:6" x14ac:dyDescent="0.35">
      <c r="E6316">
        <v>6313</v>
      </c>
      <c r="F6316">
        <f t="shared" ca="1" si="100"/>
        <v>-2.500331478254274E-3</v>
      </c>
    </row>
    <row r="6317" spans="5:6" x14ac:dyDescent="0.35">
      <c r="E6317">
        <v>6314</v>
      </c>
      <c r="F6317">
        <f t="shared" ca="1" si="100"/>
        <v>1.8404777473121976E-2</v>
      </c>
    </row>
    <row r="6318" spans="5:6" x14ac:dyDescent="0.35">
      <c r="E6318">
        <v>6315</v>
      </c>
      <c r="F6318">
        <f t="shared" ca="1" si="100"/>
        <v>-1.4591158190339088E-2</v>
      </c>
    </row>
    <row r="6319" spans="5:6" x14ac:dyDescent="0.35">
      <c r="E6319">
        <v>6316</v>
      </c>
      <c r="F6319">
        <f t="shared" ca="1" si="100"/>
        <v>-1.7489767371468307E-2</v>
      </c>
    </row>
    <row r="6320" spans="5:6" x14ac:dyDescent="0.35">
      <c r="E6320">
        <v>6317</v>
      </c>
      <c r="F6320">
        <f t="shared" ca="1" si="100"/>
        <v>2.0378662696460045E-2</v>
      </c>
    </row>
    <row r="6321" spans="5:6" x14ac:dyDescent="0.35">
      <c r="E6321">
        <v>6318</v>
      </c>
      <c r="F6321">
        <f t="shared" ca="1" si="100"/>
        <v>1.7567163646350494E-2</v>
      </c>
    </row>
    <row r="6322" spans="5:6" x14ac:dyDescent="0.35">
      <c r="E6322">
        <v>6319</v>
      </c>
      <c r="F6322">
        <f t="shared" ca="1" si="100"/>
        <v>9.6619563156278392E-3</v>
      </c>
    </row>
    <row r="6323" spans="5:6" x14ac:dyDescent="0.35">
      <c r="E6323">
        <v>6320</v>
      </c>
      <c r="F6323">
        <f t="shared" ca="1" si="100"/>
        <v>-2.6659202951900263E-2</v>
      </c>
    </row>
    <row r="6324" spans="5:6" x14ac:dyDescent="0.35">
      <c r="E6324">
        <v>6321</v>
      </c>
      <c r="F6324">
        <f t="shared" ca="1" si="100"/>
        <v>7.1194843234568539E-3</v>
      </c>
    </row>
    <row r="6325" spans="5:6" x14ac:dyDescent="0.35">
      <c r="E6325">
        <v>6322</v>
      </c>
      <c r="F6325">
        <f t="shared" ca="1" si="100"/>
        <v>-3.6179939700774202E-3</v>
      </c>
    </row>
    <row r="6326" spans="5:6" x14ac:dyDescent="0.35">
      <c r="E6326">
        <v>6323</v>
      </c>
      <c r="F6326">
        <f t="shared" ca="1" si="100"/>
        <v>1.0451481885786623E-2</v>
      </c>
    </row>
    <row r="6327" spans="5:6" x14ac:dyDescent="0.35">
      <c r="E6327">
        <v>6324</v>
      </c>
      <c r="F6327">
        <f t="shared" ca="1" si="100"/>
        <v>-7.5996944114511827E-3</v>
      </c>
    </row>
    <row r="6328" spans="5:6" x14ac:dyDescent="0.35">
      <c r="E6328">
        <v>6325</v>
      </c>
      <c r="F6328">
        <f t="shared" ca="1" si="100"/>
        <v>-7.6537399703899747E-3</v>
      </c>
    </row>
    <row r="6329" spans="5:6" x14ac:dyDescent="0.35">
      <c r="E6329">
        <v>6326</v>
      </c>
      <c r="F6329">
        <f t="shared" ca="1" si="100"/>
        <v>3.3721556914422898E-2</v>
      </c>
    </row>
    <row r="6330" spans="5:6" x14ac:dyDescent="0.35">
      <c r="E6330">
        <v>6327</v>
      </c>
      <c r="F6330">
        <f t="shared" ca="1" si="100"/>
        <v>2.0735931624145349E-2</v>
      </c>
    </row>
    <row r="6331" spans="5:6" x14ac:dyDescent="0.35">
      <c r="E6331">
        <v>6328</v>
      </c>
      <c r="F6331">
        <f t="shared" ca="1" si="100"/>
        <v>1.4752419736542031E-2</v>
      </c>
    </row>
    <row r="6332" spans="5:6" x14ac:dyDescent="0.35">
      <c r="E6332">
        <v>6329</v>
      </c>
      <c r="F6332">
        <f t="shared" ca="1" si="100"/>
        <v>-1.020586793782257E-2</v>
      </c>
    </row>
    <row r="6333" spans="5:6" x14ac:dyDescent="0.35">
      <c r="E6333">
        <v>6330</v>
      </c>
      <c r="F6333">
        <f t="shared" ca="1" si="100"/>
        <v>1.7558350406460786E-3</v>
      </c>
    </row>
    <row r="6334" spans="5:6" x14ac:dyDescent="0.35">
      <c r="E6334">
        <v>6331</v>
      </c>
      <c r="F6334">
        <f t="shared" ca="1" si="100"/>
        <v>-1.9414939485586789E-2</v>
      </c>
    </row>
    <row r="6335" spans="5:6" x14ac:dyDescent="0.35">
      <c r="E6335">
        <v>6332</v>
      </c>
      <c r="F6335">
        <f t="shared" ca="1" si="100"/>
        <v>-1.7701936757020206E-3</v>
      </c>
    </row>
    <row r="6336" spans="5:6" x14ac:dyDescent="0.35">
      <c r="E6336">
        <v>6333</v>
      </c>
      <c r="F6336">
        <f t="shared" ca="1" si="100"/>
        <v>-1.1097913237044059E-2</v>
      </c>
    </row>
    <row r="6337" spans="5:6" x14ac:dyDescent="0.35">
      <c r="E6337">
        <v>6334</v>
      </c>
      <c r="F6337">
        <f t="shared" ca="1" si="100"/>
        <v>1.4346113667997746E-2</v>
      </c>
    </row>
    <row r="6338" spans="5:6" x14ac:dyDescent="0.35">
      <c r="E6338">
        <v>6335</v>
      </c>
      <c r="F6338">
        <f t="shared" ca="1" si="100"/>
        <v>-1.1346552181422843E-2</v>
      </c>
    </row>
    <row r="6339" spans="5:6" x14ac:dyDescent="0.35">
      <c r="E6339">
        <v>6336</v>
      </c>
      <c r="F6339">
        <f t="shared" ca="1" si="100"/>
        <v>4.4900461042469669E-2</v>
      </c>
    </row>
    <row r="6340" spans="5:6" x14ac:dyDescent="0.35">
      <c r="E6340">
        <v>6337</v>
      </c>
      <c r="F6340">
        <f t="shared" ca="1" si="100"/>
        <v>-1.3867796209735699E-2</v>
      </c>
    </row>
    <row r="6341" spans="5:6" x14ac:dyDescent="0.35">
      <c r="E6341">
        <v>6338</v>
      </c>
      <c r="F6341">
        <f t="shared" ref="F6341:F6404" ca="1" si="101">_xlfn.NORM.INV(RAND(),M$6,M$7)</f>
        <v>-6.3950128378936748E-3</v>
      </c>
    </row>
    <row r="6342" spans="5:6" x14ac:dyDescent="0.35">
      <c r="E6342">
        <v>6339</v>
      </c>
      <c r="F6342">
        <f t="shared" ca="1" si="101"/>
        <v>5.4409578474233864E-3</v>
      </c>
    </row>
    <row r="6343" spans="5:6" x14ac:dyDescent="0.35">
      <c r="E6343">
        <v>6340</v>
      </c>
      <c r="F6343">
        <f t="shared" ca="1" si="101"/>
        <v>-7.9105148427049202E-3</v>
      </c>
    </row>
    <row r="6344" spans="5:6" x14ac:dyDescent="0.35">
      <c r="E6344">
        <v>6341</v>
      </c>
      <c r="F6344">
        <f t="shared" ca="1" si="101"/>
        <v>5.7994914520643689E-3</v>
      </c>
    </row>
    <row r="6345" spans="5:6" x14ac:dyDescent="0.35">
      <c r="E6345">
        <v>6342</v>
      </c>
      <c r="F6345">
        <f t="shared" ca="1" si="101"/>
        <v>2.167201027138352E-3</v>
      </c>
    </row>
    <row r="6346" spans="5:6" x14ac:dyDescent="0.35">
      <c r="E6346">
        <v>6343</v>
      </c>
      <c r="F6346">
        <f t="shared" ca="1" si="101"/>
        <v>1.37405359745517E-2</v>
      </c>
    </row>
    <row r="6347" spans="5:6" x14ac:dyDescent="0.35">
      <c r="E6347">
        <v>6344</v>
      </c>
      <c r="F6347">
        <f t="shared" ca="1" si="101"/>
        <v>-4.8173932582301198E-4</v>
      </c>
    </row>
    <row r="6348" spans="5:6" x14ac:dyDescent="0.35">
      <c r="E6348">
        <v>6345</v>
      </c>
      <c r="F6348">
        <f t="shared" ca="1" si="101"/>
        <v>-6.3755749055130718E-3</v>
      </c>
    </row>
    <row r="6349" spans="5:6" x14ac:dyDescent="0.35">
      <c r="E6349">
        <v>6346</v>
      </c>
      <c r="F6349">
        <f t="shared" ca="1" si="101"/>
        <v>2.733491915830485E-3</v>
      </c>
    </row>
    <row r="6350" spans="5:6" x14ac:dyDescent="0.35">
      <c r="E6350">
        <v>6347</v>
      </c>
      <c r="F6350">
        <f t="shared" ca="1" si="101"/>
        <v>4.3879483706753247E-3</v>
      </c>
    </row>
    <row r="6351" spans="5:6" x14ac:dyDescent="0.35">
      <c r="E6351">
        <v>6348</v>
      </c>
      <c r="F6351">
        <f t="shared" ca="1" si="101"/>
        <v>7.0262920218446016E-3</v>
      </c>
    </row>
    <row r="6352" spans="5:6" x14ac:dyDescent="0.35">
      <c r="E6352">
        <v>6349</v>
      </c>
      <c r="F6352">
        <f t="shared" ca="1" si="101"/>
        <v>-2.0670869004646708E-2</v>
      </c>
    </row>
    <row r="6353" spans="5:6" x14ac:dyDescent="0.35">
      <c r="E6353">
        <v>6350</v>
      </c>
      <c r="F6353">
        <f t="shared" ca="1" si="101"/>
        <v>-2.8604956408425794E-2</v>
      </c>
    </row>
    <row r="6354" spans="5:6" x14ac:dyDescent="0.35">
      <c r="E6354">
        <v>6351</v>
      </c>
      <c r="F6354">
        <f t="shared" ca="1" si="101"/>
        <v>-7.2913662481527541E-3</v>
      </c>
    </row>
    <row r="6355" spans="5:6" x14ac:dyDescent="0.35">
      <c r="E6355">
        <v>6352</v>
      </c>
      <c r="F6355">
        <f t="shared" ca="1" si="101"/>
        <v>4.2206638113950739E-3</v>
      </c>
    </row>
    <row r="6356" spans="5:6" x14ac:dyDescent="0.35">
      <c r="E6356">
        <v>6353</v>
      </c>
      <c r="F6356">
        <f t="shared" ca="1" si="101"/>
        <v>1.6245236362718241E-2</v>
      </c>
    </row>
    <row r="6357" spans="5:6" x14ac:dyDescent="0.35">
      <c r="E6357">
        <v>6354</v>
      </c>
      <c r="F6357">
        <f t="shared" ca="1" si="101"/>
        <v>-1.7511803218474325E-2</v>
      </c>
    </row>
    <row r="6358" spans="5:6" x14ac:dyDescent="0.35">
      <c r="E6358">
        <v>6355</v>
      </c>
      <c r="F6358">
        <f t="shared" ca="1" si="101"/>
        <v>2.0265465740588674E-2</v>
      </c>
    </row>
    <row r="6359" spans="5:6" x14ac:dyDescent="0.35">
      <c r="E6359">
        <v>6356</v>
      </c>
      <c r="F6359">
        <f t="shared" ca="1" si="101"/>
        <v>-2.4016673142358638E-2</v>
      </c>
    </row>
    <row r="6360" spans="5:6" x14ac:dyDescent="0.35">
      <c r="E6360">
        <v>6357</v>
      </c>
      <c r="F6360">
        <f t="shared" ca="1" si="101"/>
        <v>-1.7200362539286945E-2</v>
      </c>
    </row>
    <row r="6361" spans="5:6" x14ac:dyDescent="0.35">
      <c r="E6361">
        <v>6358</v>
      </c>
      <c r="F6361">
        <f t="shared" ca="1" si="101"/>
        <v>-1.315945679459104E-2</v>
      </c>
    </row>
    <row r="6362" spans="5:6" x14ac:dyDescent="0.35">
      <c r="E6362">
        <v>6359</v>
      </c>
      <c r="F6362">
        <f t="shared" ca="1" si="101"/>
        <v>-4.4454402299627625E-3</v>
      </c>
    </row>
    <row r="6363" spans="5:6" x14ac:dyDescent="0.35">
      <c r="E6363">
        <v>6360</v>
      </c>
      <c r="F6363">
        <f t="shared" ca="1" si="101"/>
        <v>1.7636122245814817E-2</v>
      </c>
    </row>
    <row r="6364" spans="5:6" x14ac:dyDescent="0.35">
      <c r="E6364">
        <v>6361</v>
      </c>
      <c r="F6364">
        <f t="shared" ca="1" si="101"/>
        <v>-2.3568155082584624E-2</v>
      </c>
    </row>
    <row r="6365" spans="5:6" x14ac:dyDescent="0.35">
      <c r="E6365">
        <v>6362</v>
      </c>
      <c r="F6365">
        <f t="shared" ca="1" si="101"/>
        <v>3.4642523144935995E-2</v>
      </c>
    </row>
    <row r="6366" spans="5:6" x14ac:dyDescent="0.35">
      <c r="E6366">
        <v>6363</v>
      </c>
      <c r="F6366">
        <f t="shared" ca="1" si="101"/>
        <v>-1.5467833894048776E-2</v>
      </c>
    </row>
    <row r="6367" spans="5:6" x14ac:dyDescent="0.35">
      <c r="E6367">
        <v>6364</v>
      </c>
      <c r="F6367">
        <f t="shared" ca="1" si="101"/>
        <v>1.0461414064668004E-2</v>
      </c>
    </row>
    <row r="6368" spans="5:6" x14ac:dyDescent="0.35">
      <c r="E6368">
        <v>6365</v>
      </c>
      <c r="F6368">
        <f t="shared" ca="1" si="101"/>
        <v>-1.2580365355665476E-2</v>
      </c>
    </row>
    <row r="6369" spans="5:6" x14ac:dyDescent="0.35">
      <c r="E6369">
        <v>6366</v>
      </c>
      <c r="F6369">
        <f t="shared" ca="1" si="101"/>
        <v>7.4165741247654996E-3</v>
      </c>
    </row>
    <row r="6370" spans="5:6" x14ac:dyDescent="0.35">
      <c r="E6370">
        <v>6367</v>
      </c>
      <c r="F6370">
        <f t="shared" ca="1" si="101"/>
        <v>2.5603643920919305E-2</v>
      </c>
    </row>
    <row r="6371" spans="5:6" x14ac:dyDescent="0.35">
      <c r="E6371">
        <v>6368</v>
      </c>
      <c r="F6371">
        <f t="shared" ca="1" si="101"/>
        <v>-1.4080032042344889E-2</v>
      </c>
    </row>
    <row r="6372" spans="5:6" x14ac:dyDescent="0.35">
      <c r="E6372">
        <v>6369</v>
      </c>
      <c r="F6372">
        <f t="shared" ca="1" si="101"/>
        <v>-1.1626168571097318E-2</v>
      </c>
    </row>
    <row r="6373" spans="5:6" x14ac:dyDescent="0.35">
      <c r="E6373">
        <v>6370</v>
      </c>
      <c r="F6373">
        <f t="shared" ca="1" si="101"/>
        <v>-1.5469646582106374E-2</v>
      </c>
    </row>
    <row r="6374" spans="5:6" x14ac:dyDescent="0.35">
      <c r="E6374">
        <v>6371</v>
      </c>
      <c r="F6374">
        <f t="shared" ca="1" si="101"/>
        <v>-1.835346068777209E-3</v>
      </c>
    </row>
    <row r="6375" spans="5:6" x14ac:dyDescent="0.35">
      <c r="E6375">
        <v>6372</v>
      </c>
      <c r="F6375">
        <f t="shared" ca="1" si="101"/>
        <v>1.7444957513567085E-2</v>
      </c>
    </row>
    <row r="6376" spans="5:6" x14ac:dyDescent="0.35">
      <c r="E6376">
        <v>6373</v>
      </c>
      <c r="F6376">
        <f t="shared" ca="1" si="101"/>
        <v>3.9861908109215319E-3</v>
      </c>
    </row>
    <row r="6377" spans="5:6" x14ac:dyDescent="0.35">
      <c r="E6377">
        <v>6374</v>
      </c>
      <c r="F6377">
        <f t="shared" ca="1" si="101"/>
        <v>-3.2124296760638636E-4</v>
      </c>
    </row>
    <row r="6378" spans="5:6" x14ac:dyDescent="0.35">
      <c r="E6378">
        <v>6375</v>
      </c>
      <c r="F6378">
        <f t="shared" ca="1" si="101"/>
        <v>1.0440770317746139E-2</v>
      </c>
    </row>
    <row r="6379" spans="5:6" x14ac:dyDescent="0.35">
      <c r="E6379">
        <v>6376</v>
      </c>
      <c r="F6379">
        <f t="shared" ca="1" si="101"/>
        <v>9.496797479503374E-3</v>
      </c>
    </row>
    <row r="6380" spans="5:6" x14ac:dyDescent="0.35">
      <c r="E6380">
        <v>6377</v>
      </c>
      <c r="F6380">
        <f t="shared" ca="1" si="101"/>
        <v>1.253997050318614E-2</v>
      </c>
    </row>
    <row r="6381" spans="5:6" x14ac:dyDescent="0.35">
      <c r="E6381">
        <v>6378</v>
      </c>
      <c r="F6381">
        <f t="shared" ca="1" si="101"/>
        <v>-6.5455642826760989E-3</v>
      </c>
    </row>
    <row r="6382" spans="5:6" x14ac:dyDescent="0.35">
      <c r="E6382">
        <v>6379</v>
      </c>
      <c r="F6382">
        <f t="shared" ca="1" si="101"/>
        <v>1.389191145846673E-2</v>
      </c>
    </row>
    <row r="6383" spans="5:6" x14ac:dyDescent="0.35">
      <c r="E6383">
        <v>6380</v>
      </c>
      <c r="F6383">
        <f t="shared" ca="1" si="101"/>
        <v>-1.5640696221156002E-2</v>
      </c>
    </row>
    <row r="6384" spans="5:6" x14ac:dyDescent="0.35">
      <c r="E6384">
        <v>6381</v>
      </c>
      <c r="F6384">
        <f t="shared" ca="1" si="101"/>
        <v>-1.8956943051635734E-2</v>
      </c>
    </row>
    <row r="6385" spans="5:6" x14ac:dyDescent="0.35">
      <c r="E6385">
        <v>6382</v>
      </c>
      <c r="F6385">
        <f t="shared" ca="1" si="101"/>
        <v>2.6464148990359843E-2</v>
      </c>
    </row>
    <row r="6386" spans="5:6" x14ac:dyDescent="0.35">
      <c r="E6386">
        <v>6383</v>
      </c>
      <c r="F6386">
        <f t="shared" ca="1" si="101"/>
        <v>1.9461753130790668E-2</v>
      </c>
    </row>
    <row r="6387" spans="5:6" x14ac:dyDescent="0.35">
      <c r="E6387">
        <v>6384</v>
      </c>
      <c r="F6387">
        <f t="shared" ca="1" si="101"/>
        <v>7.7809459291330969E-3</v>
      </c>
    </row>
    <row r="6388" spans="5:6" x14ac:dyDescent="0.35">
      <c r="E6388">
        <v>6385</v>
      </c>
      <c r="F6388">
        <f t="shared" ca="1" si="101"/>
        <v>3.0594942846785197E-3</v>
      </c>
    </row>
    <row r="6389" spans="5:6" x14ac:dyDescent="0.35">
      <c r="E6389">
        <v>6386</v>
      </c>
      <c r="F6389">
        <f t="shared" ca="1" si="101"/>
        <v>1.2163453698337278E-2</v>
      </c>
    </row>
    <row r="6390" spans="5:6" x14ac:dyDescent="0.35">
      <c r="E6390">
        <v>6387</v>
      </c>
      <c r="F6390">
        <f t="shared" ca="1" si="101"/>
        <v>-2.7789182803657761E-2</v>
      </c>
    </row>
    <row r="6391" spans="5:6" x14ac:dyDescent="0.35">
      <c r="E6391">
        <v>6388</v>
      </c>
      <c r="F6391">
        <f t="shared" ca="1" si="101"/>
        <v>1.7796212491640255E-2</v>
      </c>
    </row>
    <row r="6392" spans="5:6" x14ac:dyDescent="0.35">
      <c r="E6392">
        <v>6389</v>
      </c>
      <c r="F6392">
        <f t="shared" ca="1" si="101"/>
        <v>9.3481969974094047E-3</v>
      </c>
    </row>
    <row r="6393" spans="5:6" x14ac:dyDescent="0.35">
      <c r="E6393">
        <v>6390</v>
      </c>
      <c r="F6393">
        <f t="shared" ca="1" si="101"/>
        <v>-5.3392864612806209E-3</v>
      </c>
    </row>
    <row r="6394" spans="5:6" x14ac:dyDescent="0.35">
      <c r="E6394">
        <v>6391</v>
      </c>
      <c r="F6394">
        <f t="shared" ca="1" si="101"/>
        <v>1.8684441624610301E-2</v>
      </c>
    </row>
    <row r="6395" spans="5:6" x14ac:dyDescent="0.35">
      <c r="E6395">
        <v>6392</v>
      </c>
      <c r="F6395">
        <f t="shared" ca="1" si="101"/>
        <v>-3.2263110681077846E-4</v>
      </c>
    </row>
    <row r="6396" spans="5:6" x14ac:dyDescent="0.35">
      <c r="E6396">
        <v>6393</v>
      </c>
      <c r="F6396">
        <f t="shared" ca="1" si="101"/>
        <v>-8.8912359918208467E-3</v>
      </c>
    </row>
    <row r="6397" spans="5:6" x14ac:dyDescent="0.35">
      <c r="E6397">
        <v>6394</v>
      </c>
      <c r="F6397">
        <f t="shared" ca="1" si="101"/>
        <v>1.5240989023710554E-2</v>
      </c>
    </row>
    <row r="6398" spans="5:6" x14ac:dyDescent="0.35">
      <c r="E6398">
        <v>6395</v>
      </c>
      <c r="F6398">
        <f t="shared" ca="1" si="101"/>
        <v>-2.2823943839542959E-2</v>
      </c>
    </row>
    <row r="6399" spans="5:6" x14ac:dyDescent="0.35">
      <c r="E6399">
        <v>6396</v>
      </c>
      <c r="F6399">
        <f t="shared" ca="1" si="101"/>
        <v>1.0216994232730928E-2</v>
      </c>
    </row>
    <row r="6400" spans="5:6" x14ac:dyDescent="0.35">
      <c r="E6400">
        <v>6397</v>
      </c>
      <c r="F6400">
        <f t="shared" ca="1" si="101"/>
        <v>2.9164026218590207E-3</v>
      </c>
    </row>
    <row r="6401" spans="5:6" x14ac:dyDescent="0.35">
      <c r="E6401">
        <v>6398</v>
      </c>
      <c r="F6401">
        <f t="shared" ca="1" si="101"/>
        <v>4.7829332586210897E-4</v>
      </c>
    </row>
    <row r="6402" spans="5:6" x14ac:dyDescent="0.35">
      <c r="E6402">
        <v>6399</v>
      </c>
      <c r="F6402">
        <f t="shared" ca="1" si="101"/>
        <v>-9.0835737429643976E-3</v>
      </c>
    </row>
    <row r="6403" spans="5:6" x14ac:dyDescent="0.35">
      <c r="E6403">
        <v>6400</v>
      </c>
      <c r="F6403">
        <f t="shared" ca="1" si="101"/>
        <v>1.7676634893668178E-2</v>
      </c>
    </row>
    <row r="6404" spans="5:6" x14ac:dyDescent="0.35">
      <c r="E6404">
        <v>6401</v>
      </c>
      <c r="F6404">
        <f t="shared" ca="1" si="101"/>
        <v>5.1949698462426201E-3</v>
      </c>
    </row>
    <row r="6405" spans="5:6" x14ac:dyDescent="0.35">
      <c r="E6405">
        <v>6402</v>
      </c>
      <c r="F6405">
        <f t="shared" ref="F6405:F6468" ca="1" si="102">_xlfn.NORM.INV(RAND(),M$6,M$7)</f>
        <v>1.1827633510367173E-2</v>
      </c>
    </row>
    <row r="6406" spans="5:6" x14ac:dyDescent="0.35">
      <c r="E6406">
        <v>6403</v>
      </c>
      <c r="F6406">
        <f t="shared" ca="1" si="102"/>
        <v>-1.6115294027346794E-2</v>
      </c>
    </row>
    <row r="6407" spans="5:6" x14ac:dyDescent="0.35">
      <c r="E6407">
        <v>6404</v>
      </c>
      <c r="F6407">
        <f t="shared" ca="1" si="102"/>
        <v>-1.0473579976690692E-2</v>
      </c>
    </row>
    <row r="6408" spans="5:6" x14ac:dyDescent="0.35">
      <c r="E6408">
        <v>6405</v>
      </c>
      <c r="F6408">
        <f t="shared" ca="1" si="102"/>
        <v>2.2661408772576479E-2</v>
      </c>
    </row>
    <row r="6409" spans="5:6" x14ac:dyDescent="0.35">
      <c r="E6409">
        <v>6406</v>
      </c>
      <c r="F6409">
        <f t="shared" ca="1" si="102"/>
        <v>-1.0281645852728888E-2</v>
      </c>
    </row>
    <row r="6410" spans="5:6" x14ac:dyDescent="0.35">
      <c r="E6410">
        <v>6407</v>
      </c>
      <c r="F6410">
        <f t="shared" ca="1" si="102"/>
        <v>3.3352894597533975E-2</v>
      </c>
    </row>
    <row r="6411" spans="5:6" x14ac:dyDescent="0.35">
      <c r="E6411">
        <v>6408</v>
      </c>
      <c r="F6411">
        <f t="shared" ca="1" si="102"/>
        <v>2.0541376736027368E-2</v>
      </c>
    </row>
    <row r="6412" spans="5:6" x14ac:dyDescent="0.35">
      <c r="E6412">
        <v>6409</v>
      </c>
      <c r="F6412">
        <f t="shared" ca="1" si="102"/>
        <v>-1.9627156474319894E-3</v>
      </c>
    </row>
    <row r="6413" spans="5:6" x14ac:dyDescent="0.35">
      <c r="E6413">
        <v>6410</v>
      </c>
      <c r="F6413">
        <f t="shared" ca="1" si="102"/>
        <v>9.7505288840181083E-3</v>
      </c>
    </row>
    <row r="6414" spans="5:6" x14ac:dyDescent="0.35">
      <c r="E6414">
        <v>6411</v>
      </c>
      <c r="F6414">
        <f t="shared" ca="1" si="102"/>
        <v>-5.8025611497847683E-3</v>
      </c>
    </row>
    <row r="6415" spans="5:6" x14ac:dyDescent="0.35">
      <c r="E6415">
        <v>6412</v>
      </c>
      <c r="F6415">
        <f t="shared" ca="1" si="102"/>
        <v>-9.0788871960244197E-3</v>
      </c>
    </row>
    <row r="6416" spans="5:6" x14ac:dyDescent="0.35">
      <c r="E6416">
        <v>6413</v>
      </c>
      <c r="F6416">
        <f t="shared" ca="1" si="102"/>
        <v>-1.6034538348151219E-3</v>
      </c>
    </row>
    <row r="6417" spans="5:6" x14ac:dyDescent="0.35">
      <c r="E6417">
        <v>6414</v>
      </c>
      <c r="F6417">
        <f t="shared" ca="1" si="102"/>
        <v>1.4962661921255286E-2</v>
      </c>
    </row>
    <row r="6418" spans="5:6" x14ac:dyDescent="0.35">
      <c r="E6418">
        <v>6415</v>
      </c>
      <c r="F6418">
        <f t="shared" ca="1" si="102"/>
        <v>6.0662504804896433E-3</v>
      </c>
    </row>
    <row r="6419" spans="5:6" x14ac:dyDescent="0.35">
      <c r="E6419">
        <v>6416</v>
      </c>
      <c r="F6419">
        <f t="shared" ca="1" si="102"/>
        <v>-1.0721653255871273E-2</v>
      </c>
    </row>
    <row r="6420" spans="5:6" x14ac:dyDescent="0.35">
      <c r="E6420">
        <v>6417</v>
      </c>
      <c r="F6420">
        <f t="shared" ca="1" si="102"/>
        <v>3.6427965129715231E-3</v>
      </c>
    </row>
    <row r="6421" spans="5:6" x14ac:dyDescent="0.35">
      <c r="E6421">
        <v>6418</v>
      </c>
      <c r="F6421">
        <f t="shared" ca="1" si="102"/>
        <v>1.1444266837094022E-2</v>
      </c>
    </row>
    <row r="6422" spans="5:6" x14ac:dyDescent="0.35">
      <c r="E6422">
        <v>6419</v>
      </c>
      <c r="F6422">
        <f t="shared" ca="1" si="102"/>
        <v>-2.0583484209015877E-2</v>
      </c>
    </row>
    <row r="6423" spans="5:6" x14ac:dyDescent="0.35">
      <c r="E6423">
        <v>6420</v>
      </c>
      <c r="F6423">
        <f t="shared" ca="1" si="102"/>
        <v>2.8694607842930993E-2</v>
      </c>
    </row>
    <row r="6424" spans="5:6" x14ac:dyDescent="0.35">
      <c r="E6424">
        <v>6421</v>
      </c>
      <c r="F6424">
        <f t="shared" ca="1" si="102"/>
        <v>-1.0555185917075671E-2</v>
      </c>
    </row>
    <row r="6425" spans="5:6" x14ac:dyDescent="0.35">
      <c r="E6425">
        <v>6422</v>
      </c>
      <c r="F6425">
        <f t="shared" ca="1" si="102"/>
        <v>8.2250826614474264E-4</v>
      </c>
    </row>
    <row r="6426" spans="5:6" x14ac:dyDescent="0.35">
      <c r="E6426">
        <v>6423</v>
      </c>
      <c r="F6426">
        <f t="shared" ca="1" si="102"/>
        <v>-1.4189747744944671E-2</v>
      </c>
    </row>
    <row r="6427" spans="5:6" x14ac:dyDescent="0.35">
      <c r="E6427">
        <v>6424</v>
      </c>
      <c r="F6427">
        <f t="shared" ca="1" si="102"/>
        <v>-1.6273841134816523E-2</v>
      </c>
    </row>
    <row r="6428" spans="5:6" x14ac:dyDescent="0.35">
      <c r="E6428">
        <v>6425</v>
      </c>
      <c r="F6428">
        <f t="shared" ca="1" si="102"/>
        <v>-6.6058236182263332E-3</v>
      </c>
    </row>
    <row r="6429" spans="5:6" x14ac:dyDescent="0.35">
      <c r="E6429">
        <v>6426</v>
      </c>
      <c r="F6429">
        <f t="shared" ca="1" si="102"/>
        <v>7.7157022421329149E-3</v>
      </c>
    </row>
    <row r="6430" spans="5:6" x14ac:dyDescent="0.35">
      <c r="E6430">
        <v>6427</v>
      </c>
      <c r="F6430">
        <f t="shared" ca="1" si="102"/>
        <v>2.176215520568036E-2</v>
      </c>
    </row>
    <row r="6431" spans="5:6" x14ac:dyDescent="0.35">
      <c r="E6431">
        <v>6428</v>
      </c>
      <c r="F6431">
        <f t="shared" ca="1" si="102"/>
        <v>5.9788334786807268E-4</v>
      </c>
    </row>
    <row r="6432" spans="5:6" x14ac:dyDescent="0.35">
      <c r="E6432">
        <v>6429</v>
      </c>
      <c r="F6432">
        <f t="shared" ca="1" si="102"/>
        <v>1.2284069534570232E-2</v>
      </c>
    </row>
    <row r="6433" spans="5:6" x14ac:dyDescent="0.35">
      <c r="E6433">
        <v>6430</v>
      </c>
      <c r="F6433">
        <f t="shared" ca="1" si="102"/>
        <v>-1.9456796439795584E-2</v>
      </c>
    </row>
    <row r="6434" spans="5:6" x14ac:dyDescent="0.35">
      <c r="E6434">
        <v>6431</v>
      </c>
      <c r="F6434">
        <f t="shared" ca="1" si="102"/>
        <v>-4.9800239876170362E-2</v>
      </c>
    </row>
    <row r="6435" spans="5:6" x14ac:dyDescent="0.35">
      <c r="E6435">
        <v>6432</v>
      </c>
      <c r="F6435">
        <f t="shared" ca="1" si="102"/>
        <v>-2.4199828718958791E-3</v>
      </c>
    </row>
    <row r="6436" spans="5:6" x14ac:dyDescent="0.35">
      <c r="E6436">
        <v>6433</v>
      </c>
      <c r="F6436">
        <f t="shared" ca="1" si="102"/>
        <v>-1.6654070215317663E-2</v>
      </c>
    </row>
    <row r="6437" spans="5:6" x14ac:dyDescent="0.35">
      <c r="E6437">
        <v>6434</v>
      </c>
      <c r="F6437">
        <f t="shared" ca="1" si="102"/>
        <v>7.2882076082225753E-3</v>
      </c>
    </row>
    <row r="6438" spans="5:6" x14ac:dyDescent="0.35">
      <c r="E6438">
        <v>6435</v>
      </c>
      <c r="F6438">
        <f t="shared" ca="1" si="102"/>
        <v>2.0711727597910621E-3</v>
      </c>
    </row>
    <row r="6439" spans="5:6" x14ac:dyDescent="0.35">
      <c r="E6439">
        <v>6436</v>
      </c>
      <c r="F6439">
        <f t="shared" ca="1" si="102"/>
        <v>-1.2934939504505836E-2</v>
      </c>
    </row>
    <row r="6440" spans="5:6" x14ac:dyDescent="0.35">
      <c r="E6440">
        <v>6437</v>
      </c>
      <c r="F6440">
        <f t="shared" ca="1" si="102"/>
        <v>2.7018462480490991E-2</v>
      </c>
    </row>
    <row r="6441" spans="5:6" x14ac:dyDescent="0.35">
      <c r="E6441">
        <v>6438</v>
      </c>
      <c r="F6441">
        <f t="shared" ca="1" si="102"/>
        <v>-5.9923477040913203E-3</v>
      </c>
    </row>
    <row r="6442" spans="5:6" x14ac:dyDescent="0.35">
      <c r="E6442">
        <v>6439</v>
      </c>
      <c r="F6442">
        <f t="shared" ca="1" si="102"/>
        <v>2.5696746381446197E-2</v>
      </c>
    </row>
    <row r="6443" spans="5:6" x14ac:dyDescent="0.35">
      <c r="E6443">
        <v>6440</v>
      </c>
      <c r="F6443">
        <f t="shared" ca="1" si="102"/>
        <v>8.7793448567085649E-3</v>
      </c>
    </row>
    <row r="6444" spans="5:6" x14ac:dyDescent="0.35">
      <c r="E6444">
        <v>6441</v>
      </c>
      <c r="F6444">
        <f t="shared" ca="1" si="102"/>
        <v>4.6354583027937796E-2</v>
      </c>
    </row>
    <row r="6445" spans="5:6" x14ac:dyDescent="0.35">
      <c r="E6445">
        <v>6442</v>
      </c>
      <c r="F6445">
        <f t="shared" ca="1" si="102"/>
        <v>2.5995509065464582E-2</v>
      </c>
    </row>
    <row r="6446" spans="5:6" x14ac:dyDescent="0.35">
      <c r="E6446">
        <v>6443</v>
      </c>
      <c r="F6446">
        <f t="shared" ca="1" si="102"/>
        <v>8.1254791257834146E-3</v>
      </c>
    </row>
    <row r="6447" spans="5:6" x14ac:dyDescent="0.35">
      <c r="E6447">
        <v>6444</v>
      </c>
      <c r="F6447">
        <f t="shared" ca="1" si="102"/>
        <v>5.2032735883950233E-3</v>
      </c>
    </row>
    <row r="6448" spans="5:6" x14ac:dyDescent="0.35">
      <c r="E6448">
        <v>6445</v>
      </c>
      <c r="F6448">
        <f t="shared" ca="1" si="102"/>
        <v>1.1591287864513078E-2</v>
      </c>
    </row>
    <row r="6449" spans="5:6" x14ac:dyDescent="0.35">
      <c r="E6449">
        <v>6446</v>
      </c>
      <c r="F6449">
        <f t="shared" ca="1" si="102"/>
        <v>6.608875753001368E-3</v>
      </c>
    </row>
    <row r="6450" spans="5:6" x14ac:dyDescent="0.35">
      <c r="E6450">
        <v>6447</v>
      </c>
      <c r="F6450">
        <f t="shared" ca="1" si="102"/>
        <v>-1.078022317596687E-2</v>
      </c>
    </row>
    <row r="6451" spans="5:6" x14ac:dyDescent="0.35">
      <c r="E6451">
        <v>6448</v>
      </c>
      <c r="F6451">
        <f t="shared" ca="1" si="102"/>
        <v>-2.4363440356698362E-2</v>
      </c>
    </row>
    <row r="6452" spans="5:6" x14ac:dyDescent="0.35">
      <c r="E6452">
        <v>6449</v>
      </c>
      <c r="F6452">
        <f t="shared" ca="1" si="102"/>
        <v>5.5764803462350014E-5</v>
      </c>
    </row>
    <row r="6453" spans="5:6" x14ac:dyDescent="0.35">
      <c r="E6453">
        <v>6450</v>
      </c>
      <c r="F6453">
        <f t="shared" ca="1" si="102"/>
        <v>-1.634238527363259E-2</v>
      </c>
    </row>
    <row r="6454" spans="5:6" x14ac:dyDescent="0.35">
      <c r="E6454">
        <v>6451</v>
      </c>
      <c r="F6454">
        <f t="shared" ca="1" si="102"/>
        <v>1.1610782419849733E-2</v>
      </c>
    </row>
    <row r="6455" spans="5:6" x14ac:dyDescent="0.35">
      <c r="E6455">
        <v>6452</v>
      </c>
      <c r="F6455">
        <f t="shared" ca="1" si="102"/>
        <v>2.1489877427420458E-2</v>
      </c>
    </row>
    <row r="6456" spans="5:6" x14ac:dyDescent="0.35">
      <c r="E6456">
        <v>6453</v>
      </c>
      <c r="F6456">
        <f t="shared" ca="1" si="102"/>
        <v>-4.2768504995666125E-3</v>
      </c>
    </row>
    <row r="6457" spans="5:6" x14ac:dyDescent="0.35">
      <c r="E6457">
        <v>6454</v>
      </c>
      <c r="F6457">
        <f t="shared" ca="1" si="102"/>
        <v>1.6799800744127406E-2</v>
      </c>
    </row>
    <row r="6458" spans="5:6" x14ac:dyDescent="0.35">
      <c r="E6458">
        <v>6455</v>
      </c>
      <c r="F6458">
        <f t="shared" ca="1" si="102"/>
        <v>-1.0582943083740675E-2</v>
      </c>
    </row>
    <row r="6459" spans="5:6" x14ac:dyDescent="0.35">
      <c r="E6459">
        <v>6456</v>
      </c>
      <c r="F6459">
        <f t="shared" ca="1" si="102"/>
        <v>-2.9982897959011392E-3</v>
      </c>
    </row>
    <row r="6460" spans="5:6" x14ac:dyDescent="0.35">
      <c r="E6460">
        <v>6457</v>
      </c>
      <c r="F6460">
        <f t="shared" ca="1" si="102"/>
        <v>5.8571282660622916E-3</v>
      </c>
    </row>
    <row r="6461" spans="5:6" x14ac:dyDescent="0.35">
      <c r="E6461">
        <v>6458</v>
      </c>
      <c r="F6461">
        <f t="shared" ca="1" si="102"/>
        <v>-1.6185582080846483E-2</v>
      </c>
    </row>
    <row r="6462" spans="5:6" x14ac:dyDescent="0.35">
      <c r="E6462">
        <v>6459</v>
      </c>
      <c r="F6462">
        <f t="shared" ca="1" si="102"/>
        <v>1.8276865129835531E-2</v>
      </c>
    </row>
    <row r="6463" spans="5:6" x14ac:dyDescent="0.35">
      <c r="E6463">
        <v>6460</v>
      </c>
      <c r="F6463">
        <f t="shared" ca="1" si="102"/>
        <v>-1.651887718245619E-2</v>
      </c>
    </row>
    <row r="6464" spans="5:6" x14ac:dyDescent="0.35">
      <c r="E6464">
        <v>6461</v>
      </c>
      <c r="F6464">
        <f t="shared" ca="1" si="102"/>
        <v>-5.3748937564846288E-3</v>
      </c>
    </row>
    <row r="6465" spans="5:6" x14ac:dyDescent="0.35">
      <c r="E6465">
        <v>6462</v>
      </c>
      <c r="F6465">
        <f t="shared" ca="1" si="102"/>
        <v>-6.3271786610595007E-4</v>
      </c>
    </row>
    <row r="6466" spans="5:6" x14ac:dyDescent="0.35">
      <c r="E6466">
        <v>6463</v>
      </c>
      <c r="F6466">
        <f t="shared" ca="1" si="102"/>
        <v>-2.2278071696033762E-2</v>
      </c>
    </row>
    <row r="6467" spans="5:6" x14ac:dyDescent="0.35">
      <c r="E6467">
        <v>6464</v>
      </c>
      <c r="F6467">
        <f t="shared" ca="1" si="102"/>
        <v>-1.1148146542681895E-2</v>
      </c>
    </row>
    <row r="6468" spans="5:6" x14ac:dyDescent="0.35">
      <c r="E6468">
        <v>6465</v>
      </c>
      <c r="F6468">
        <f t="shared" ca="1" si="102"/>
        <v>-1.5963858987603228E-3</v>
      </c>
    </row>
    <row r="6469" spans="5:6" x14ac:dyDescent="0.35">
      <c r="E6469">
        <v>6466</v>
      </c>
      <c r="F6469">
        <f t="shared" ref="F6469:F6532" ca="1" si="103">_xlfn.NORM.INV(RAND(),M$6,M$7)</f>
        <v>7.7210106488146144E-3</v>
      </c>
    </row>
    <row r="6470" spans="5:6" x14ac:dyDescent="0.35">
      <c r="E6470">
        <v>6467</v>
      </c>
      <c r="F6470">
        <f t="shared" ca="1" si="103"/>
        <v>2.4274712912267345E-2</v>
      </c>
    </row>
    <row r="6471" spans="5:6" x14ac:dyDescent="0.35">
      <c r="E6471">
        <v>6468</v>
      </c>
      <c r="F6471">
        <f t="shared" ca="1" si="103"/>
        <v>1.8274706417830643E-3</v>
      </c>
    </row>
    <row r="6472" spans="5:6" x14ac:dyDescent="0.35">
      <c r="E6472">
        <v>6469</v>
      </c>
      <c r="F6472">
        <f t="shared" ca="1" si="103"/>
        <v>6.5274169826570125E-3</v>
      </c>
    </row>
    <row r="6473" spans="5:6" x14ac:dyDescent="0.35">
      <c r="E6473">
        <v>6470</v>
      </c>
      <c r="F6473">
        <f t="shared" ca="1" si="103"/>
        <v>-2.6746612615799574E-2</v>
      </c>
    </row>
    <row r="6474" spans="5:6" x14ac:dyDescent="0.35">
      <c r="E6474">
        <v>6471</v>
      </c>
      <c r="F6474">
        <f t="shared" ca="1" si="103"/>
        <v>-7.613156398273974E-3</v>
      </c>
    </row>
    <row r="6475" spans="5:6" x14ac:dyDescent="0.35">
      <c r="E6475">
        <v>6472</v>
      </c>
      <c r="F6475">
        <f t="shared" ca="1" si="103"/>
        <v>-1.961669738667917E-2</v>
      </c>
    </row>
    <row r="6476" spans="5:6" x14ac:dyDescent="0.35">
      <c r="E6476">
        <v>6473</v>
      </c>
      <c r="F6476">
        <f t="shared" ca="1" si="103"/>
        <v>-1.1016290630937021E-2</v>
      </c>
    </row>
    <row r="6477" spans="5:6" x14ac:dyDescent="0.35">
      <c r="E6477">
        <v>6474</v>
      </c>
      <c r="F6477">
        <f t="shared" ca="1" si="103"/>
        <v>-1.7406910372467277E-2</v>
      </c>
    </row>
    <row r="6478" spans="5:6" x14ac:dyDescent="0.35">
      <c r="E6478">
        <v>6475</v>
      </c>
      <c r="F6478">
        <f t="shared" ca="1" si="103"/>
        <v>-2.6678531877715691E-3</v>
      </c>
    </row>
    <row r="6479" spans="5:6" x14ac:dyDescent="0.35">
      <c r="E6479">
        <v>6476</v>
      </c>
      <c r="F6479">
        <f t="shared" ca="1" si="103"/>
        <v>6.6048711086082327E-3</v>
      </c>
    </row>
    <row r="6480" spans="5:6" x14ac:dyDescent="0.35">
      <c r="E6480">
        <v>6477</v>
      </c>
      <c r="F6480">
        <f t="shared" ca="1" si="103"/>
        <v>1.4050513009733E-2</v>
      </c>
    </row>
    <row r="6481" spans="5:6" x14ac:dyDescent="0.35">
      <c r="E6481">
        <v>6478</v>
      </c>
      <c r="F6481">
        <f t="shared" ca="1" si="103"/>
        <v>9.7794801899808697E-3</v>
      </c>
    </row>
    <row r="6482" spans="5:6" x14ac:dyDescent="0.35">
      <c r="E6482">
        <v>6479</v>
      </c>
      <c r="F6482">
        <f t="shared" ca="1" si="103"/>
        <v>1.3081659270288277E-2</v>
      </c>
    </row>
    <row r="6483" spans="5:6" x14ac:dyDescent="0.35">
      <c r="E6483">
        <v>6480</v>
      </c>
      <c r="F6483">
        <f t="shared" ca="1" si="103"/>
        <v>-1.0104403793662222E-2</v>
      </c>
    </row>
    <row r="6484" spans="5:6" x14ac:dyDescent="0.35">
      <c r="E6484">
        <v>6481</v>
      </c>
      <c r="F6484">
        <f t="shared" ca="1" si="103"/>
        <v>-2.6465221723540464E-2</v>
      </c>
    </row>
    <row r="6485" spans="5:6" x14ac:dyDescent="0.35">
      <c r="E6485">
        <v>6482</v>
      </c>
      <c r="F6485">
        <f t="shared" ca="1" si="103"/>
        <v>1.8175998642175048E-2</v>
      </c>
    </row>
    <row r="6486" spans="5:6" x14ac:dyDescent="0.35">
      <c r="E6486">
        <v>6483</v>
      </c>
      <c r="F6486">
        <f t="shared" ca="1" si="103"/>
        <v>5.0037834775809725E-3</v>
      </c>
    </row>
    <row r="6487" spans="5:6" x14ac:dyDescent="0.35">
      <c r="E6487">
        <v>6484</v>
      </c>
      <c r="F6487">
        <f t="shared" ca="1" si="103"/>
        <v>-2.2744801698043715E-2</v>
      </c>
    </row>
    <row r="6488" spans="5:6" x14ac:dyDescent="0.35">
      <c r="E6488">
        <v>6485</v>
      </c>
      <c r="F6488">
        <f t="shared" ca="1" si="103"/>
        <v>-1.9085502091144117E-2</v>
      </c>
    </row>
    <row r="6489" spans="5:6" x14ac:dyDescent="0.35">
      <c r="E6489">
        <v>6486</v>
      </c>
      <c r="F6489">
        <f t="shared" ca="1" si="103"/>
        <v>-7.3270507753797291E-3</v>
      </c>
    </row>
    <row r="6490" spans="5:6" x14ac:dyDescent="0.35">
      <c r="E6490">
        <v>6487</v>
      </c>
      <c r="F6490">
        <f t="shared" ca="1" si="103"/>
        <v>-6.4158075958731858E-3</v>
      </c>
    </row>
    <row r="6491" spans="5:6" x14ac:dyDescent="0.35">
      <c r="E6491">
        <v>6488</v>
      </c>
      <c r="F6491">
        <f t="shared" ca="1" si="103"/>
        <v>-7.3652843753675029E-4</v>
      </c>
    </row>
    <row r="6492" spans="5:6" x14ac:dyDescent="0.35">
      <c r="E6492">
        <v>6489</v>
      </c>
      <c r="F6492">
        <f t="shared" ca="1" si="103"/>
        <v>-5.4301049893726297E-3</v>
      </c>
    </row>
    <row r="6493" spans="5:6" x14ac:dyDescent="0.35">
      <c r="E6493">
        <v>6490</v>
      </c>
      <c r="F6493">
        <f t="shared" ca="1" si="103"/>
        <v>-1.4651857068245915E-2</v>
      </c>
    </row>
    <row r="6494" spans="5:6" x14ac:dyDescent="0.35">
      <c r="E6494">
        <v>6491</v>
      </c>
      <c r="F6494">
        <f t="shared" ca="1" si="103"/>
        <v>2.5834773350751846E-2</v>
      </c>
    </row>
    <row r="6495" spans="5:6" x14ac:dyDescent="0.35">
      <c r="E6495">
        <v>6492</v>
      </c>
      <c r="F6495">
        <f t="shared" ca="1" si="103"/>
        <v>-1.6353121659181954E-2</v>
      </c>
    </row>
    <row r="6496" spans="5:6" x14ac:dyDescent="0.35">
      <c r="E6496">
        <v>6493</v>
      </c>
      <c r="F6496">
        <f t="shared" ca="1" si="103"/>
        <v>7.5481339266146143E-3</v>
      </c>
    </row>
    <row r="6497" spans="5:6" x14ac:dyDescent="0.35">
      <c r="E6497">
        <v>6494</v>
      </c>
      <c r="F6497">
        <f t="shared" ca="1" si="103"/>
        <v>-2.814884213211712E-2</v>
      </c>
    </row>
    <row r="6498" spans="5:6" x14ac:dyDescent="0.35">
      <c r="E6498">
        <v>6495</v>
      </c>
      <c r="F6498">
        <f t="shared" ca="1" si="103"/>
        <v>1.2737982241770024E-2</v>
      </c>
    </row>
    <row r="6499" spans="5:6" x14ac:dyDescent="0.35">
      <c r="E6499">
        <v>6496</v>
      </c>
      <c r="F6499">
        <f t="shared" ca="1" si="103"/>
        <v>-3.0173638586615283E-2</v>
      </c>
    </row>
    <row r="6500" spans="5:6" x14ac:dyDescent="0.35">
      <c r="E6500">
        <v>6497</v>
      </c>
      <c r="F6500">
        <f t="shared" ca="1" si="103"/>
        <v>-1.8888277199204354E-3</v>
      </c>
    </row>
    <row r="6501" spans="5:6" x14ac:dyDescent="0.35">
      <c r="E6501">
        <v>6498</v>
      </c>
      <c r="F6501">
        <f t="shared" ca="1" si="103"/>
        <v>1.4321386199597124E-2</v>
      </c>
    </row>
    <row r="6502" spans="5:6" x14ac:dyDescent="0.35">
      <c r="E6502">
        <v>6499</v>
      </c>
      <c r="F6502">
        <f t="shared" ca="1" si="103"/>
        <v>-1.2048328341204461E-2</v>
      </c>
    </row>
    <row r="6503" spans="5:6" x14ac:dyDescent="0.35">
      <c r="E6503">
        <v>6500</v>
      </c>
      <c r="F6503">
        <f t="shared" ca="1" si="103"/>
        <v>-1.8904631761193783E-2</v>
      </c>
    </row>
    <row r="6504" spans="5:6" x14ac:dyDescent="0.35">
      <c r="E6504">
        <v>6501</v>
      </c>
      <c r="F6504">
        <f t="shared" ca="1" si="103"/>
        <v>-1.9909553369212914E-2</v>
      </c>
    </row>
    <row r="6505" spans="5:6" x14ac:dyDescent="0.35">
      <c r="E6505">
        <v>6502</v>
      </c>
      <c r="F6505">
        <f t="shared" ca="1" si="103"/>
        <v>-3.8693046522247004E-2</v>
      </c>
    </row>
    <row r="6506" spans="5:6" x14ac:dyDescent="0.35">
      <c r="E6506">
        <v>6503</v>
      </c>
      <c r="F6506">
        <f t="shared" ca="1" si="103"/>
        <v>1.5548083327033816E-2</v>
      </c>
    </row>
    <row r="6507" spans="5:6" x14ac:dyDescent="0.35">
      <c r="E6507">
        <v>6504</v>
      </c>
      <c r="F6507">
        <f t="shared" ca="1" si="103"/>
        <v>1.9393394454657282E-2</v>
      </c>
    </row>
    <row r="6508" spans="5:6" x14ac:dyDescent="0.35">
      <c r="E6508">
        <v>6505</v>
      </c>
      <c r="F6508">
        <f t="shared" ca="1" si="103"/>
        <v>1.3082379066725219E-2</v>
      </c>
    </row>
    <row r="6509" spans="5:6" x14ac:dyDescent="0.35">
      <c r="E6509">
        <v>6506</v>
      </c>
      <c r="F6509">
        <f t="shared" ca="1" si="103"/>
        <v>2.5539615377182879E-3</v>
      </c>
    </row>
    <row r="6510" spans="5:6" x14ac:dyDescent="0.35">
      <c r="E6510">
        <v>6507</v>
      </c>
      <c r="F6510">
        <f t="shared" ca="1" si="103"/>
        <v>-1.5504389531936124E-2</v>
      </c>
    </row>
    <row r="6511" spans="5:6" x14ac:dyDescent="0.35">
      <c r="E6511">
        <v>6508</v>
      </c>
      <c r="F6511">
        <f t="shared" ca="1" si="103"/>
        <v>-3.9282655939856727E-2</v>
      </c>
    </row>
    <row r="6512" spans="5:6" x14ac:dyDescent="0.35">
      <c r="E6512">
        <v>6509</v>
      </c>
      <c r="F6512">
        <f t="shared" ca="1" si="103"/>
        <v>-8.0404182883238584E-3</v>
      </c>
    </row>
    <row r="6513" spans="5:6" x14ac:dyDescent="0.35">
      <c r="E6513">
        <v>6510</v>
      </c>
      <c r="F6513">
        <f t="shared" ca="1" si="103"/>
        <v>-1.7227118397687518E-2</v>
      </c>
    </row>
    <row r="6514" spans="5:6" x14ac:dyDescent="0.35">
      <c r="E6514">
        <v>6511</v>
      </c>
      <c r="F6514">
        <f t="shared" ca="1" si="103"/>
        <v>9.5261040647060223E-3</v>
      </c>
    </row>
    <row r="6515" spans="5:6" x14ac:dyDescent="0.35">
      <c r="E6515">
        <v>6512</v>
      </c>
      <c r="F6515">
        <f t="shared" ca="1" si="103"/>
        <v>-3.9221904262060053E-3</v>
      </c>
    </row>
    <row r="6516" spans="5:6" x14ac:dyDescent="0.35">
      <c r="E6516">
        <v>6513</v>
      </c>
      <c r="F6516">
        <f t="shared" ca="1" si="103"/>
        <v>-2.2123170867404739E-2</v>
      </c>
    </row>
    <row r="6517" spans="5:6" x14ac:dyDescent="0.35">
      <c r="E6517">
        <v>6514</v>
      </c>
      <c r="F6517">
        <f t="shared" ca="1" si="103"/>
        <v>-3.9832756042516695E-2</v>
      </c>
    </row>
    <row r="6518" spans="5:6" x14ac:dyDescent="0.35">
      <c r="E6518">
        <v>6515</v>
      </c>
      <c r="F6518">
        <f t="shared" ca="1" si="103"/>
        <v>-1.4458840765490004E-2</v>
      </c>
    </row>
    <row r="6519" spans="5:6" x14ac:dyDescent="0.35">
      <c r="E6519">
        <v>6516</v>
      </c>
      <c r="F6519">
        <f t="shared" ca="1" si="103"/>
        <v>4.7579217595268893E-3</v>
      </c>
    </row>
    <row r="6520" spans="5:6" x14ac:dyDescent="0.35">
      <c r="E6520">
        <v>6517</v>
      </c>
      <c r="F6520">
        <f t="shared" ca="1" si="103"/>
        <v>9.8648568034131624E-3</v>
      </c>
    </row>
    <row r="6521" spans="5:6" x14ac:dyDescent="0.35">
      <c r="E6521">
        <v>6518</v>
      </c>
      <c r="F6521">
        <f t="shared" ca="1" si="103"/>
        <v>-6.2117801363589633E-3</v>
      </c>
    </row>
    <row r="6522" spans="5:6" x14ac:dyDescent="0.35">
      <c r="E6522">
        <v>6519</v>
      </c>
      <c r="F6522">
        <f t="shared" ca="1" si="103"/>
        <v>-4.0142272063693162E-3</v>
      </c>
    </row>
    <row r="6523" spans="5:6" x14ac:dyDescent="0.35">
      <c r="E6523">
        <v>6520</v>
      </c>
      <c r="F6523">
        <f t="shared" ca="1" si="103"/>
        <v>3.1451249605085E-3</v>
      </c>
    </row>
    <row r="6524" spans="5:6" x14ac:dyDescent="0.35">
      <c r="E6524">
        <v>6521</v>
      </c>
      <c r="F6524">
        <f t="shared" ca="1" si="103"/>
        <v>2.6807709020149127E-3</v>
      </c>
    </row>
    <row r="6525" spans="5:6" x14ac:dyDescent="0.35">
      <c r="E6525">
        <v>6522</v>
      </c>
      <c r="F6525">
        <f t="shared" ca="1" si="103"/>
        <v>1.8186579742103713E-2</v>
      </c>
    </row>
    <row r="6526" spans="5:6" x14ac:dyDescent="0.35">
      <c r="E6526">
        <v>6523</v>
      </c>
      <c r="F6526">
        <f t="shared" ca="1" si="103"/>
        <v>2.0591550773072019E-3</v>
      </c>
    </row>
    <row r="6527" spans="5:6" x14ac:dyDescent="0.35">
      <c r="E6527">
        <v>6524</v>
      </c>
      <c r="F6527">
        <f t="shared" ca="1" si="103"/>
        <v>-1.5049463202447226E-2</v>
      </c>
    </row>
    <row r="6528" spans="5:6" x14ac:dyDescent="0.35">
      <c r="E6528">
        <v>6525</v>
      </c>
      <c r="F6528">
        <f t="shared" ca="1" si="103"/>
        <v>-2.7775311141818942E-3</v>
      </c>
    </row>
    <row r="6529" spans="5:6" x14ac:dyDescent="0.35">
      <c r="E6529">
        <v>6526</v>
      </c>
      <c r="F6529">
        <f t="shared" ca="1" si="103"/>
        <v>-1.6260648473231366E-2</v>
      </c>
    </row>
    <row r="6530" spans="5:6" x14ac:dyDescent="0.35">
      <c r="E6530">
        <v>6527</v>
      </c>
      <c r="F6530">
        <f t="shared" ca="1" si="103"/>
        <v>1.4931777410727272E-2</v>
      </c>
    </row>
    <row r="6531" spans="5:6" x14ac:dyDescent="0.35">
      <c r="E6531">
        <v>6528</v>
      </c>
      <c r="F6531">
        <f t="shared" ca="1" si="103"/>
        <v>-1.0694048060988393E-3</v>
      </c>
    </row>
    <row r="6532" spans="5:6" x14ac:dyDescent="0.35">
      <c r="E6532">
        <v>6529</v>
      </c>
      <c r="F6532">
        <f t="shared" ca="1" si="103"/>
        <v>-1.8043999339414127E-2</v>
      </c>
    </row>
    <row r="6533" spans="5:6" x14ac:dyDescent="0.35">
      <c r="E6533">
        <v>6530</v>
      </c>
      <c r="F6533">
        <f t="shared" ref="F6533:F6596" ca="1" si="104">_xlfn.NORM.INV(RAND(),M$6,M$7)</f>
        <v>2.0847885766991904E-2</v>
      </c>
    </row>
    <row r="6534" spans="5:6" x14ac:dyDescent="0.35">
      <c r="E6534">
        <v>6531</v>
      </c>
      <c r="F6534">
        <f t="shared" ca="1" si="104"/>
        <v>1.1755174153259981E-2</v>
      </c>
    </row>
    <row r="6535" spans="5:6" x14ac:dyDescent="0.35">
      <c r="E6535">
        <v>6532</v>
      </c>
      <c r="F6535">
        <f t="shared" ca="1" si="104"/>
        <v>1.2776024970825299E-2</v>
      </c>
    </row>
    <row r="6536" spans="5:6" x14ac:dyDescent="0.35">
      <c r="E6536">
        <v>6533</v>
      </c>
      <c r="F6536">
        <f t="shared" ca="1" si="104"/>
        <v>-1.4252757431523122E-2</v>
      </c>
    </row>
    <row r="6537" spans="5:6" x14ac:dyDescent="0.35">
      <c r="E6537">
        <v>6534</v>
      </c>
      <c r="F6537">
        <f t="shared" ca="1" si="104"/>
        <v>-1.4402508186886675E-3</v>
      </c>
    </row>
    <row r="6538" spans="5:6" x14ac:dyDescent="0.35">
      <c r="E6538">
        <v>6535</v>
      </c>
      <c r="F6538">
        <f t="shared" ca="1" si="104"/>
        <v>-3.431150717514749E-3</v>
      </c>
    </row>
    <row r="6539" spans="5:6" x14ac:dyDescent="0.35">
      <c r="E6539">
        <v>6536</v>
      </c>
      <c r="F6539">
        <f t="shared" ca="1" si="104"/>
        <v>-2.4540738830569689E-2</v>
      </c>
    </row>
    <row r="6540" spans="5:6" x14ac:dyDescent="0.35">
      <c r="E6540">
        <v>6537</v>
      </c>
      <c r="F6540">
        <f t="shared" ca="1" si="104"/>
        <v>2.1084994241725351E-2</v>
      </c>
    </row>
    <row r="6541" spans="5:6" x14ac:dyDescent="0.35">
      <c r="E6541">
        <v>6538</v>
      </c>
      <c r="F6541">
        <f t="shared" ca="1" si="104"/>
        <v>8.5344208095276698E-3</v>
      </c>
    </row>
    <row r="6542" spans="5:6" x14ac:dyDescent="0.35">
      <c r="E6542">
        <v>6539</v>
      </c>
      <c r="F6542">
        <f t="shared" ca="1" si="104"/>
        <v>1.0255601484342441E-2</v>
      </c>
    </row>
    <row r="6543" spans="5:6" x14ac:dyDescent="0.35">
      <c r="E6543">
        <v>6540</v>
      </c>
      <c r="F6543">
        <f t="shared" ca="1" si="104"/>
        <v>-3.3726082517963499E-3</v>
      </c>
    </row>
    <row r="6544" spans="5:6" x14ac:dyDescent="0.35">
      <c r="E6544">
        <v>6541</v>
      </c>
      <c r="F6544">
        <f t="shared" ca="1" si="104"/>
        <v>-5.496405870734287E-3</v>
      </c>
    </row>
    <row r="6545" spans="5:6" x14ac:dyDescent="0.35">
      <c r="E6545">
        <v>6542</v>
      </c>
      <c r="F6545">
        <f t="shared" ca="1" si="104"/>
        <v>-2.3926561872115684E-2</v>
      </c>
    </row>
    <row r="6546" spans="5:6" x14ac:dyDescent="0.35">
      <c r="E6546">
        <v>6543</v>
      </c>
      <c r="F6546">
        <f t="shared" ca="1" si="104"/>
        <v>1.4163563798322504E-2</v>
      </c>
    </row>
    <row r="6547" spans="5:6" x14ac:dyDescent="0.35">
      <c r="E6547">
        <v>6544</v>
      </c>
      <c r="F6547">
        <f t="shared" ca="1" si="104"/>
        <v>-5.1147858059315534E-3</v>
      </c>
    </row>
    <row r="6548" spans="5:6" x14ac:dyDescent="0.35">
      <c r="E6548">
        <v>6545</v>
      </c>
      <c r="F6548">
        <f t="shared" ca="1" si="104"/>
        <v>2.3207393011943443E-2</v>
      </c>
    </row>
    <row r="6549" spans="5:6" x14ac:dyDescent="0.35">
      <c r="E6549">
        <v>6546</v>
      </c>
      <c r="F6549">
        <f t="shared" ca="1" si="104"/>
        <v>1.9108896043307472E-2</v>
      </c>
    </row>
    <row r="6550" spans="5:6" x14ac:dyDescent="0.35">
      <c r="E6550">
        <v>6547</v>
      </c>
      <c r="F6550">
        <f t="shared" ca="1" si="104"/>
        <v>-2.1228425023505654E-3</v>
      </c>
    </row>
    <row r="6551" spans="5:6" x14ac:dyDescent="0.35">
      <c r="E6551">
        <v>6548</v>
      </c>
      <c r="F6551">
        <f t="shared" ca="1" si="104"/>
        <v>3.5262307218661894E-2</v>
      </c>
    </row>
    <row r="6552" spans="5:6" x14ac:dyDescent="0.35">
      <c r="E6552">
        <v>6549</v>
      </c>
      <c r="F6552">
        <f t="shared" ca="1" si="104"/>
        <v>-2.0019309587819303E-2</v>
      </c>
    </row>
    <row r="6553" spans="5:6" x14ac:dyDescent="0.35">
      <c r="E6553">
        <v>6550</v>
      </c>
      <c r="F6553">
        <f t="shared" ca="1" si="104"/>
        <v>-1.3535251974857951E-2</v>
      </c>
    </row>
    <row r="6554" spans="5:6" x14ac:dyDescent="0.35">
      <c r="E6554">
        <v>6551</v>
      </c>
      <c r="F6554">
        <f t="shared" ca="1" si="104"/>
        <v>-7.8639180639522282E-3</v>
      </c>
    </row>
    <row r="6555" spans="5:6" x14ac:dyDescent="0.35">
      <c r="E6555">
        <v>6552</v>
      </c>
      <c r="F6555">
        <f t="shared" ca="1" si="104"/>
        <v>3.1147282464314323E-3</v>
      </c>
    </row>
    <row r="6556" spans="5:6" x14ac:dyDescent="0.35">
      <c r="E6556">
        <v>6553</v>
      </c>
      <c r="F6556">
        <f t="shared" ca="1" si="104"/>
        <v>1.3372425202202422E-2</v>
      </c>
    </row>
    <row r="6557" spans="5:6" x14ac:dyDescent="0.35">
      <c r="E6557">
        <v>6554</v>
      </c>
      <c r="F6557">
        <f t="shared" ca="1" si="104"/>
        <v>-7.9029030801321663E-4</v>
      </c>
    </row>
    <row r="6558" spans="5:6" x14ac:dyDescent="0.35">
      <c r="E6558">
        <v>6555</v>
      </c>
      <c r="F6558">
        <f t="shared" ca="1" si="104"/>
        <v>-1.6261005921102641E-2</v>
      </c>
    </row>
    <row r="6559" spans="5:6" x14ac:dyDescent="0.35">
      <c r="E6559">
        <v>6556</v>
      </c>
      <c r="F6559">
        <f t="shared" ca="1" si="104"/>
        <v>4.8189647001544607E-3</v>
      </c>
    </row>
    <row r="6560" spans="5:6" x14ac:dyDescent="0.35">
      <c r="E6560">
        <v>6557</v>
      </c>
      <c r="F6560">
        <f t="shared" ca="1" si="104"/>
        <v>1.7153483081361057E-2</v>
      </c>
    </row>
    <row r="6561" spans="5:6" x14ac:dyDescent="0.35">
      <c r="E6561">
        <v>6558</v>
      </c>
      <c r="F6561">
        <f t="shared" ca="1" si="104"/>
        <v>7.8601513931947E-3</v>
      </c>
    </row>
    <row r="6562" spans="5:6" x14ac:dyDescent="0.35">
      <c r="E6562">
        <v>6559</v>
      </c>
      <c r="F6562">
        <f t="shared" ca="1" si="104"/>
        <v>5.089244183526122E-3</v>
      </c>
    </row>
    <row r="6563" spans="5:6" x14ac:dyDescent="0.35">
      <c r="E6563">
        <v>6560</v>
      </c>
      <c r="F6563">
        <f t="shared" ca="1" si="104"/>
        <v>1.8863567395271591E-2</v>
      </c>
    </row>
    <row r="6564" spans="5:6" x14ac:dyDescent="0.35">
      <c r="E6564">
        <v>6561</v>
      </c>
      <c r="F6564">
        <f t="shared" ca="1" si="104"/>
        <v>1.1235535300762035E-2</v>
      </c>
    </row>
    <row r="6565" spans="5:6" x14ac:dyDescent="0.35">
      <c r="E6565">
        <v>6562</v>
      </c>
      <c r="F6565">
        <f t="shared" ca="1" si="104"/>
        <v>1.4709496951064015E-2</v>
      </c>
    </row>
    <row r="6566" spans="5:6" x14ac:dyDescent="0.35">
      <c r="E6566">
        <v>6563</v>
      </c>
      <c r="F6566">
        <f t="shared" ca="1" si="104"/>
        <v>-5.9049945563044151E-3</v>
      </c>
    </row>
    <row r="6567" spans="5:6" x14ac:dyDescent="0.35">
      <c r="E6567">
        <v>6564</v>
      </c>
      <c r="F6567">
        <f t="shared" ca="1" si="104"/>
        <v>-2.6713299437068692E-3</v>
      </c>
    </row>
    <row r="6568" spans="5:6" x14ac:dyDescent="0.35">
      <c r="E6568">
        <v>6565</v>
      </c>
      <c r="F6568">
        <f t="shared" ca="1" si="104"/>
        <v>-4.3737240942240407E-3</v>
      </c>
    </row>
    <row r="6569" spans="5:6" x14ac:dyDescent="0.35">
      <c r="E6569">
        <v>6566</v>
      </c>
      <c r="F6569">
        <f t="shared" ca="1" si="104"/>
        <v>-8.1921140672182417E-3</v>
      </c>
    </row>
    <row r="6570" spans="5:6" x14ac:dyDescent="0.35">
      <c r="E6570">
        <v>6567</v>
      </c>
      <c r="F6570">
        <f t="shared" ca="1" si="104"/>
        <v>3.2903525882463872E-3</v>
      </c>
    </row>
    <row r="6571" spans="5:6" x14ac:dyDescent="0.35">
      <c r="E6571">
        <v>6568</v>
      </c>
      <c r="F6571">
        <f t="shared" ca="1" si="104"/>
        <v>7.4775001293762196E-3</v>
      </c>
    </row>
    <row r="6572" spans="5:6" x14ac:dyDescent="0.35">
      <c r="E6572">
        <v>6569</v>
      </c>
      <c r="F6572">
        <f t="shared" ca="1" si="104"/>
        <v>6.3552275978276014E-3</v>
      </c>
    </row>
    <row r="6573" spans="5:6" x14ac:dyDescent="0.35">
      <c r="E6573">
        <v>6570</v>
      </c>
      <c r="F6573">
        <f t="shared" ca="1" si="104"/>
        <v>-1.5030722777602297E-2</v>
      </c>
    </row>
    <row r="6574" spans="5:6" x14ac:dyDescent="0.35">
      <c r="E6574">
        <v>6571</v>
      </c>
      <c r="F6574">
        <f t="shared" ca="1" si="104"/>
        <v>1.3632076843822232E-2</v>
      </c>
    </row>
    <row r="6575" spans="5:6" x14ac:dyDescent="0.35">
      <c r="E6575">
        <v>6572</v>
      </c>
      <c r="F6575">
        <f t="shared" ca="1" si="104"/>
        <v>-6.163802558861094E-3</v>
      </c>
    </row>
    <row r="6576" spans="5:6" x14ac:dyDescent="0.35">
      <c r="E6576">
        <v>6573</v>
      </c>
      <c r="F6576">
        <f t="shared" ca="1" si="104"/>
        <v>4.2766661844152374E-4</v>
      </c>
    </row>
    <row r="6577" spans="5:6" x14ac:dyDescent="0.35">
      <c r="E6577">
        <v>6574</v>
      </c>
      <c r="F6577">
        <f t="shared" ca="1" si="104"/>
        <v>9.0796971683117537E-4</v>
      </c>
    </row>
    <row r="6578" spans="5:6" x14ac:dyDescent="0.35">
      <c r="E6578">
        <v>6575</v>
      </c>
      <c r="F6578">
        <f t="shared" ca="1" si="104"/>
        <v>-1.6980498990665963E-2</v>
      </c>
    </row>
    <row r="6579" spans="5:6" x14ac:dyDescent="0.35">
      <c r="E6579">
        <v>6576</v>
      </c>
      <c r="F6579">
        <f t="shared" ca="1" si="104"/>
        <v>1.2071446284275691E-2</v>
      </c>
    </row>
    <row r="6580" spans="5:6" x14ac:dyDescent="0.35">
      <c r="E6580">
        <v>6577</v>
      </c>
      <c r="F6580">
        <f t="shared" ca="1" si="104"/>
        <v>-2.6254048420494017E-2</v>
      </c>
    </row>
    <row r="6581" spans="5:6" x14ac:dyDescent="0.35">
      <c r="E6581">
        <v>6578</v>
      </c>
      <c r="F6581">
        <f t="shared" ca="1" si="104"/>
        <v>1.4057052998821092E-2</v>
      </c>
    </row>
    <row r="6582" spans="5:6" x14ac:dyDescent="0.35">
      <c r="E6582">
        <v>6579</v>
      </c>
      <c r="F6582">
        <f t="shared" ca="1" si="104"/>
        <v>1.7978862132693434E-2</v>
      </c>
    </row>
    <row r="6583" spans="5:6" x14ac:dyDescent="0.35">
      <c r="E6583">
        <v>6580</v>
      </c>
      <c r="F6583">
        <f t="shared" ca="1" si="104"/>
        <v>1.6803010058957284E-2</v>
      </c>
    </row>
    <row r="6584" spans="5:6" x14ac:dyDescent="0.35">
      <c r="E6584">
        <v>6581</v>
      </c>
      <c r="F6584">
        <f t="shared" ca="1" si="104"/>
        <v>-1.1825564650432956E-2</v>
      </c>
    </row>
    <row r="6585" spans="5:6" x14ac:dyDescent="0.35">
      <c r="E6585">
        <v>6582</v>
      </c>
      <c r="F6585">
        <f t="shared" ca="1" si="104"/>
        <v>-2.091006272680199E-2</v>
      </c>
    </row>
    <row r="6586" spans="5:6" x14ac:dyDescent="0.35">
      <c r="E6586">
        <v>6583</v>
      </c>
      <c r="F6586">
        <f t="shared" ca="1" si="104"/>
        <v>1.1932360530016855E-2</v>
      </c>
    </row>
    <row r="6587" spans="5:6" x14ac:dyDescent="0.35">
      <c r="E6587">
        <v>6584</v>
      </c>
      <c r="F6587">
        <f t="shared" ca="1" si="104"/>
        <v>2.6022070459851606E-5</v>
      </c>
    </row>
    <row r="6588" spans="5:6" x14ac:dyDescent="0.35">
      <c r="E6588">
        <v>6585</v>
      </c>
      <c r="F6588">
        <f t="shared" ca="1" si="104"/>
        <v>2.1607375515107784E-2</v>
      </c>
    </row>
    <row r="6589" spans="5:6" x14ac:dyDescent="0.35">
      <c r="E6589">
        <v>6586</v>
      </c>
      <c r="F6589">
        <f t="shared" ca="1" si="104"/>
        <v>7.6665590397855697E-3</v>
      </c>
    </row>
    <row r="6590" spans="5:6" x14ac:dyDescent="0.35">
      <c r="E6590">
        <v>6587</v>
      </c>
      <c r="F6590">
        <f t="shared" ca="1" si="104"/>
        <v>1.0547158284960537E-2</v>
      </c>
    </row>
    <row r="6591" spans="5:6" x14ac:dyDescent="0.35">
      <c r="E6591">
        <v>6588</v>
      </c>
      <c r="F6591">
        <f t="shared" ca="1" si="104"/>
        <v>3.656854783649687E-3</v>
      </c>
    </row>
    <row r="6592" spans="5:6" x14ac:dyDescent="0.35">
      <c r="E6592">
        <v>6589</v>
      </c>
      <c r="F6592">
        <f t="shared" ca="1" si="104"/>
        <v>-1.7205852849826408E-2</v>
      </c>
    </row>
    <row r="6593" spans="5:6" x14ac:dyDescent="0.35">
      <c r="E6593">
        <v>6590</v>
      </c>
      <c r="F6593">
        <f t="shared" ca="1" si="104"/>
        <v>-2.3351443828797867E-2</v>
      </c>
    </row>
    <row r="6594" spans="5:6" x14ac:dyDescent="0.35">
      <c r="E6594">
        <v>6591</v>
      </c>
      <c r="F6594">
        <f t="shared" ca="1" si="104"/>
        <v>1.7548308408530687E-2</v>
      </c>
    </row>
    <row r="6595" spans="5:6" x14ac:dyDescent="0.35">
      <c r="E6595">
        <v>6592</v>
      </c>
      <c r="F6595">
        <f t="shared" ca="1" si="104"/>
        <v>2.2663795720961496E-2</v>
      </c>
    </row>
    <row r="6596" spans="5:6" x14ac:dyDescent="0.35">
      <c r="E6596">
        <v>6593</v>
      </c>
      <c r="F6596">
        <f t="shared" ca="1" si="104"/>
        <v>-6.4072567792630214E-3</v>
      </c>
    </row>
    <row r="6597" spans="5:6" x14ac:dyDescent="0.35">
      <c r="E6597">
        <v>6594</v>
      </c>
      <c r="F6597">
        <f t="shared" ref="F6597:F6660" ca="1" si="105">_xlfn.NORM.INV(RAND(),M$6,M$7)</f>
        <v>1.4156632179116797E-2</v>
      </c>
    </row>
    <row r="6598" spans="5:6" x14ac:dyDescent="0.35">
      <c r="E6598">
        <v>6595</v>
      </c>
      <c r="F6598">
        <f t="shared" ca="1" si="105"/>
        <v>-1.0419888007955548E-2</v>
      </c>
    </row>
    <row r="6599" spans="5:6" x14ac:dyDescent="0.35">
      <c r="E6599">
        <v>6596</v>
      </c>
      <c r="F6599">
        <f t="shared" ca="1" si="105"/>
        <v>-8.7254559888132292E-3</v>
      </c>
    </row>
    <row r="6600" spans="5:6" x14ac:dyDescent="0.35">
      <c r="E6600">
        <v>6597</v>
      </c>
      <c r="F6600">
        <f t="shared" ca="1" si="105"/>
        <v>-6.6229439219944366E-3</v>
      </c>
    </row>
    <row r="6601" spans="5:6" x14ac:dyDescent="0.35">
      <c r="E6601">
        <v>6598</v>
      </c>
      <c r="F6601">
        <f t="shared" ca="1" si="105"/>
        <v>9.5959099985288704E-3</v>
      </c>
    </row>
    <row r="6602" spans="5:6" x14ac:dyDescent="0.35">
      <c r="E6602">
        <v>6599</v>
      </c>
      <c r="F6602">
        <f t="shared" ca="1" si="105"/>
        <v>-5.1179920011261001E-3</v>
      </c>
    </row>
    <row r="6603" spans="5:6" x14ac:dyDescent="0.35">
      <c r="E6603">
        <v>6600</v>
      </c>
      <c r="F6603">
        <f t="shared" ca="1" si="105"/>
        <v>-2.5735963098274892E-2</v>
      </c>
    </row>
    <row r="6604" spans="5:6" x14ac:dyDescent="0.35">
      <c r="E6604">
        <v>6601</v>
      </c>
      <c r="F6604">
        <f t="shared" ca="1" si="105"/>
        <v>-8.7091189020813836E-3</v>
      </c>
    </row>
    <row r="6605" spans="5:6" x14ac:dyDescent="0.35">
      <c r="E6605">
        <v>6602</v>
      </c>
      <c r="F6605">
        <f t="shared" ca="1" si="105"/>
        <v>-1.6153910390309549E-2</v>
      </c>
    </row>
    <row r="6606" spans="5:6" x14ac:dyDescent="0.35">
      <c r="E6606">
        <v>6603</v>
      </c>
      <c r="F6606">
        <f t="shared" ca="1" si="105"/>
        <v>-1.664176111646996E-2</v>
      </c>
    </row>
    <row r="6607" spans="5:6" x14ac:dyDescent="0.35">
      <c r="E6607">
        <v>6604</v>
      </c>
      <c r="F6607">
        <f t="shared" ca="1" si="105"/>
        <v>-1.5169012401186932E-2</v>
      </c>
    </row>
    <row r="6608" spans="5:6" x14ac:dyDescent="0.35">
      <c r="E6608">
        <v>6605</v>
      </c>
      <c r="F6608">
        <f t="shared" ca="1" si="105"/>
        <v>-1.6806337422127258E-2</v>
      </c>
    </row>
    <row r="6609" spans="5:6" x14ac:dyDescent="0.35">
      <c r="E6609">
        <v>6606</v>
      </c>
      <c r="F6609">
        <f t="shared" ca="1" si="105"/>
        <v>-3.908723617820904E-3</v>
      </c>
    </row>
    <row r="6610" spans="5:6" x14ac:dyDescent="0.35">
      <c r="E6610">
        <v>6607</v>
      </c>
      <c r="F6610">
        <f t="shared" ca="1" si="105"/>
        <v>1.5280733701834952E-2</v>
      </c>
    </row>
    <row r="6611" spans="5:6" x14ac:dyDescent="0.35">
      <c r="E6611">
        <v>6608</v>
      </c>
      <c r="F6611">
        <f t="shared" ca="1" si="105"/>
        <v>4.3586981830108845E-3</v>
      </c>
    </row>
    <row r="6612" spans="5:6" x14ac:dyDescent="0.35">
      <c r="E6612">
        <v>6609</v>
      </c>
      <c r="F6612">
        <f t="shared" ca="1" si="105"/>
        <v>2.2139123186332526E-2</v>
      </c>
    </row>
    <row r="6613" spans="5:6" x14ac:dyDescent="0.35">
      <c r="E6613">
        <v>6610</v>
      </c>
      <c r="F6613">
        <f t="shared" ca="1" si="105"/>
        <v>9.9879703156478747E-3</v>
      </c>
    </row>
    <row r="6614" spans="5:6" x14ac:dyDescent="0.35">
      <c r="E6614">
        <v>6611</v>
      </c>
      <c r="F6614">
        <f t="shared" ca="1" si="105"/>
        <v>5.7630654612845457E-3</v>
      </c>
    </row>
    <row r="6615" spans="5:6" x14ac:dyDescent="0.35">
      <c r="E6615">
        <v>6612</v>
      </c>
      <c r="F6615">
        <f t="shared" ca="1" si="105"/>
        <v>1.6243296145334021E-3</v>
      </c>
    </row>
    <row r="6616" spans="5:6" x14ac:dyDescent="0.35">
      <c r="E6616">
        <v>6613</v>
      </c>
      <c r="F6616">
        <f t="shared" ca="1" si="105"/>
        <v>4.9063083798705194E-3</v>
      </c>
    </row>
    <row r="6617" spans="5:6" x14ac:dyDescent="0.35">
      <c r="E6617">
        <v>6614</v>
      </c>
      <c r="F6617">
        <f t="shared" ca="1" si="105"/>
        <v>6.9370185035524225E-3</v>
      </c>
    </row>
    <row r="6618" spans="5:6" x14ac:dyDescent="0.35">
      <c r="E6618">
        <v>6615</v>
      </c>
      <c r="F6618">
        <f t="shared" ca="1" si="105"/>
        <v>-1.0906805714995985E-2</v>
      </c>
    </row>
    <row r="6619" spans="5:6" x14ac:dyDescent="0.35">
      <c r="E6619">
        <v>6616</v>
      </c>
      <c r="F6619">
        <f t="shared" ca="1" si="105"/>
        <v>2.1031613068926366E-2</v>
      </c>
    </row>
    <row r="6620" spans="5:6" x14ac:dyDescent="0.35">
      <c r="E6620">
        <v>6617</v>
      </c>
      <c r="F6620">
        <f t="shared" ca="1" si="105"/>
        <v>-2.491057443846935E-3</v>
      </c>
    </row>
    <row r="6621" spans="5:6" x14ac:dyDescent="0.35">
      <c r="E6621">
        <v>6618</v>
      </c>
      <c r="F6621">
        <f t="shared" ca="1" si="105"/>
        <v>-3.2991231266043451E-4</v>
      </c>
    </row>
    <row r="6622" spans="5:6" x14ac:dyDescent="0.35">
      <c r="E6622">
        <v>6619</v>
      </c>
      <c r="F6622">
        <f t="shared" ca="1" si="105"/>
        <v>9.7176330502134547E-3</v>
      </c>
    </row>
    <row r="6623" spans="5:6" x14ac:dyDescent="0.35">
      <c r="E6623">
        <v>6620</v>
      </c>
      <c r="F6623">
        <f t="shared" ca="1" si="105"/>
        <v>3.0986995305738799E-2</v>
      </c>
    </row>
    <row r="6624" spans="5:6" x14ac:dyDescent="0.35">
      <c r="E6624">
        <v>6621</v>
      </c>
      <c r="F6624">
        <f t="shared" ca="1" si="105"/>
        <v>2.0277835768153799E-2</v>
      </c>
    </row>
    <row r="6625" spans="5:6" x14ac:dyDescent="0.35">
      <c r="E6625">
        <v>6622</v>
      </c>
      <c r="F6625">
        <f t="shared" ca="1" si="105"/>
        <v>1.4904542139065753E-2</v>
      </c>
    </row>
    <row r="6626" spans="5:6" x14ac:dyDescent="0.35">
      <c r="E6626">
        <v>6623</v>
      </c>
      <c r="F6626">
        <f t="shared" ca="1" si="105"/>
        <v>1.430053087685927E-2</v>
      </c>
    </row>
    <row r="6627" spans="5:6" x14ac:dyDescent="0.35">
      <c r="E6627">
        <v>6624</v>
      </c>
      <c r="F6627">
        <f t="shared" ca="1" si="105"/>
        <v>-2.696839192535049E-3</v>
      </c>
    </row>
    <row r="6628" spans="5:6" x14ac:dyDescent="0.35">
      <c r="E6628">
        <v>6625</v>
      </c>
      <c r="F6628">
        <f t="shared" ca="1" si="105"/>
        <v>-1.5132551638514735E-2</v>
      </c>
    </row>
    <row r="6629" spans="5:6" x14ac:dyDescent="0.35">
      <c r="E6629">
        <v>6626</v>
      </c>
      <c r="F6629">
        <f t="shared" ca="1" si="105"/>
        <v>-1.4161669108791063E-2</v>
      </c>
    </row>
    <row r="6630" spans="5:6" x14ac:dyDescent="0.35">
      <c r="E6630">
        <v>6627</v>
      </c>
      <c r="F6630">
        <f t="shared" ca="1" si="105"/>
        <v>-2.1327962489624375E-2</v>
      </c>
    </row>
    <row r="6631" spans="5:6" x14ac:dyDescent="0.35">
      <c r="E6631">
        <v>6628</v>
      </c>
      <c r="F6631">
        <f t="shared" ca="1" si="105"/>
        <v>4.8831678996157403E-3</v>
      </c>
    </row>
    <row r="6632" spans="5:6" x14ac:dyDescent="0.35">
      <c r="E6632">
        <v>6629</v>
      </c>
      <c r="F6632">
        <f t="shared" ca="1" si="105"/>
        <v>1.5865734466445697E-2</v>
      </c>
    </row>
    <row r="6633" spans="5:6" x14ac:dyDescent="0.35">
      <c r="E6633">
        <v>6630</v>
      </c>
      <c r="F6633">
        <f t="shared" ca="1" si="105"/>
        <v>5.5947482913281856E-3</v>
      </c>
    </row>
    <row r="6634" spans="5:6" x14ac:dyDescent="0.35">
      <c r="E6634">
        <v>6631</v>
      </c>
      <c r="F6634">
        <f t="shared" ca="1" si="105"/>
        <v>-9.3086596246699342E-3</v>
      </c>
    </row>
    <row r="6635" spans="5:6" x14ac:dyDescent="0.35">
      <c r="E6635">
        <v>6632</v>
      </c>
      <c r="F6635">
        <f t="shared" ca="1" si="105"/>
        <v>1.9626750035674458E-2</v>
      </c>
    </row>
    <row r="6636" spans="5:6" x14ac:dyDescent="0.35">
      <c r="E6636">
        <v>6633</v>
      </c>
      <c r="F6636">
        <f t="shared" ca="1" si="105"/>
        <v>1.5885724102406224E-5</v>
      </c>
    </row>
    <row r="6637" spans="5:6" x14ac:dyDescent="0.35">
      <c r="E6637">
        <v>6634</v>
      </c>
      <c r="F6637">
        <f t="shared" ca="1" si="105"/>
        <v>4.9658720344810123E-3</v>
      </c>
    </row>
    <row r="6638" spans="5:6" x14ac:dyDescent="0.35">
      <c r="E6638">
        <v>6635</v>
      </c>
      <c r="F6638">
        <f t="shared" ca="1" si="105"/>
        <v>6.18137020539428E-3</v>
      </c>
    </row>
    <row r="6639" spans="5:6" x14ac:dyDescent="0.35">
      <c r="E6639">
        <v>6636</v>
      </c>
      <c r="F6639">
        <f t="shared" ca="1" si="105"/>
        <v>6.921039804623939E-3</v>
      </c>
    </row>
    <row r="6640" spans="5:6" x14ac:dyDescent="0.35">
      <c r="E6640">
        <v>6637</v>
      </c>
      <c r="F6640">
        <f t="shared" ca="1" si="105"/>
        <v>-3.2666525438893837E-3</v>
      </c>
    </row>
    <row r="6641" spans="5:6" x14ac:dyDescent="0.35">
      <c r="E6641">
        <v>6638</v>
      </c>
      <c r="F6641">
        <f t="shared" ca="1" si="105"/>
        <v>9.4818747148897632E-3</v>
      </c>
    </row>
    <row r="6642" spans="5:6" x14ac:dyDescent="0.35">
      <c r="E6642">
        <v>6639</v>
      </c>
      <c r="F6642">
        <f t="shared" ca="1" si="105"/>
        <v>1.4493597966822995E-2</v>
      </c>
    </row>
    <row r="6643" spans="5:6" x14ac:dyDescent="0.35">
      <c r="E6643">
        <v>6640</v>
      </c>
      <c r="F6643">
        <f t="shared" ca="1" si="105"/>
        <v>1.5129300924657739E-2</v>
      </c>
    </row>
    <row r="6644" spans="5:6" x14ac:dyDescent="0.35">
      <c r="E6644">
        <v>6641</v>
      </c>
      <c r="F6644">
        <f t="shared" ca="1" si="105"/>
        <v>-2.2096651195134711E-3</v>
      </c>
    </row>
    <row r="6645" spans="5:6" x14ac:dyDescent="0.35">
      <c r="E6645">
        <v>6642</v>
      </c>
      <c r="F6645">
        <f t="shared" ca="1" si="105"/>
        <v>7.7117637278475515E-4</v>
      </c>
    </row>
    <row r="6646" spans="5:6" x14ac:dyDescent="0.35">
      <c r="E6646">
        <v>6643</v>
      </c>
      <c r="F6646">
        <f t="shared" ca="1" si="105"/>
        <v>-2.3269497628793056E-2</v>
      </c>
    </row>
    <row r="6647" spans="5:6" x14ac:dyDescent="0.35">
      <c r="E6647">
        <v>6644</v>
      </c>
      <c r="F6647">
        <f t="shared" ca="1" si="105"/>
        <v>-1.4591727239650373E-2</v>
      </c>
    </row>
    <row r="6648" spans="5:6" x14ac:dyDescent="0.35">
      <c r="E6648">
        <v>6645</v>
      </c>
      <c r="F6648">
        <f t="shared" ca="1" si="105"/>
        <v>-2.6173350962635476E-3</v>
      </c>
    </row>
    <row r="6649" spans="5:6" x14ac:dyDescent="0.35">
      <c r="E6649">
        <v>6646</v>
      </c>
      <c r="F6649">
        <f t="shared" ca="1" si="105"/>
        <v>5.2125406967327382E-3</v>
      </c>
    </row>
    <row r="6650" spans="5:6" x14ac:dyDescent="0.35">
      <c r="E6650">
        <v>6647</v>
      </c>
      <c r="F6650">
        <f t="shared" ca="1" si="105"/>
        <v>-3.1070852949818031E-4</v>
      </c>
    </row>
    <row r="6651" spans="5:6" x14ac:dyDescent="0.35">
      <c r="E6651">
        <v>6648</v>
      </c>
      <c r="F6651">
        <f t="shared" ca="1" si="105"/>
        <v>9.1824884714688283E-3</v>
      </c>
    </row>
    <row r="6652" spans="5:6" x14ac:dyDescent="0.35">
      <c r="E6652">
        <v>6649</v>
      </c>
      <c r="F6652">
        <f t="shared" ca="1" si="105"/>
        <v>-9.6942066326013571E-3</v>
      </c>
    </row>
    <row r="6653" spans="5:6" x14ac:dyDescent="0.35">
      <c r="E6653">
        <v>6650</v>
      </c>
      <c r="F6653">
        <f t="shared" ca="1" si="105"/>
        <v>4.8456879357642512E-3</v>
      </c>
    </row>
    <row r="6654" spans="5:6" x14ac:dyDescent="0.35">
      <c r="E6654">
        <v>6651</v>
      </c>
      <c r="F6654">
        <f t="shared" ca="1" si="105"/>
        <v>-3.2210003215237593E-3</v>
      </c>
    </row>
    <row r="6655" spans="5:6" x14ac:dyDescent="0.35">
      <c r="E6655">
        <v>6652</v>
      </c>
      <c r="F6655">
        <f t="shared" ca="1" si="105"/>
        <v>-1.1711923019028351E-2</v>
      </c>
    </row>
    <row r="6656" spans="5:6" x14ac:dyDescent="0.35">
      <c r="E6656">
        <v>6653</v>
      </c>
      <c r="F6656">
        <f t="shared" ca="1" si="105"/>
        <v>6.0351186519471819E-3</v>
      </c>
    </row>
    <row r="6657" spans="5:6" x14ac:dyDescent="0.35">
      <c r="E6657">
        <v>6654</v>
      </c>
      <c r="F6657">
        <f t="shared" ca="1" si="105"/>
        <v>-1.1470861999419952E-2</v>
      </c>
    </row>
    <row r="6658" spans="5:6" x14ac:dyDescent="0.35">
      <c r="E6658">
        <v>6655</v>
      </c>
      <c r="F6658">
        <f t="shared" ca="1" si="105"/>
        <v>3.8194479488359514E-4</v>
      </c>
    </row>
    <row r="6659" spans="5:6" x14ac:dyDescent="0.35">
      <c r="E6659">
        <v>6656</v>
      </c>
      <c r="F6659">
        <f t="shared" ca="1" si="105"/>
        <v>6.8045456409770791E-3</v>
      </c>
    </row>
    <row r="6660" spans="5:6" x14ac:dyDescent="0.35">
      <c r="E6660">
        <v>6657</v>
      </c>
      <c r="F6660">
        <f t="shared" ca="1" si="105"/>
        <v>5.8857907798093518E-3</v>
      </c>
    </row>
    <row r="6661" spans="5:6" x14ac:dyDescent="0.35">
      <c r="E6661">
        <v>6658</v>
      </c>
      <c r="F6661">
        <f t="shared" ref="F6661:F6724" ca="1" si="106">_xlfn.NORM.INV(RAND(),M$6,M$7)</f>
        <v>1.3129169274720031E-2</v>
      </c>
    </row>
    <row r="6662" spans="5:6" x14ac:dyDescent="0.35">
      <c r="E6662">
        <v>6659</v>
      </c>
      <c r="F6662">
        <f t="shared" ca="1" si="106"/>
        <v>2.9210420223347314E-2</v>
      </c>
    </row>
    <row r="6663" spans="5:6" x14ac:dyDescent="0.35">
      <c r="E6663">
        <v>6660</v>
      </c>
      <c r="F6663">
        <f t="shared" ca="1" si="106"/>
        <v>-2.1741226385188057E-2</v>
      </c>
    </row>
    <row r="6664" spans="5:6" x14ac:dyDescent="0.35">
      <c r="E6664">
        <v>6661</v>
      </c>
      <c r="F6664">
        <f t="shared" ca="1" si="106"/>
        <v>-7.8176674399625425E-3</v>
      </c>
    </row>
    <row r="6665" spans="5:6" x14ac:dyDescent="0.35">
      <c r="E6665">
        <v>6662</v>
      </c>
      <c r="F6665">
        <f t="shared" ca="1" si="106"/>
        <v>-8.98264722352588E-3</v>
      </c>
    </row>
    <row r="6666" spans="5:6" x14ac:dyDescent="0.35">
      <c r="E6666">
        <v>6663</v>
      </c>
      <c r="F6666">
        <f t="shared" ca="1" si="106"/>
        <v>-1.073681272311889E-2</v>
      </c>
    </row>
    <row r="6667" spans="5:6" x14ac:dyDescent="0.35">
      <c r="E6667">
        <v>6664</v>
      </c>
      <c r="F6667">
        <f t="shared" ca="1" si="106"/>
        <v>7.6526263957015922E-3</v>
      </c>
    </row>
    <row r="6668" spans="5:6" x14ac:dyDescent="0.35">
      <c r="E6668">
        <v>6665</v>
      </c>
      <c r="F6668">
        <f t="shared" ca="1" si="106"/>
        <v>-3.2988239888179753E-4</v>
      </c>
    </row>
    <row r="6669" spans="5:6" x14ac:dyDescent="0.35">
      <c r="E6669">
        <v>6666</v>
      </c>
      <c r="F6669">
        <f t="shared" ca="1" si="106"/>
        <v>-2.1152216823623241E-4</v>
      </c>
    </row>
    <row r="6670" spans="5:6" x14ac:dyDescent="0.35">
      <c r="E6670">
        <v>6667</v>
      </c>
      <c r="F6670">
        <f t="shared" ca="1" si="106"/>
        <v>4.8041926079575555E-3</v>
      </c>
    </row>
    <row r="6671" spans="5:6" x14ac:dyDescent="0.35">
      <c r="E6671">
        <v>6668</v>
      </c>
      <c r="F6671">
        <f t="shared" ca="1" si="106"/>
        <v>-2.0720412416664002E-2</v>
      </c>
    </row>
    <row r="6672" spans="5:6" x14ac:dyDescent="0.35">
      <c r="E6672">
        <v>6669</v>
      </c>
      <c r="F6672">
        <f t="shared" ca="1" si="106"/>
        <v>-3.1305341948236989E-2</v>
      </c>
    </row>
    <row r="6673" spans="5:6" x14ac:dyDescent="0.35">
      <c r="E6673">
        <v>6670</v>
      </c>
      <c r="F6673">
        <f t="shared" ca="1" si="106"/>
        <v>-2.4461686771507772E-3</v>
      </c>
    </row>
    <row r="6674" spans="5:6" x14ac:dyDescent="0.35">
      <c r="E6674">
        <v>6671</v>
      </c>
      <c r="F6674">
        <f t="shared" ca="1" si="106"/>
        <v>-9.1657877734252439E-3</v>
      </c>
    </row>
    <row r="6675" spans="5:6" x14ac:dyDescent="0.35">
      <c r="E6675">
        <v>6672</v>
      </c>
      <c r="F6675">
        <f t="shared" ca="1" si="106"/>
        <v>1.1474839312157561E-2</v>
      </c>
    </row>
    <row r="6676" spans="5:6" x14ac:dyDescent="0.35">
      <c r="E6676">
        <v>6673</v>
      </c>
      <c r="F6676">
        <f t="shared" ca="1" si="106"/>
        <v>-1.1768559807257536E-2</v>
      </c>
    </row>
    <row r="6677" spans="5:6" x14ac:dyDescent="0.35">
      <c r="E6677">
        <v>6674</v>
      </c>
      <c r="F6677">
        <f t="shared" ca="1" si="106"/>
        <v>-2.6021421457372109E-3</v>
      </c>
    </row>
    <row r="6678" spans="5:6" x14ac:dyDescent="0.35">
      <c r="E6678">
        <v>6675</v>
      </c>
      <c r="F6678">
        <f t="shared" ca="1" si="106"/>
        <v>-1.5306271241678299E-4</v>
      </c>
    </row>
    <row r="6679" spans="5:6" x14ac:dyDescent="0.35">
      <c r="E6679">
        <v>6676</v>
      </c>
      <c r="F6679">
        <f t="shared" ca="1" si="106"/>
        <v>8.034149395197988E-3</v>
      </c>
    </row>
    <row r="6680" spans="5:6" x14ac:dyDescent="0.35">
      <c r="E6680">
        <v>6677</v>
      </c>
      <c r="F6680">
        <f t="shared" ca="1" si="106"/>
        <v>-1.3838896935319518E-2</v>
      </c>
    </row>
    <row r="6681" spans="5:6" x14ac:dyDescent="0.35">
      <c r="E6681">
        <v>6678</v>
      </c>
      <c r="F6681">
        <f t="shared" ca="1" si="106"/>
        <v>-1.0371244327567855E-2</v>
      </c>
    </row>
    <row r="6682" spans="5:6" x14ac:dyDescent="0.35">
      <c r="E6682">
        <v>6679</v>
      </c>
      <c r="F6682">
        <f t="shared" ca="1" si="106"/>
        <v>3.2022262290535071E-2</v>
      </c>
    </row>
    <row r="6683" spans="5:6" x14ac:dyDescent="0.35">
      <c r="E6683">
        <v>6680</v>
      </c>
      <c r="F6683">
        <f t="shared" ca="1" si="106"/>
        <v>1.7357355069481481E-2</v>
      </c>
    </row>
    <row r="6684" spans="5:6" x14ac:dyDescent="0.35">
      <c r="E6684">
        <v>6681</v>
      </c>
      <c r="F6684">
        <f t="shared" ca="1" si="106"/>
        <v>2.1337839809423189E-3</v>
      </c>
    </row>
    <row r="6685" spans="5:6" x14ac:dyDescent="0.35">
      <c r="E6685">
        <v>6682</v>
      </c>
      <c r="F6685">
        <f t="shared" ca="1" si="106"/>
        <v>2.5714003817700472E-2</v>
      </c>
    </row>
    <row r="6686" spans="5:6" x14ac:dyDescent="0.35">
      <c r="E6686">
        <v>6683</v>
      </c>
      <c r="F6686">
        <f t="shared" ca="1" si="106"/>
        <v>-1.8924328535643253E-2</v>
      </c>
    </row>
    <row r="6687" spans="5:6" x14ac:dyDescent="0.35">
      <c r="E6687">
        <v>6684</v>
      </c>
      <c r="F6687">
        <f t="shared" ca="1" si="106"/>
        <v>-1.0098146621743595E-2</v>
      </c>
    </row>
    <row r="6688" spans="5:6" x14ac:dyDescent="0.35">
      <c r="E6688">
        <v>6685</v>
      </c>
      <c r="F6688">
        <f t="shared" ca="1" si="106"/>
        <v>-2.2762199814971434E-2</v>
      </c>
    </row>
    <row r="6689" spans="5:6" x14ac:dyDescent="0.35">
      <c r="E6689">
        <v>6686</v>
      </c>
      <c r="F6689">
        <f t="shared" ca="1" si="106"/>
        <v>-2.6105170245256074E-3</v>
      </c>
    </row>
    <row r="6690" spans="5:6" x14ac:dyDescent="0.35">
      <c r="E6690">
        <v>6687</v>
      </c>
      <c r="F6690">
        <f t="shared" ca="1" si="106"/>
        <v>4.4175836572173223E-3</v>
      </c>
    </row>
    <row r="6691" spans="5:6" x14ac:dyDescent="0.35">
      <c r="E6691">
        <v>6688</v>
      </c>
      <c r="F6691">
        <f t="shared" ca="1" si="106"/>
        <v>-3.2147143734065136E-3</v>
      </c>
    </row>
    <row r="6692" spans="5:6" x14ac:dyDescent="0.35">
      <c r="E6692">
        <v>6689</v>
      </c>
      <c r="F6692">
        <f t="shared" ca="1" si="106"/>
        <v>-1.1546234481011648E-2</v>
      </c>
    </row>
    <row r="6693" spans="5:6" x14ac:dyDescent="0.35">
      <c r="E6693">
        <v>6690</v>
      </c>
      <c r="F6693">
        <f t="shared" ca="1" si="106"/>
        <v>1.1027768263564098E-2</v>
      </c>
    </row>
    <row r="6694" spans="5:6" x14ac:dyDescent="0.35">
      <c r="E6694">
        <v>6691</v>
      </c>
      <c r="F6694">
        <f t="shared" ca="1" si="106"/>
        <v>-1.5421042277329233E-3</v>
      </c>
    </row>
    <row r="6695" spans="5:6" x14ac:dyDescent="0.35">
      <c r="E6695">
        <v>6692</v>
      </c>
      <c r="F6695">
        <f t="shared" ca="1" si="106"/>
        <v>5.9160228136892097E-3</v>
      </c>
    </row>
    <row r="6696" spans="5:6" x14ac:dyDescent="0.35">
      <c r="E6696">
        <v>6693</v>
      </c>
      <c r="F6696">
        <f t="shared" ca="1" si="106"/>
        <v>1.6341415852746736E-2</v>
      </c>
    </row>
    <row r="6697" spans="5:6" x14ac:dyDescent="0.35">
      <c r="E6697">
        <v>6694</v>
      </c>
      <c r="F6697">
        <f t="shared" ca="1" si="106"/>
        <v>-3.4882140156132236E-4</v>
      </c>
    </row>
    <row r="6698" spans="5:6" x14ac:dyDescent="0.35">
      <c r="E6698">
        <v>6695</v>
      </c>
      <c r="F6698">
        <f t="shared" ca="1" si="106"/>
        <v>-4.5035753722293771E-4</v>
      </c>
    </row>
    <row r="6699" spans="5:6" x14ac:dyDescent="0.35">
      <c r="E6699">
        <v>6696</v>
      </c>
      <c r="F6699">
        <f t="shared" ca="1" si="106"/>
        <v>1.030744164167053E-2</v>
      </c>
    </row>
    <row r="6700" spans="5:6" x14ac:dyDescent="0.35">
      <c r="E6700">
        <v>6697</v>
      </c>
      <c r="F6700">
        <f t="shared" ca="1" si="106"/>
        <v>2.6810004609929537E-3</v>
      </c>
    </row>
    <row r="6701" spans="5:6" x14ac:dyDescent="0.35">
      <c r="E6701">
        <v>6698</v>
      </c>
      <c r="F6701">
        <f t="shared" ca="1" si="106"/>
        <v>-1.8853587615961574E-3</v>
      </c>
    </row>
    <row r="6702" spans="5:6" x14ac:dyDescent="0.35">
      <c r="E6702">
        <v>6699</v>
      </c>
      <c r="F6702">
        <f t="shared" ca="1" si="106"/>
        <v>4.6197088684752025E-3</v>
      </c>
    </row>
    <row r="6703" spans="5:6" x14ac:dyDescent="0.35">
      <c r="E6703">
        <v>6700</v>
      </c>
      <c r="F6703">
        <f t="shared" ca="1" si="106"/>
        <v>-3.512859458562425E-2</v>
      </c>
    </row>
    <row r="6704" spans="5:6" x14ac:dyDescent="0.35">
      <c r="E6704">
        <v>6701</v>
      </c>
      <c r="F6704">
        <f t="shared" ca="1" si="106"/>
        <v>1.9608508498796452E-2</v>
      </c>
    </row>
    <row r="6705" spans="5:6" x14ac:dyDescent="0.35">
      <c r="E6705">
        <v>6702</v>
      </c>
      <c r="F6705">
        <f t="shared" ca="1" si="106"/>
        <v>-1.5868377165008257E-2</v>
      </c>
    </row>
    <row r="6706" spans="5:6" x14ac:dyDescent="0.35">
      <c r="E6706">
        <v>6703</v>
      </c>
      <c r="F6706">
        <f t="shared" ca="1" si="106"/>
        <v>-1.2186586996611255E-3</v>
      </c>
    </row>
    <row r="6707" spans="5:6" x14ac:dyDescent="0.35">
      <c r="E6707">
        <v>6704</v>
      </c>
      <c r="F6707">
        <f t="shared" ca="1" si="106"/>
        <v>-1.007870191190964E-3</v>
      </c>
    </row>
    <row r="6708" spans="5:6" x14ac:dyDescent="0.35">
      <c r="E6708">
        <v>6705</v>
      </c>
      <c r="F6708">
        <f t="shared" ca="1" si="106"/>
        <v>-7.8810202844160245E-3</v>
      </c>
    </row>
    <row r="6709" spans="5:6" x14ac:dyDescent="0.35">
      <c r="E6709">
        <v>6706</v>
      </c>
      <c r="F6709">
        <f t="shared" ca="1" si="106"/>
        <v>-1.2941369296837412E-3</v>
      </c>
    </row>
    <row r="6710" spans="5:6" x14ac:dyDescent="0.35">
      <c r="E6710">
        <v>6707</v>
      </c>
      <c r="F6710">
        <f t="shared" ca="1" si="106"/>
        <v>-2.0644238460099665E-2</v>
      </c>
    </row>
    <row r="6711" spans="5:6" x14ac:dyDescent="0.35">
      <c r="E6711">
        <v>6708</v>
      </c>
      <c r="F6711">
        <f t="shared" ca="1" si="106"/>
        <v>8.3622188564837063E-3</v>
      </c>
    </row>
    <row r="6712" spans="5:6" x14ac:dyDescent="0.35">
      <c r="E6712">
        <v>6709</v>
      </c>
      <c r="F6712">
        <f t="shared" ca="1" si="106"/>
        <v>1.0479441697456605E-2</v>
      </c>
    </row>
    <row r="6713" spans="5:6" x14ac:dyDescent="0.35">
      <c r="E6713">
        <v>6710</v>
      </c>
      <c r="F6713">
        <f t="shared" ca="1" si="106"/>
        <v>-1.0729447984878771E-3</v>
      </c>
    </row>
    <row r="6714" spans="5:6" x14ac:dyDescent="0.35">
      <c r="E6714">
        <v>6711</v>
      </c>
      <c r="F6714">
        <f t="shared" ca="1" si="106"/>
        <v>-3.3622244056694373E-3</v>
      </c>
    </row>
    <row r="6715" spans="5:6" x14ac:dyDescent="0.35">
      <c r="E6715">
        <v>6712</v>
      </c>
      <c r="F6715">
        <f t="shared" ca="1" si="106"/>
        <v>-1.166691377848513E-2</v>
      </c>
    </row>
    <row r="6716" spans="5:6" x14ac:dyDescent="0.35">
      <c r="E6716">
        <v>6713</v>
      </c>
      <c r="F6716">
        <f t="shared" ca="1" si="106"/>
        <v>-7.3006119417887852E-3</v>
      </c>
    </row>
    <row r="6717" spans="5:6" x14ac:dyDescent="0.35">
      <c r="E6717">
        <v>6714</v>
      </c>
      <c r="F6717">
        <f t="shared" ca="1" si="106"/>
        <v>2.0284153483372418E-2</v>
      </c>
    </row>
    <row r="6718" spans="5:6" x14ac:dyDescent="0.35">
      <c r="E6718">
        <v>6715</v>
      </c>
      <c r="F6718">
        <f t="shared" ca="1" si="106"/>
        <v>4.1656171703071156E-3</v>
      </c>
    </row>
    <row r="6719" spans="5:6" x14ac:dyDescent="0.35">
      <c r="E6719">
        <v>6716</v>
      </c>
      <c r="F6719">
        <f t="shared" ca="1" si="106"/>
        <v>-4.0894449538552442E-3</v>
      </c>
    </row>
    <row r="6720" spans="5:6" x14ac:dyDescent="0.35">
      <c r="E6720">
        <v>6717</v>
      </c>
      <c r="F6720">
        <f t="shared" ca="1" si="106"/>
        <v>-1.029955325394764E-2</v>
      </c>
    </row>
    <row r="6721" spans="5:6" x14ac:dyDescent="0.35">
      <c r="E6721">
        <v>6718</v>
      </c>
      <c r="F6721">
        <f t="shared" ca="1" si="106"/>
        <v>-2.6106855956570262E-2</v>
      </c>
    </row>
    <row r="6722" spans="5:6" x14ac:dyDescent="0.35">
      <c r="E6722">
        <v>6719</v>
      </c>
      <c r="F6722">
        <f t="shared" ca="1" si="106"/>
        <v>3.3010013146881076E-3</v>
      </c>
    </row>
    <row r="6723" spans="5:6" x14ac:dyDescent="0.35">
      <c r="E6723">
        <v>6720</v>
      </c>
      <c r="F6723">
        <f t="shared" ca="1" si="106"/>
        <v>-6.3466608442361338E-3</v>
      </c>
    </row>
    <row r="6724" spans="5:6" x14ac:dyDescent="0.35">
      <c r="E6724">
        <v>6721</v>
      </c>
      <c r="F6724">
        <f t="shared" ca="1" si="106"/>
        <v>9.4561023772452412E-3</v>
      </c>
    </row>
    <row r="6725" spans="5:6" x14ac:dyDescent="0.35">
      <c r="E6725">
        <v>6722</v>
      </c>
      <c r="F6725">
        <f t="shared" ref="F6725:F6788" ca="1" si="107">_xlfn.NORM.INV(RAND(),M$6,M$7)</f>
        <v>-9.0831412230995418E-3</v>
      </c>
    </row>
    <row r="6726" spans="5:6" x14ac:dyDescent="0.35">
      <c r="E6726">
        <v>6723</v>
      </c>
      <c r="F6726">
        <f t="shared" ca="1" si="107"/>
        <v>-3.1347682022531678E-3</v>
      </c>
    </row>
    <row r="6727" spans="5:6" x14ac:dyDescent="0.35">
      <c r="E6727">
        <v>6724</v>
      </c>
      <c r="F6727">
        <f t="shared" ca="1" si="107"/>
        <v>1.8028723852714323E-2</v>
      </c>
    </row>
    <row r="6728" spans="5:6" x14ac:dyDescent="0.35">
      <c r="E6728">
        <v>6725</v>
      </c>
      <c r="F6728">
        <f t="shared" ca="1" si="107"/>
        <v>-1.0977395472023773E-2</v>
      </c>
    </row>
    <row r="6729" spans="5:6" x14ac:dyDescent="0.35">
      <c r="E6729">
        <v>6726</v>
      </c>
      <c r="F6729">
        <f t="shared" ca="1" si="107"/>
        <v>-1.4150394519246831E-2</v>
      </c>
    </row>
    <row r="6730" spans="5:6" x14ac:dyDescent="0.35">
      <c r="E6730">
        <v>6727</v>
      </c>
      <c r="F6730">
        <f t="shared" ca="1" si="107"/>
        <v>-1.0934236475867319E-2</v>
      </c>
    </row>
    <row r="6731" spans="5:6" x14ac:dyDescent="0.35">
      <c r="E6731">
        <v>6728</v>
      </c>
      <c r="F6731">
        <f t="shared" ca="1" si="107"/>
        <v>6.1391462885168856E-3</v>
      </c>
    </row>
    <row r="6732" spans="5:6" x14ac:dyDescent="0.35">
      <c r="E6732">
        <v>6729</v>
      </c>
      <c r="F6732">
        <f t="shared" ca="1" si="107"/>
        <v>-5.780059624579041E-4</v>
      </c>
    </row>
    <row r="6733" spans="5:6" x14ac:dyDescent="0.35">
      <c r="E6733">
        <v>6730</v>
      </c>
      <c r="F6733">
        <f t="shared" ca="1" si="107"/>
        <v>2.9168534037181414E-3</v>
      </c>
    </row>
    <row r="6734" spans="5:6" x14ac:dyDescent="0.35">
      <c r="E6734">
        <v>6731</v>
      </c>
      <c r="F6734">
        <f t="shared" ca="1" si="107"/>
        <v>-6.4023986490421561E-3</v>
      </c>
    </row>
    <row r="6735" spans="5:6" x14ac:dyDescent="0.35">
      <c r="E6735">
        <v>6732</v>
      </c>
      <c r="F6735">
        <f t="shared" ca="1" si="107"/>
        <v>2.5347267911064162E-3</v>
      </c>
    </row>
    <row r="6736" spans="5:6" x14ac:dyDescent="0.35">
      <c r="E6736">
        <v>6733</v>
      </c>
      <c r="F6736">
        <f t="shared" ca="1" si="107"/>
        <v>2.1297529920152247E-3</v>
      </c>
    </row>
    <row r="6737" spans="5:6" x14ac:dyDescent="0.35">
      <c r="E6737">
        <v>6734</v>
      </c>
      <c r="F6737">
        <f t="shared" ca="1" si="107"/>
        <v>5.4307677478054915E-4</v>
      </c>
    </row>
    <row r="6738" spans="5:6" x14ac:dyDescent="0.35">
      <c r="E6738">
        <v>6735</v>
      </c>
      <c r="F6738">
        <f t="shared" ca="1" si="107"/>
        <v>-2.2387373264449027E-2</v>
      </c>
    </row>
    <row r="6739" spans="5:6" x14ac:dyDescent="0.35">
      <c r="E6739">
        <v>6736</v>
      </c>
      <c r="F6739">
        <f t="shared" ca="1" si="107"/>
        <v>-2.1946833038963026E-2</v>
      </c>
    </row>
    <row r="6740" spans="5:6" x14ac:dyDescent="0.35">
      <c r="E6740">
        <v>6737</v>
      </c>
      <c r="F6740">
        <f t="shared" ca="1" si="107"/>
        <v>1.4948884135575635E-2</v>
      </c>
    </row>
    <row r="6741" spans="5:6" x14ac:dyDescent="0.35">
      <c r="E6741">
        <v>6738</v>
      </c>
      <c r="F6741">
        <f t="shared" ca="1" si="107"/>
        <v>-1.0614361331223779E-2</v>
      </c>
    </row>
    <row r="6742" spans="5:6" x14ac:dyDescent="0.35">
      <c r="E6742">
        <v>6739</v>
      </c>
      <c r="F6742">
        <f t="shared" ca="1" si="107"/>
        <v>2.2760435395481688E-2</v>
      </c>
    </row>
    <row r="6743" spans="5:6" x14ac:dyDescent="0.35">
      <c r="E6743">
        <v>6740</v>
      </c>
      <c r="F6743">
        <f t="shared" ca="1" si="107"/>
        <v>-2.5125979231729587E-2</v>
      </c>
    </row>
    <row r="6744" spans="5:6" x14ac:dyDescent="0.35">
      <c r="E6744">
        <v>6741</v>
      </c>
      <c r="F6744">
        <f t="shared" ca="1" si="107"/>
        <v>-7.5689735950851302E-3</v>
      </c>
    </row>
    <row r="6745" spans="5:6" x14ac:dyDescent="0.35">
      <c r="E6745">
        <v>6742</v>
      </c>
      <c r="F6745">
        <f t="shared" ca="1" si="107"/>
        <v>-3.0099701503345892E-3</v>
      </c>
    </row>
    <row r="6746" spans="5:6" x14ac:dyDescent="0.35">
      <c r="E6746">
        <v>6743</v>
      </c>
      <c r="F6746">
        <f t="shared" ca="1" si="107"/>
        <v>-2.2457671807410852E-2</v>
      </c>
    </row>
    <row r="6747" spans="5:6" x14ac:dyDescent="0.35">
      <c r="E6747">
        <v>6744</v>
      </c>
      <c r="F6747">
        <f t="shared" ca="1" si="107"/>
        <v>-1.3253565987694532E-2</v>
      </c>
    </row>
    <row r="6748" spans="5:6" x14ac:dyDescent="0.35">
      <c r="E6748">
        <v>6745</v>
      </c>
      <c r="F6748">
        <f t="shared" ca="1" si="107"/>
        <v>2.8496095248099835E-2</v>
      </c>
    </row>
    <row r="6749" spans="5:6" x14ac:dyDescent="0.35">
      <c r="E6749">
        <v>6746</v>
      </c>
      <c r="F6749">
        <f t="shared" ca="1" si="107"/>
        <v>7.5667555054296223E-3</v>
      </c>
    </row>
    <row r="6750" spans="5:6" x14ac:dyDescent="0.35">
      <c r="E6750">
        <v>6747</v>
      </c>
      <c r="F6750">
        <f t="shared" ca="1" si="107"/>
        <v>5.2749527875065765E-4</v>
      </c>
    </row>
    <row r="6751" spans="5:6" x14ac:dyDescent="0.35">
      <c r="E6751">
        <v>6748</v>
      </c>
      <c r="F6751">
        <f t="shared" ca="1" si="107"/>
        <v>1.6328054907717496E-2</v>
      </c>
    </row>
    <row r="6752" spans="5:6" x14ac:dyDescent="0.35">
      <c r="E6752">
        <v>6749</v>
      </c>
      <c r="F6752">
        <f t="shared" ca="1" si="107"/>
        <v>4.5158762374380964E-3</v>
      </c>
    </row>
    <row r="6753" spans="5:6" x14ac:dyDescent="0.35">
      <c r="E6753">
        <v>6750</v>
      </c>
      <c r="F6753">
        <f t="shared" ca="1" si="107"/>
        <v>1.8103948363092665E-2</v>
      </c>
    </row>
    <row r="6754" spans="5:6" x14ac:dyDescent="0.35">
      <c r="E6754">
        <v>6751</v>
      </c>
      <c r="F6754">
        <f t="shared" ca="1" si="107"/>
        <v>-2.5037925830297342E-3</v>
      </c>
    </row>
    <row r="6755" spans="5:6" x14ac:dyDescent="0.35">
      <c r="E6755">
        <v>6752</v>
      </c>
      <c r="F6755">
        <f t="shared" ca="1" si="107"/>
        <v>-1.0198570873946996E-3</v>
      </c>
    </row>
    <row r="6756" spans="5:6" x14ac:dyDescent="0.35">
      <c r="E6756">
        <v>6753</v>
      </c>
      <c r="F6756">
        <f t="shared" ca="1" si="107"/>
        <v>-2.6033756162792167E-2</v>
      </c>
    </row>
    <row r="6757" spans="5:6" x14ac:dyDescent="0.35">
      <c r="E6757">
        <v>6754</v>
      </c>
      <c r="F6757">
        <f t="shared" ca="1" si="107"/>
        <v>1.1177614331788323E-2</v>
      </c>
    </row>
    <row r="6758" spans="5:6" x14ac:dyDescent="0.35">
      <c r="E6758">
        <v>6755</v>
      </c>
      <c r="F6758">
        <f t="shared" ca="1" si="107"/>
        <v>1.4324411789214214E-2</v>
      </c>
    </row>
    <row r="6759" spans="5:6" x14ac:dyDescent="0.35">
      <c r="E6759">
        <v>6756</v>
      </c>
      <c r="F6759">
        <f t="shared" ca="1" si="107"/>
        <v>7.8378586990853951E-3</v>
      </c>
    </row>
    <row r="6760" spans="5:6" x14ac:dyDescent="0.35">
      <c r="E6760">
        <v>6757</v>
      </c>
      <c r="F6760">
        <f t="shared" ca="1" si="107"/>
        <v>2.4098052672422089E-2</v>
      </c>
    </row>
    <row r="6761" spans="5:6" x14ac:dyDescent="0.35">
      <c r="E6761">
        <v>6758</v>
      </c>
      <c r="F6761">
        <f t="shared" ca="1" si="107"/>
        <v>1.7098302450355332E-2</v>
      </c>
    </row>
    <row r="6762" spans="5:6" x14ac:dyDescent="0.35">
      <c r="E6762">
        <v>6759</v>
      </c>
      <c r="F6762">
        <f t="shared" ca="1" si="107"/>
        <v>7.1296715722112651E-3</v>
      </c>
    </row>
    <row r="6763" spans="5:6" x14ac:dyDescent="0.35">
      <c r="E6763">
        <v>6760</v>
      </c>
      <c r="F6763">
        <f t="shared" ca="1" si="107"/>
        <v>6.9961372762580125E-3</v>
      </c>
    </row>
    <row r="6764" spans="5:6" x14ac:dyDescent="0.35">
      <c r="E6764">
        <v>6761</v>
      </c>
      <c r="F6764">
        <f t="shared" ca="1" si="107"/>
        <v>-1.175684256877345E-2</v>
      </c>
    </row>
    <row r="6765" spans="5:6" x14ac:dyDescent="0.35">
      <c r="E6765">
        <v>6762</v>
      </c>
      <c r="F6765">
        <f t="shared" ca="1" si="107"/>
        <v>1.1871817430942384E-2</v>
      </c>
    </row>
    <row r="6766" spans="5:6" x14ac:dyDescent="0.35">
      <c r="E6766">
        <v>6763</v>
      </c>
      <c r="F6766">
        <f t="shared" ca="1" si="107"/>
        <v>-1.5352181939499811E-2</v>
      </c>
    </row>
    <row r="6767" spans="5:6" x14ac:dyDescent="0.35">
      <c r="E6767">
        <v>6764</v>
      </c>
      <c r="F6767">
        <f t="shared" ca="1" si="107"/>
        <v>2.6716255462777196E-3</v>
      </c>
    </row>
    <row r="6768" spans="5:6" x14ac:dyDescent="0.35">
      <c r="E6768">
        <v>6765</v>
      </c>
      <c r="F6768">
        <f t="shared" ca="1" si="107"/>
        <v>-1.7897828381222211E-2</v>
      </c>
    </row>
    <row r="6769" spans="5:6" x14ac:dyDescent="0.35">
      <c r="E6769">
        <v>6766</v>
      </c>
      <c r="F6769">
        <f t="shared" ca="1" si="107"/>
        <v>1.6536334099532979E-2</v>
      </c>
    </row>
    <row r="6770" spans="5:6" x14ac:dyDescent="0.35">
      <c r="E6770">
        <v>6767</v>
      </c>
      <c r="F6770">
        <f t="shared" ca="1" si="107"/>
        <v>1.9324465524876568E-2</v>
      </c>
    </row>
    <row r="6771" spans="5:6" x14ac:dyDescent="0.35">
      <c r="E6771">
        <v>6768</v>
      </c>
      <c r="F6771">
        <f t="shared" ca="1" si="107"/>
        <v>-7.563277430059931E-4</v>
      </c>
    </row>
    <row r="6772" spans="5:6" x14ac:dyDescent="0.35">
      <c r="E6772">
        <v>6769</v>
      </c>
      <c r="F6772">
        <f t="shared" ca="1" si="107"/>
        <v>-5.1215016932105156E-3</v>
      </c>
    </row>
    <row r="6773" spans="5:6" x14ac:dyDescent="0.35">
      <c r="E6773">
        <v>6770</v>
      </c>
      <c r="F6773">
        <f t="shared" ca="1" si="107"/>
        <v>9.2836407152224222E-3</v>
      </c>
    </row>
    <row r="6774" spans="5:6" x14ac:dyDescent="0.35">
      <c r="E6774">
        <v>6771</v>
      </c>
      <c r="F6774">
        <f t="shared" ca="1" si="107"/>
        <v>1.0099823074383871E-2</v>
      </c>
    </row>
    <row r="6775" spans="5:6" x14ac:dyDescent="0.35">
      <c r="E6775">
        <v>6772</v>
      </c>
      <c r="F6775">
        <f t="shared" ca="1" si="107"/>
        <v>5.7704705638925392E-3</v>
      </c>
    </row>
    <row r="6776" spans="5:6" x14ac:dyDescent="0.35">
      <c r="E6776">
        <v>6773</v>
      </c>
      <c r="F6776">
        <f t="shared" ca="1" si="107"/>
        <v>-1.0020156331384734E-2</v>
      </c>
    </row>
    <row r="6777" spans="5:6" x14ac:dyDescent="0.35">
      <c r="E6777">
        <v>6774</v>
      </c>
      <c r="F6777">
        <f t="shared" ca="1" si="107"/>
        <v>2.4695459984056124E-2</v>
      </c>
    </row>
    <row r="6778" spans="5:6" x14ac:dyDescent="0.35">
      <c r="E6778">
        <v>6775</v>
      </c>
      <c r="F6778">
        <f t="shared" ca="1" si="107"/>
        <v>9.5407568117190245E-3</v>
      </c>
    </row>
    <row r="6779" spans="5:6" x14ac:dyDescent="0.35">
      <c r="E6779">
        <v>6776</v>
      </c>
      <c r="F6779">
        <f t="shared" ca="1" si="107"/>
        <v>8.8052587410160713E-3</v>
      </c>
    </row>
    <row r="6780" spans="5:6" x14ac:dyDescent="0.35">
      <c r="E6780">
        <v>6777</v>
      </c>
      <c r="F6780">
        <f t="shared" ca="1" si="107"/>
        <v>-1.0739860548582048E-2</v>
      </c>
    </row>
    <row r="6781" spans="5:6" x14ac:dyDescent="0.35">
      <c r="E6781">
        <v>6778</v>
      </c>
      <c r="F6781">
        <f t="shared" ca="1" si="107"/>
        <v>-1.0016836308145927E-2</v>
      </c>
    </row>
    <row r="6782" spans="5:6" x14ac:dyDescent="0.35">
      <c r="E6782">
        <v>6779</v>
      </c>
      <c r="F6782">
        <f t="shared" ca="1" si="107"/>
        <v>7.9801858663756439E-3</v>
      </c>
    </row>
    <row r="6783" spans="5:6" x14ac:dyDescent="0.35">
      <c r="E6783">
        <v>6780</v>
      </c>
      <c r="F6783">
        <f t="shared" ca="1" si="107"/>
        <v>4.9222461944731467E-3</v>
      </c>
    </row>
    <row r="6784" spans="5:6" x14ac:dyDescent="0.35">
      <c r="E6784">
        <v>6781</v>
      </c>
      <c r="F6784">
        <f t="shared" ca="1" si="107"/>
        <v>-1.878541254402758E-3</v>
      </c>
    </row>
    <row r="6785" spans="5:6" x14ac:dyDescent="0.35">
      <c r="E6785">
        <v>6782</v>
      </c>
      <c r="F6785">
        <f t="shared" ca="1" si="107"/>
        <v>-8.5503051612044793E-4</v>
      </c>
    </row>
    <row r="6786" spans="5:6" x14ac:dyDescent="0.35">
      <c r="E6786">
        <v>6783</v>
      </c>
      <c r="F6786">
        <f t="shared" ca="1" si="107"/>
        <v>1.2632344978329121E-2</v>
      </c>
    </row>
    <row r="6787" spans="5:6" x14ac:dyDescent="0.35">
      <c r="E6787">
        <v>6784</v>
      </c>
      <c r="F6787">
        <f t="shared" ca="1" si="107"/>
        <v>-1.1790389536719051E-2</v>
      </c>
    </row>
    <row r="6788" spans="5:6" x14ac:dyDescent="0.35">
      <c r="E6788">
        <v>6785</v>
      </c>
      <c r="F6788">
        <f t="shared" ca="1" si="107"/>
        <v>8.0031104193288381E-3</v>
      </c>
    </row>
    <row r="6789" spans="5:6" x14ac:dyDescent="0.35">
      <c r="E6789">
        <v>6786</v>
      </c>
      <c r="F6789">
        <f t="shared" ref="F6789:F6852" ca="1" si="108">_xlfn.NORM.INV(RAND(),M$6,M$7)</f>
        <v>-1.8922941741248592E-2</v>
      </c>
    </row>
    <row r="6790" spans="5:6" x14ac:dyDescent="0.35">
      <c r="E6790">
        <v>6787</v>
      </c>
      <c r="F6790">
        <f t="shared" ca="1" si="108"/>
        <v>1.7954930545241304E-2</v>
      </c>
    </row>
    <row r="6791" spans="5:6" x14ac:dyDescent="0.35">
      <c r="E6791">
        <v>6788</v>
      </c>
      <c r="F6791">
        <f t="shared" ca="1" si="108"/>
        <v>-1.0618655345168714E-2</v>
      </c>
    </row>
    <row r="6792" spans="5:6" x14ac:dyDescent="0.35">
      <c r="E6792">
        <v>6789</v>
      </c>
      <c r="F6792">
        <f t="shared" ca="1" si="108"/>
        <v>1.4687891791224672E-2</v>
      </c>
    </row>
    <row r="6793" spans="5:6" x14ac:dyDescent="0.35">
      <c r="E6793">
        <v>6790</v>
      </c>
      <c r="F6793">
        <f t="shared" ca="1" si="108"/>
        <v>-1.5460674585273781E-2</v>
      </c>
    </row>
    <row r="6794" spans="5:6" x14ac:dyDescent="0.35">
      <c r="E6794">
        <v>6791</v>
      </c>
      <c r="F6794">
        <f t="shared" ca="1" si="108"/>
        <v>2.7718747765452427E-3</v>
      </c>
    </row>
    <row r="6795" spans="5:6" x14ac:dyDescent="0.35">
      <c r="E6795">
        <v>6792</v>
      </c>
      <c r="F6795">
        <f t="shared" ca="1" si="108"/>
        <v>3.4638780942416944E-2</v>
      </c>
    </row>
    <row r="6796" spans="5:6" x14ac:dyDescent="0.35">
      <c r="E6796">
        <v>6793</v>
      </c>
      <c r="F6796">
        <f t="shared" ca="1" si="108"/>
        <v>-1.1811270620695348E-2</v>
      </c>
    </row>
    <row r="6797" spans="5:6" x14ac:dyDescent="0.35">
      <c r="E6797">
        <v>6794</v>
      </c>
      <c r="F6797">
        <f t="shared" ca="1" si="108"/>
        <v>9.9773146048401512E-3</v>
      </c>
    </row>
    <row r="6798" spans="5:6" x14ac:dyDescent="0.35">
      <c r="E6798">
        <v>6795</v>
      </c>
      <c r="F6798">
        <f t="shared" ca="1" si="108"/>
        <v>-2.4566545730250462E-3</v>
      </c>
    </row>
    <row r="6799" spans="5:6" x14ac:dyDescent="0.35">
      <c r="E6799">
        <v>6796</v>
      </c>
      <c r="F6799">
        <f t="shared" ca="1" si="108"/>
        <v>1.6420560643014257E-2</v>
      </c>
    </row>
    <row r="6800" spans="5:6" x14ac:dyDescent="0.35">
      <c r="E6800">
        <v>6797</v>
      </c>
      <c r="F6800">
        <f t="shared" ca="1" si="108"/>
        <v>3.3876422277139789E-3</v>
      </c>
    </row>
    <row r="6801" spans="5:6" x14ac:dyDescent="0.35">
      <c r="E6801">
        <v>6798</v>
      </c>
      <c r="F6801">
        <f t="shared" ca="1" si="108"/>
        <v>1.3453639015000053E-2</v>
      </c>
    </row>
    <row r="6802" spans="5:6" x14ac:dyDescent="0.35">
      <c r="E6802">
        <v>6799</v>
      </c>
      <c r="F6802">
        <f t="shared" ca="1" si="108"/>
        <v>2.0067899888435896E-3</v>
      </c>
    </row>
    <row r="6803" spans="5:6" x14ac:dyDescent="0.35">
      <c r="E6803">
        <v>6800</v>
      </c>
      <c r="F6803">
        <f t="shared" ca="1" si="108"/>
        <v>6.4000289316704659E-3</v>
      </c>
    </row>
    <row r="6804" spans="5:6" x14ac:dyDescent="0.35">
      <c r="E6804">
        <v>6801</v>
      </c>
      <c r="F6804">
        <f t="shared" ca="1" si="108"/>
        <v>-1.1798970303635877E-2</v>
      </c>
    </row>
    <row r="6805" spans="5:6" x14ac:dyDescent="0.35">
      <c r="E6805">
        <v>6802</v>
      </c>
      <c r="F6805">
        <f t="shared" ca="1" si="108"/>
        <v>-5.4335219984693274E-3</v>
      </c>
    </row>
    <row r="6806" spans="5:6" x14ac:dyDescent="0.35">
      <c r="E6806">
        <v>6803</v>
      </c>
      <c r="F6806">
        <f t="shared" ca="1" si="108"/>
        <v>-9.9233842411882798E-3</v>
      </c>
    </row>
    <row r="6807" spans="5:6" x14ac:dyDescent="0.35">
      <c r="E6807">
        <v>6804</v>
      </c>
      <c r="F6807">
        <f t="shared" ca="1" si="108"/>
        <v>1.247055054427817E-2</v>
      </c>
    </row>
    <row r="6808" spans="5:6" x14ac:dyDescent="0.35">
      <c r="E6808">
        <v>6805</v>
      </c>
      <c r="F6808">
        <f t="shared" ca="1" si="108"/>
        <v>8.6018921940878793E-3</v>
      </c>
    </row>
    <row r="6809" spans="5:6" x14ac:dyDescent="0.35">
      <c r="E6809">
        <v>6806</v>
      </c>
      <c r="F6809">
        <f t="shared" ca="1" si="108"/>
        <v>1.4023265760693867E-2</v>
      </c>
    </row>
    <row r="6810" spans="5:6" x14ac:dyDescent="0.35">
      <c r="E6810">
        <v>6807</v>
      </c>
      <c r="F6810">
        <f t="shared" ca="1" si="108"/>
        <v>-2.6958111461032174E-2</v>
      </c>
    </row>
    <row r="6811" spans="5:6" x14ac:dyDescent="0.35">
      <c r="E6811">
        <v>6808</v>
      </c>
      <c r="F6811">
        <f t="shared" ca="1" si="108"/>
        <v>-1.5978161132707277E-2</v>
      </c>
    </row>
    <row r="6812" spans="5:6" x14ac:dyDescent="0.35">
      <c r="E6812">
        <v>6809</v>
      </c>
      <c r="F6812">
        <f t="shared" ca="1" si="108"/>
        <v>-2.4731130654414278E-3</v>
      </c>
    </row>
    <row r="6813" spans="5:6" x14ac:dyDescent="0.35">
      <c r="E6813">
        <v>6810</v>
      </c>
      <c r="F6813">
        <f t="shared" ca="1" si="108"/>
        <v>4.7778846892182099E-3</v>
      </c>
    </row>
    <row r="6814" spans="5:6" x14ac:dyDescent="0.35">
      <c r="E6814">
        <v>6811</v>
      </c>
      <c r="F6814">
        <f t="shared" ca="1" si="108"/>
        <v>-4.5028153856730181E-3</v>
      </c>
    </row>
    <row r="6815" spans="5:6" x14ac:dyDescent="0.35">
      <c r="E6815">
        <v>6812</v>
      </c>
      <c r="F6815">
        <f t="shared" ca="1" si="108"/>
        <v>-1.560565752600283E-3</v>
      </c>
    </row>
    <row r="6816" spans="5:6" x14ac:dyDescent="0.35">
      <c r="E6816">
        <v>6813</v>
      </c>
      <c r="F6816">
        <f t="shared" ca="1" si="108"/>
        <v>-2.8328705548653901E-3</v>
      </c>
    </row>
    <row r="6817" spans="5:6" x14ac:dyDescent="0.35">
      <c r="E6817">
        <v>6814</v>
      </c>
      <c r="F6817">
        <f t="shared" ca="1" si="108"/>
        <v>-1.8604902068587371E-2</v>
      </c>
    </row>
    <row r="6818" spans="5:6" x14ac:dyDescent="0.35">
      <c r="E6818">
        <v>6815</v>
      </c>
      <c r="F6818">
        <f t="shared" ca="1" si="108"/>
        <v>8.3558237289505389E-3</v>
      </c>
    </row>
    <row r="6819" spans="5:6" x14ac:dyDescent="0.35">
      <c r="E6819">
        <v>6816</v>
      </c>
      <c r="F6819">
        <f t="shared" ca="1" si="108"/>
        <v>2.3011976510794768E-2</v>
      </c>
    </row>
    <row r="6820" spans="5:6" x14ac:dyDescent="0.35">
      <c r="E6820">
        <v>6817</v>
      </c>
      <c r="F6820">
        <f t="shared" ca="1" si="108"/>
        <v>1.6498295551801288E-2</v>
      </c>
    </row>
    <row r="6821" spans="5:6" x14ac:dyDescent="0.35">
      <c r="E6821">
        <v>6818</v>
      </c>
      <c r="F6821">
        <f t="shared" ca="1" si="108"/>
        <v>1.834492677026581E-2</v>
      </c>
    </row>
    <row r="6822" spans="5:6" x14ac:dyDescent="0.35">
      <c r="E6822">
        <v>6819</v>
      </c>
      <c r="F6822">
        <f t="shared" ca="1" si="108"/>
        <v>1.3015547016126307E-2</v>
      </c>
    </row>
    <row r="6823" spans="5:6" x14ac:dyDescent="0.35">
      <c r="E6823">
        <v>6820</v>
      </c>
      <c r="F6823">
        <f t="shared" ca="1" si="108"/>
        <v>-3.7269706629479106E-3</v>
      </c>
    </row>
    <row r="6824" spans="5:6" x14ac:dyDescent="0.35">
      <c r="E6824">
        <v>6821</v>
      </c>
      <c r="F6824">
        <f t="shared" ca="1" si="108"/>
        <v>6.2620137987719595E-3</v>
      </c>
    </row>
    <row r="6825" spans="5:6" x14ac:dyDescent="0.35">
      <c r="E6825">
        <v>6822</v>
      </c>
      <c r="F6825">
        <f t="shared" ca="1" si="108"/>
        <v>5.6341200872041253E-3</v>
      </c>
    </row>
    <row r="6826" spans="5:6" x14ac:dyDescent="0.35">
      <c r="E6826">
        <v>6823</v>
      </c>
      <c r="F6826">
        <f t="shared" ca="1" si="108"/>
        <v>9.7086503700397515E-3</v>
      </c>
    </row>
    <row r="6827" spans="5:6" x14ac:dyDescent="0.35">
      <c r="E6827">
        <v>6824</v>
      </c>
      <c r="F6827">
        <f t="shared" ca="1" si="108"/>
        <v>-1.8279611265840396E-2</v>
      </c>
    </row>
    <row r="6828" spans="5:6" x14ac:dyDescent="0.35">
      <c r="E6828">
        <v>6825</v>
      </c>
      <c r="F6828">
        <f t="shared" ca="1" si="108"/>
        <v>1.2313076692079266E-2</v>
      </c>
    </row>
    <row r="6829" spans="5:6" x14ac:dyDescent="0.35">
      <c r="E6829">
        <v>6826</v>
      </c>
      <c r="F6829">
        <f t="shared" ca="1" si="108"/>
        <v>-1.0788083483862568E-2</v>
      </c>
    </row>
    <row r="6830" spans="5:6" x14ac:dyDescent="0.35">
      <c r="E6830">
        <v>6827</v>
      </c>
      <c r="F6830">
        <f t="shared" ca="1" si="108"/>
        <v>-3.0924958864955881E-3</v>
      </c>
    </row>
    <row r="6831" spans="5:6" x14ac:dyDescent="0.35">
      <c r="E6831">
        <v>6828</v>
      </c>
      <c r="F6831">
        <f t="shared" ca="1" si="108"/>
        <v>-7.2213425053276646E-3</v>
      </c>
    </row>
    <row r="6832" spans="5:6" x14ac:dyDescent="0.35">
      <c r="E6832">
        <v>6829</v>
      </c>
      <c r="F6832">
        <f t="shared" ca="1" si="108"/>
        <v>-1.3703747431113064E-2</v>
      </c>
    </row>
    <row r="6833" spans="5:6" x14ac:dyDescent="0.35">
      <c r="E6833">
        <v>6830</v>
      </c>
      <c r="F6833">
        <f t="shared" ca="1" si="108"/>
        <v>2.3074500701739407E-2</v>
      </c>
    </row>
    <row r="6834" spans="5:6" x14ac:dyDescent="0.35">
      <c r="E6834">
        <v>6831</v>
      </c>
      <c r="F6834">
        <f t="shared" ca="1" si="108"/>
        <v>-1.1021754241806351E-2</v>
      </c>
    </row>
    <row r="6835" spans="5:6" x14ac:dyDescent="0.35">
      <c r="E6835">
        <v>6832</v>
      </c>
      <c r="F6835">
        <f t="shared" ca="1" si="108"/>
        <v>-1.0582187638357847E-2</v>
      </c>
    </row>
    <row r="6836" spans="5:6" x14ac:dyDescent="0.35">
      <c r="E6836">
        <v>6833</v>
      </c>
      <c r="F6836">
        <f t="shared" ca="1" si="108"/>
        <v>1.6413466318407812E-2</v>
      </c>
    </row>
    <row r="6837" spans="5:6" x14ac:dyDescent="0.35">
      <c r="E6837">
        <v>6834</v>
      </c>
      <c r="F6837">
        <f t="shared" ca="1" si="108"/>
        <v>-7.5736854225497193E-3</v>
      </c>
    </row>
    <row r="6838" spans="5:6" x14ac:dyDescent="0.35">
      <c r="E6838">
        <v>6835</v>
      </c>
      <c r="F6838">
        <f t="shared" ca="1" si="108"/>
        <v>-2.2742976617846515E-2</v>
      </c>
    </row>
    <row r="6839" spans="5:6" x14ac:dyDescent="0.35">
      <c r="E6839">
        <v>6836</v>
      </c>
      <c r="F6839">
        <f t="shared" ca="1" si="108"/>
        <v>1.1956112824943499E-2</v>
      </c>
    </row>
    <row r="6840" spans="5:6" x14ac:dyDescent="0.35">
      <c r="E6840">
        <v>6837</v>
      </c>
      <c r="F6840">
        <f t="shared" ca="1" si="108"/>
        <v>-3.8656601251975389E-3</v>
      </c>
    </row>
    <row r="6841" spans="5:6" x14ac:dyDescent="0.35">
      <c r="E6841">
        <v>6838</v>
      </c>
      <c r="F6841">
        <f t="shared" ca="1" si="108"/>
        <v>-8.3943762204786131E-3</v>
      </c>
    </row>
    <row r="6842" spans="5:6" x14ac:dyDescent="0.35">
      <c r="E6842">
        <v>6839</v>
      </c>
      <c r="F6842">
        <f t="shared" ca="1" si="108"/>
        <v>8.2156815361471396E-3</v>
      </c>
    </row>
    <row r="6843" spans="5:6" x14ac:dyDescent="0.35">
      <c r="E6843">
        <v>6840</v>
      </c>
      <c r="F6843">
        <f t="shared" ca="1" si="108"/>
        <v>-9.3972290086175004E-4</v>
      </c>
    </row>
    <row r="6844" spans="5:6" x14ac:dyDescent="0.35">
      <c r="E6844">
        <v>6841</v>
      </c>
      <c r="F6844">
        <f t="shared" ca="1" si="108"/>
        <v>1.4622359042488084E-2</v>
      </c>
    </row>
    <row r="6845" spans="5:6" x14ac:dyDescent="0.35">
      <c r="E6845">
        <v>6842</v>
      </c>
      <c r="F6845">
        <f t="shared" ca="1" si="108"/>
        <v>4.2012521069039473E-2</v>
      </c>
    </row>
    <row r="6846" spans="5:6" x14ac:dyDescent="0.35">
      <c r="E6846">
        <v>6843</v>
      </c>
      <c r="F6846">
        <f t="shared" ca="1" si="108"/>
        <v>-1.2201637830670246E-2</v>
      </c>
    </row>
    <row r="6847" spans="5:6" x14ac:dyDescent="0.35">
      <c r="E6847">
        <v>6844</v>
      </c>
      <c r="F6847">
        <f t="shared" ca="1" si="108"/>
        <v>1.2272698105457256E-3</v>
      </c>
    </row>
    <row r="6848" spans="5:6" x14ac:dyDescent="0.35">
      <c r="E6848">
        <v>6845</v>
      </c>
      <c r="F6848">
        <f t="shared" ca="1" si="108"/>
        <v>1.0900698888699114E-3</v>
      </c>
    </row>
    <row r="6849" spans="5:6" x14ac:dyDescent="0.35">
      <c r="E6849">
        <v>6846</v>
      </c>
      <c r="F6849">
        <f t="shared" ca="1" si="108"/>
        <v>2.0200156910552165E-3</v>
      </c>
    </row>
    <row r="6850" spans="5:6" x14ac:dyDescent="0.35">
      <c r="E6850">
        <v>6847</v>
      </c>
      <c r="F6850">
        <f t="shared" ca="1" si="108"/>
        <v>6.6247895492776579E-3</v>
      </c>
    </row>
    <row r="6851" spans="5:6" x14ac:dyDescent="0.35">
      <c r="E6851">
        <v>6848</v>
      </c>
      <c r="F6851">
        <f t="shared" ca="1" si="108"/>
        <v>7.3674165222161175E-7</v>
      </c>
    </row>
    <row r="6852" spans="5:6" x14ac:dyDescent="0.35">
      <c r="E6852">
        <v>6849</v>
      </c>
      <c r="F6852">
        <f t="shared" ca="1" si="108"/>
        <v>-3.8970237270060026E-3</v>
      </c>
    </row>
    <row r="6853" spans="5:6" x14ac:dyDescent="0.35">
      <c r="E6853">
        <v>6850</v>
      </c>
      <c r="F6853">
        <f t="shared" ref="F6853:F6916" ca="1" si="109">_xlfn.NORM.INV(RAND(),M$6,M$7)</f>
        <v>-4.7660729327944143E-3</v>
      </c>
    </row>
    <row r="6854" spans="5:6" x14ac:dyDescent="0.35">
      <c r="E6854">
        <v>6851</v>
      </c>
      <c r="F6854">
        <f t="shared" ca="1" si="109"/>
        <v>4.2589463955013829E-3</v>
      </c>
    </row>
    <row r="6855" spans="5:6" x14ac:dyDescent="0.35">
      <c r="E6855">
        <v>6852</v>
      </c>
      <c r="F6855">
        <f t="shared" ca="1" si="109"/>
        <v>1.3429109008988543E-3</v>
      </c>
    </row>
    <row r="6856" spans="5:6" x14ac:dyDescent="0.35">
      <c r="E6856">
        <v>6853</v>
      </c>
      <c r="F6856">
        <f t="shared" ca="1" si="109"/>
        <v>3.016628721214993E-2</v>
      </c>
    </row>
    <row r="6857" spans="5:6" x14ac:dyDescent="0.35">
      <c r="E6857">
        <v>6854</v>
      </c>
      <c r="F6857">
        <f t="shared" ca="1" si="109"/>
        <v>2.0462724904530303E-2</v>
      </c>
    </row>
    <row r="6858" spans="5:6" x14ac:dyDescent="0.35">
      <c r="E6858">
        <v>6855</v>
      </c>
      <c r="F6858">
        <f t="shared" ca="1" si="109"/>
        <v>1.3740113017172557E-2</v>
      </c>
    </row>
    <row r="6859" spans="5:6" x14ac:dyDescent="0.35">
      <c r="E6859">
        <v>6856</v>
      </c>
      <c r="F6859">
        <f t="shared" ca="1" si="109"/>
        <v>-1.4969215218348611E-2</v>
      </c>
    </row>
    <row r="6860" spans="5:6" x14ac:dyDescent="0.35">
      <c r="E6860">
        <v>6857</v>
      </c>
      <c r="F6860">
        <f t="shared" ca="1" si="109"/>
        <v>-3.6444198518502226E-3</v>
      </c>
    </row>
    <row r="6861" spans="5:6" x14ac:dyDescent="0.35">
      <c r="E6861">
        <v>6858</v>
      </c>
      <c r="F6861">
        <f t="shared" ca="1" si="109"/>
        <v>-2.2752791437548922E-2</v>
      </c>
    </row>
    <row r="6862" spans="5:6" x14ac:dyDescent="0.35">
      <c r="E6862">
        <v>6859</v>
      </c>
      <c r="F6862">
        <f t="shared" ca="1" si="109"/>
        <v>-1.4577918975542241E-2</v>
      </c>
    </row>
    <row r="6863" spans="5:6" x14ac:dyDescent="0.35">
      <c r="E6863">
        <v>6860</v>
      </c>
      <c r="F6863">
        <f t="shared" ca="1" si="109"/>
        <v>1.1850029158279478E-2</v>
      </c>
    </row>
    <row r="6864" spans="5:6" x14ac:dyDescent="0.35">
      <c r="E6864">
        <v>6861</v>
      </c>
      <c r="F6864">
        <f t="shared" ca="1" si="109"/>
        <v>-1.280986291072797E-2</v>
      </c>
    </row>
    <row r="6865" spans="5:6" x14ac:dyDescent="0.35">
      <c r="E6865">
        <v>6862</v>
      </c>
      <c r="F6865">
        <f t="shared" ca="1" si="109"/>
        <v>-1.7132180644034444E-2</v>
      </c>
    </row>
    <row r="6866" spans="5:6" x14ac:dyDescent="0.35">
      <c r="E6866">
        <v>6863</v>
      </c>
      <c r="F6866">
        <f t="shared" ca="1" si="109"/>
        <v>1.1659527029492245E-2</v>
      </c>
    </row>
    <row r="6867" spans="5:6" x14ac:dyDescent="0.35">
      <c r="E6867">
        <v>6864</v>
      </c>
      <c r="F6867">
        <f t="shared" ca="1" si="109"/>
        <v>-1.9121010722077954E-2</v>
      </c>
    </row>
    <row r="6868" spans="5:6" x14ac:dyDescent="0.35">
      <c r="E6868">
        <v>6865</v>
      </c>
      <c r="F6868">
        <f t="shared" ca="1" si="109"/>
        <v>-8.7501431934332245E-3</v>
      </c>
    </row>
    <row r="6869" spans="5:6" x14ac:dyDescent="0.35">
      <c r="E6869">
        <v>6866</v>
      </c>
      <c r="F6869">
        <f t="shared" ca="1" si="109"/>
        <v>8.6016478104159761E-3</v>
      </c>
    </row>
    <row r="6870" spans="5:6" x14ac:dyDescent="0.35">
      <c r="E6870">
        <v>6867</v>
      </c>
      <c r="F6870">
        <f t="shared" ca="1" si="109"/>
        <v>-2.7389620571489436E-2</v>
      </c>
    </row>
    <row r="6871" spans="5:6" x14ac:dyDescent="0.35">
      <c r="E6871">
        <v>6868</v>
      </c>
      <c r="F6871">
        <f t="shared" ca="1" si="109"/>
        <v>8.6080479327393707E-3</v>
      </c>
    </row>
    <row r="6872" spans="5:6" x14ac:dyDescent="0.35">
      <c r="E6872">
        <v>6869</v>
      </c>
      <c r="F6872">
        <f t="shared" ca="1" si="109"/>
        <v>-1.5513060344397929E-2</v>
      </c>
    </row>
    <row r="6873" spans="5:6" x14ac:dyDescent="0.35">
      <c r="E6873">
        <v>6870</v>
      </c>
      <c r="F6873">
        <f t="shared" ca="1" si="109"/>
        <v>-6.0696584405093611E-3</v>
      </c>
    </row>
    <row r="6874" spans="5:6" x14ac:dyDescent="0.35">
      <c r="E6874">
        <v>6871</v>
      </c>
      <c r="F6874">
        <f t="shared" ca="1" si="109"/>
        <v>-1.9330295144654907E-2</v>
      </c>
    </row>
    <row r="6875" spans="5:6" x14ac:dyDescent="0.35">
      <c r="E6875">
        <v>6872</v>
      </c>
      <c r="F6875">
        <f t="shared" ca="1" si="109"/>
        <v>1.5385416751702146E-2</v>
      </c>
    </row>
    <row r="6876" spans="5:6" x14ac:dyDescent="0.35">
      <c r="E6876">
        <v>6873</v>
      </c>
      <c r="F6876">
        <f t="shared" ca="1" si="109"/>
        <v>-1.0118317450165504E-2</v>
      </c>
    </row>
    <row r="6877" spans="5:6" x14ac:dyDescent="0.35">
      <c r="E6877">
        <v>6874</v>
      </c>
      <c r="F6877">
        <f t="shared" ca="1" si="109"/>
        <v>-4.3383341536456241E-3</v>
      </c>
    </row>
    <row r="6878" spans="5:6" x14ac:dyDescent="0.35">
      <c r="E6878">
        <v>6875</v>
      </c>
      <c r="F6878">
        <f t="shared" ca="1" si="109"/>
        <v>1.6641157284864531E-2</v>
      </c>
    </row>
    <row r="6879" spans="5:6" x14ac:dyDescent="0.35">
      <c r="E6879">
        <v>6876</v>
      </c>
      <c r="F6879">
        <f t="shared" ca="1" si="109"/>
        <v>9.5861852751448397E-4</v>
      </c>
    </row>
    <row r="6880" spans="5:6" x14ac:dyDescent="0.35">
      <c r="E6880">
        <v>6877</v>
      </c>
      <c r="F6880">
        <f t="shared" ca="1" si="109"/>
        <v>-7.9498645903162725E-3</v>
      </c>
    </row>
    <row r="6881" spans="5:6" x14ac:dyDescent="0.35">
      <c r="E6881">
        <v>6878</v>
      </c>
      <c r="F6881">
        <f t="shared" ca="1" si="109"/>
        <v>-3.8931019118723341E-3</v>
      </c>
    </row>
    <row r="6882" spans="5:6" x14ac:dyDescent="0.35">
      <c r="E6882">
        <v>6879</v>
      </c>
      <c r="F6882">
        <f t="shared" ca="1" si="109"/>
        <v>-3.8238282111451909E-2</v>
      </c>
    </row>
    <row r="6883" spans="5:6" x14ac:dyDescent="0.35">
      <c r="E6883">
        <v>6880</v>
      </c>
      <c r="F6883">
        <f t="shared" ca="1" si="109"/>
        <v>1.1147579181205463E-2</v>
      </c>
    </row>
    <row r="6884" spans="5:6" x14ac:dyDescent="0.35">
      <c r="E6884">
        <v>6881</v>
      </c>
      <c r="F6884">
        <f t="shared" ca="1" si="109"/>
        <v>-1.5947574009526868E-2</v>
      </c>
    </row>
    <row r="6885" spans="5:6" x14ac:dyDescent="0.35">
      <c r="E6885">
        <v>6882</v>
      </c>
      <c r="F6885">
        <f t="shared" ca="1" si="109"/>
        <v>1.6298921763397714E-2</v>
      </c>
    </row>
    <row r="6886" spans="5:6" x14ac:dyDescent="0.35">
      <c r="E6886">
        <v>6883</v>
      </c>
      <c r="F6886">
        <f t="shared" ca="1" si="109"/>
        <v>-3.2071603362913918E-2</v>
      </c>
    </row>
    <row r="6887" spans="5:6" x14ac:dyDescent="0.35">
      <c r="E6887">
        <v>6884</v>
      </c>
      <c r="F6887">
        <f t="shared" ca="1" si="109"/>
        <v>-1.1743224539243456E-3</v>
      </c>
    </row>
    <row r="6888" spans="5:6" x14ac:dyDescent="0.35">
      <c r="E6888">
        <v>6885</v>
      </c>
      <c r="F6888">
        <f t="shared" ca="1" si="109"/>
        <v>8.9121397033029293E-3</v>
      </c>
    </row>
    <row r="6889" spans="5:6" x14ac:dyDescent="0.35">
      <c r="E6889">
        <v>6886</v>
      </c>
      <c r="F6889">
        <f t="shared" ca="1" si="109"/>
        <v>-3.0083746153506764E-2</v>
      </c>
    </row>
    <row r="6890" spans="5:6" x14ac:dyDescent="0.35">
      <c r="E6890">
        <v>6887</v>
      </c>
      <c r="F6890">
        <f t="shared" ca="1" si="109"/>
        <v>5.1630505882659002E-3</v>
      </c>
    </row>
    <row r="6891" spans="5:6" x14ac:dyDescent="0.35">
      <c r="E6891">
        <v>6888</v>
      </c>
      <c r="F6891">
        <f t="shared" ca="1" si="109"/>
        <v>1.4795403907609434E-2</v>
      </c>
    </row>
    <row r="6892" spans="5:6" x14ac:dyDescent="0.35">
      <c r="E6892">
        <v>6889</v>
      </c>
      <c r="F6892">
        <f t="shared" ca="1" si="109"/>
        <v>-1.0139960428079868E-2</v>
      </c>
    </row>
    <row r="6893" spans="5:6" x14ac:dyDescent="0.35">
      <c r="E6893">
        <v>6890</v>
      </c>
      <c r="F6893">
        <f t="shared" ca="1" si="109"/>
        <v>1.1687917805052796E-2</v>
      </c>
    </row>
    <row r="6894" spans="5:6" x14ac:dyDescent="0.35">
      <c r="E6894">
        <v>6891</v>
      </c>
      <c r="F6894">
        <f t="shared" ca="1" si="109"/>
        <v>3.5409858278844897E-4</v>
      </c>
    </row>
    <row r="6895" spans="5:6" x14ac:dyDescent="0.35">
      <c r="E6895">
        <v>6892</v>
      </c>
      <c r="F6895">
        <f t="shared" ca="1" si="109"/>
        <v>-8.3235015097559185E-3</v>
      </c>
    </row>
    <row r="6896" spans="5:6" x14ac:dyDescent="0.35">
      <c r="E6896">
        <v>6893</v>
      </c>
      <c r="F6896">
        <f t="shared" ca="1" si="109"/>
        <v>-7.3313621994115204E-3</v>
      </c>
    </row>
    <row r="6897" spans="5:6" x14ac:dyDescent="0.35">
      <c r="E6897">
        <v>6894</v>
      </c>
      <c r="F6897">
        <f t="shared" ca="1" si="109"/>
        <v>4.3402639146086573E-2</v>
      </c>
    </row>
    <row r="6898" spans="5:6" x14ac:dyDescent="0.35">
      <c r="E6898">
        <v>6895</v>
      </c>
      <c r="F6898">
        <f t="shared" ca="1" si="109"/>
        <v>-2.0908381846327879E-2</v>
      </c>
    </row>
    <row r="6899" spans="5:6" x14ac:dyDescent="0.35">
      <c r="E6899">
        <v>6896</v>
      </c>
      <c r="F6899">
        <f t="shared" ca="1" si="109"/>
        <v>3.9985228771475688E-4</v>
      </c>
    </row>
    <row r="6900" spans="5:6" x14ac:dyDescent="0.35">
      <c r="E6900">
        <v>6897</v>
      </c>
      <c r="F6900">
        <f t="shared" ca="1" si="109"/>
        <v>3.7761127697406131E-3</v>
      </c>
    </row>
    <row r="6901" spans="5:6" x14ac:dyDescent="0.35">
      <c r="E6901">
        <v>6898</v>
      </c>
      <c r="F6901">
        <f t="shared" ca="1" si="109"/>
        <v>1.5358127913930156E-2</v>
      </c>
    </row>
    <row r="6902" spans="5:6" x14ac:dyDescent="0.35">
      <c r="E6902">
        <v>6899</v>
      </c>
      <c r="F6902">
        <f t="shared" ca="1" si="109"/>
        <v>-1.5019249480229049E-2</v>
      </c>
    </row>
    <row r="6903" spans="5:6" x14ac:dyDescent="0.35">
      <c r="E6903">
        <v>6900</v>
      </c>
      <c r="F6903">
        <f t="shared" ca="1" si="109"/>
        <v>2.6858190707555633E-2</v>
      </c>
    </row>
    <row r="6904" spans="5:6" x14ac:dyDescent="0.35">
      <c r="E6904">
        <v>6901</v>
      </c>
      <c r="F6904">
        <f t="shared" ca="1" si="109"/>
        <v>1.8583345135201493E-2</v>
      </c>
    </row>
    <row r="6905" spans="5:6" x14ac:dyDescent="0.35">
      <c r="E6905">
        <v>6902</v>
      </c>
      <c r="F6905">
        <f t="shared" ca="1" si="109"/>
        <v>-1.4816787464348332E-2</v>
      </c>
    </row>
    <row r="6906" spans="5:6" x14ac:dyDescent="0.35">
      <c r="E6906">
        <v>6903</v>
      </c>
      <c r="F6906">
        <f t="shared" ca="1" si="109"/>
        <v>-2.3014257108052855E-3</v>
      </c>
    </row>
    <row r="6907" spans="5:6" x14ac:dyDescent="0.35">
      <c r="E6907">
        <v>6904</v>
      </c>
      <c r="F6907">
        <f t="shared" ca="1" si="109"/>
        <v>9.2038568260331029E-3</v>
      </c>
    </row>
    <row r="6908" spans="5:6" x14ac:dyDescent="0.35">
      <c r="E6908">
        <v>6905</v>
      </c>
      <c r="F6908">
        <f t="shared" ca="1" si="109"/>
        <v>1.8295037752791631E-2</v>
      </c>
    </row>
    <row r="6909" spans="5:6" x14ac:dyDescent="0.35">
      <c r="E6909">
        <v>6906</v>
      </c>
      <c r="F6909">
        <f t="shared" ca="1" si="109"/>
        <v>-1.8305716450204408E-2</v>
      </c>
    </row>
    <row r="6910" spans="5:6" x14ac:dyDescent="0.35">
      <c r="E6910">
        <v>6907</v>
      </c>
      <c r="F6910">
        <f t="shared" ca="1" si="109"/>
        <v>1.715927998218239E-2</v>
      </c>
    </row>
    <row r="6911" spans="5:6" x14ac:dyDescent="0.35">
      <c r="E6911">
        <v>6908</v>
      </c>
      <c r="F6911">
        <f t="shared" ca="1" si="109"/>
        <v>1.0577330481251977E-2</v>
      </c>
    </row>
    <row r="6912" spans="5:6" x14ac:dyDescent="0.35">
      <c r="E6912">
        <v>6909</v>
      </c>
      <c r="F6912">
        <f t="shared" ca="1" si="109"/>
        <v>-9.4560482703345463E-3</v>
      </c>
    </row>
    <row r="6913" spans="5:6" x14ac:dyDescent="0.35">
      <c r="E6913">
        <v>6910</v>
      </c>
      <c r="F6913">
        <f t="shared" ca="1" si="109"/>
        <v>-7.2147727459550615E-4</v>
      </c>
    </row>
    <row r="6914" spans="5:6" x14ac:dyDescent="0.35">
      <c r="E6914">
        <v>6911</v>
      </c>
      <c r="F6914">
        <f t="shared" ca="1" si="109"/>
        <v>-3.9480585337940731E-3</v>
      </c>
    </row>
    <row r="6915" spans="5:6" x14ac:dyDescent="0.35">
      <c r="E6915">
        <v>6912</v>
      </c>
      <c r="F6915">
        <f t="shared" ca="1" si="109"/>
        <v>1.0185542360895668E-2</v>
      </c>
    </row>
    <row r="6916" spans="5:6" x14ac:dyDescent="0.35">
      <c r="E6916">
        <v>6913</v>
      </c>
      <c r="F6916">
        <f t="shared" ca="1" si="109"/>
        <v>3.0494597997262484E-3</v>
      </c>
    </row>
    <row r="6917" spans="5:6" x14ac:dyDescent="0.35">
      <c r="E6917">
        <v>6914</v>
      </c>
      <c r="F6917">
        <f t="shared" ref="F6917:F6980" ca="1" si="110">_xlfn.NORM.INV(RAND(),M$6,M$7)</f>
        <v>-1.8850555592636573E-2</v>
      </c>
    </row>
    <row r="6918" spans="5:6" x14ac:dyDescent="0.35">
      <c r="E6918">
        <v>6915</v>
      </c>
      <c r="F6918">
        <f t="shared" ca="1" si="110"/>
        <v>-1.5032086266166876E-3</v>
      </c>
    </row>
    <row r="6919" spans="5:6" x14ac:dyDescent="0.35">
      <c r="E6919">
        <v>6916</v>
      </c>
      <c r="F6919">
        <f t="shared" ca="1" si="110"/>
        <v>1.2857593785930259E-3</v>
      </c>
    </row>
    <row r="6920" spans="5:6" x14ac:dyDescent="0.35">
      <c r="E6920">
        <v>6917</v>
      </c>
      <c r="F6920">
        <f t="shared" ca="1" si="110"/>
        <v>1.1827918823680814E-2</v>
      </c>
    </row>
    <row r="6921" spans="5:6" x14ac:dyDescent="0.35">
      <c r="E6921">
        <v>6918</v>
      </c>
      <c r="F6921">
        <f t="shared" ca="1" si="110"/>
        <v>-3.7864549020150372E-2</v>
      </c>
    </row>
    <row r="6922" spans="5:6" x14ac:dyDescent="0.35">
      <c r="E6922">
        <v>6919</v>
      </c>
      <c r="F6922">
        <f t="shared" ca="1" si="110"/>
        <v>-1.2404036457371623E-2</v>
      </c>
    </row>
    <row r="6923" spans="5:6" x14ac:dyDescent="0.35">
      <c r="E6923">
        <v>6920</v>
      </c>
      <c r="F6923">
        <f t="shared" ca="1" si="110"/>
        <v>-9.3733783926171887E-3</v>
      </c>
    </row>
    <row r="6924" spans="5:6" x14ac:dyDescent="0.35">
      <c r="E6924">
        <v>6921</v>
      </c>
      <c r="F6924">
        <f t="shared" ca="1" si="110"/>
        <v>5.4754947588286406E-3</v>
      </c>
    </row>
    <row r="6925" spans="5:6" x14ac:dyDescent="0.35">
      <c r="E6925">
        <v>6922</v>
      </c>
      <c r="F6925">
        <f t="shared" ca="1" si="110"/>
        <v>-5.4100286331345109E-3</v>
      </c>
    </row>
    <row r="6926" spans="5:6" x14ac:dyDescent="0.35">
      <c r="E6926">
        <v>6923</v>
      </c>
      <c r="F6926">
        <f t="shared" ca="1" si="110"/>
        <v>1.4684042618040972E-2</v>
      </c>
    </row>
    <row r="6927" spans="5:6" x14ac:dyDescent="0.35">
      <c r="E6927">
        <v>6924</v>
      </c>
      <c r="F6927">
        <f t="shared" ca="1" si="110"/>
        <v>-3.7729835552672661E-2</v>
      </c>
    </row>
    <row r="6928" spans="5:6" x14ac:dyDescent="0.35">
      <c r="E6928">
        <v>6925</v>
      </c>
      <c r="F6928">
        <f t="shared" ca="1" si="110"/>
        <v>-8.7473298646036472E-3</v>
      </c>
    </row>
    <row r="6929" spans="5:6" x14ac:dyDescent="0.35">
      <c r="E6929">
        <v>6926</v>
      </c>
      <c r="F6929">
        <f t="shared" ca="1" si="110"/>
        <v>9.6897807544467189E-3</v>
      </c>
    </row>
    <row r="6930" spans="5:6" x14ac:dyDescent="0.35">
      <c r="E6930">
        <v>6927</v>
      </c>
      <c r="F6930">
        <f t="shared" ca="1" si="110"/>
        <v>-1.4307038440034335E-2</v>
      </c>
    </row>
    <row r="6931" spans="5:6" x14ac:dyDescent="0.35">
      <c r="E6931">
        <v>6928</v>
      </c>
      <c r="F6931">
        <f t="shared" ca="1" si="110"/>
        <v>7.9742387794913359E-3</v>
      </c>
    </row>
    <row r="6932" spans="5:6" x14ac:dyDescent="0.35">
      <c r="E6932">
        <v>6929</v>
      </c>
      <c r="F6932">
        <f t="shared" ca="1" si="110"/>
        <v>4.0678274508760626E-3</v>
      </c>
    </row>
    <row r="6933" spans="5:6" x14ac:dyDescent="0.35">
      <c r="E6933">
        <v>6930</v>
      </c>
      <c r="F6933">
        <f t="shared" ca="1" si="110"/>
        <v>-3.2144268310416433E-3</v>
      </c>
    </row>
    <row r="6934" spans="5:6" x14ac:dyDescent="0.35">
      <c r="E6934">
        <v>6931</v>
      </c>
      <c r="F6934">
        <f t="shared" ca="1" si="110"/>
        <v>-6.7196373518161523E-3</v>
      </c>
    </row>
    <row r="6935" spans="5:6" x14ac:dyDescent="0.35">
      <c r="E6935">
        <v>6932</v>
      </c>
      <c r="F6935">
        <f t="shared" ca="1" si="110"/>
        <v>1.3366669789526375E-3</v>
      </c>
    </row>
    <row r="6936" spans="5:6" x14ac:dyDescent="0.35">
      <c r="E6936">
        <v>6933</v>
      </c>
      <c r="F6936">
        <f t="shared" ca="1" si="110"/>
        <v>3.8293754208278785E-3</v>
      </c>
    </row>
    <row r="6937" spans="5:6" x14ac:dyDescent="0.35">
      <c r="E6937">
        <v>6934</v>
      </c>
      <c r="F6937">
        <f t="shared" ca="1" si="110"/>
        <v>3.6093703853045035E-4</v>
      </c>
    </row>
    <row r="6938" spans="5:6" x14ac:dyDescent="0.35">
      <c r="E6938">
        <v>6935</v>
      </c>
      <c r="F6938">
        <f t="shared" ca="1" si="110"/>
        <v>2.497527424636866E-2</v>
      </c>
    </row>
    <row r="6939" spans="5:6" x14ac:dyDescent="0.35">
      <c r="E6939">
        <v>6936</v>
      </c>
      <c r="F6939">
        <f t="shared" ca="1" si="110"/>
        <v>-2.2643273802996425E-2</v>
      </c>
    </row>
    <row r="6940" spans="5:6" x14ac:dyDescent="0.35">
      <c r="E6940">
        <v>6937</v>
      </c>
      <c r="F6940">
        <f t="shared" ca="1" si="110"/>
        <v>7.9114426674867407E-3</v>
      </c>
    </row>
    <row r="6941" spans="5:6" x14ac:dyDescent="0.35">
      <c r="E6941">
        <v>6938</v>
      </c>
      <c r="F6941">
        <f t="shared" ca="1" si="110"/>
        <v>-2.9008757829698213E-2</v>
      </c>
    </row>
    <row r="6942" spans="5:6" x14ac:dyDescent="0.35">
      <c r="E6942">
        <v>6939</v>
      </c>
      <c r="F6942">
        <f t="shared" ca="1" si="110"/>
        <v>5.8164133177637046E-3</v>
      </c>
    </row>
    <row r="6943" spans="5:6" x14ac:dyDescent="0.35">
      <c r="E6943">
        <v>6940</v>
      </c>
      <c r="F6943">
        <f t="shared" ca="1" si="110"/>
        <v>-3.6387467311471775E-3</v>
      </c>
    </row>
    <row r="6944" spans="5:6" x14ac:dyDescent="0.35">
      <c r="E6944">
        <v>6941</v>
      </c>
      <c r="F6944">
        <f t="shared" ca="1" si="110"/>
        <v>5.2128459976027346E-3</v>
      </c>
    </row>
    <row r="6945" spans="5:6" x14ac:dyDescent="0.35">
      <c r="E6945">
        <v>6942</v>
      </c>
      <c r="F6945">
        <f t="shared" ca="1" si="110"/>
        <v>-2.9916108112993433E-3</v>
      </c>
    </row>
    <row r="6946" spans="5:6" x14ac:dyDescent="0.35">
      <c r="E6946">
        <v>6943</v>
      </c>
      <c r="F6946">
        <f t="shared" ca="1" si="110"/>
        <v>-3.6385113202187618E-3</v>
      </c>
    </row>
    <row r="6947" spans="5:6" x14ac:dyDescent="0.35">
      <c r="E6947">
        <v>6944</v>
      </c>
      <c r="F6947">
        <f t="shared" ca="1" si="110"/>
        <v>6.7287723711261854E-3</v>
      </c>
    </row>
    <row r="6948" spans="5:6" x14ac:dyDescent="0.35">
      <c r="E6948">
        <v>6945</v>
      </c>
      <c r="F6948">
        <f t="shared" ca="1" si="110"/>
        <v>1.3191253707921098E-2</v>
      </c>
    </row>
    <row r="6949" spans="5:6" x14ac:dyDescent="0.35">
      <c r="E6949">
        <v>6946</v>
      </c>
      <c r="F6949">
        <f t="shared" ca="1" si="110"/>
        <v>-1.1564425795820491E-2</v>
      </c>
    </row>
    <row r="6950" spans="5:6" x14ac:dyDescent="0.35">
      <c r="E6950">
        <v>6947</v>
      </c>
      <c r="F6950">
        <f t="shared" ca="1" si="110"/>
        <v>-9.1871057187118653E-3</v>
      </c>
    </row>
    <row r="6951" spans="5:6" x14ac:dyDescent="0.35">
      <c r="E6951">
        <v>6948</v>
      </c>
      <c r="F6951">
        <f t="shared" ca="1" si="110"/>
        <v>-1.7354806580616479E-2</v>
      </c>
    </row>
    <row r="6952" spans="5:6" x14ac:dyDescent="0.35">
      <c r="E6952">
        <v>6949</v>
      </c>
      <c r="F6952">
        <f t="shared" ca="1" si="110"/>
        <v>8.0581793606798006E-3</v>
      </c>
    </row>
    <row r="6953" spans="5:6" x14ac:dyDescent="0.35">
      <c r="E6953">
        <v>6950</v>
      </c>
      <c r="F6953">
        <f t="shared" ca="1" si="110"/>
        <v>-7.3248977546947923E-4</v>
      </c>
    </row>
    <row r="6954" spans="5:6" x14ac:dyDescent="0.35">
      <c r="E6954">
        <v>6951</v>
      </c>
      <c r="F6954">
        <f t="shared" ca="1" si="110"/>
        <v>1.5906780743497266E-2</v>
      </c>
    </row>
    <row r="6955" spans="5:6" x14ac:dyDescent="0.35">
      <c r="E6955">
        <v>6952</v>
      </c>
      <c r="F6955">
        <f t="shared" ca="1" si="110"/>
        <v>-1.2328241373013081E-2</v>
      </c>
    </row>
    <row r="6956" spans="5:6" x14ac:dyDescent="0.35">
      <c r="E6956">
        <v>6953</v>
      </c>
      <c r="F6956">
        <f t="shared" ca="1" si="110"/>
        <v>-8.3402379236442691E-3</v>
      </c>
    </row>
    <row r="6957" spans="5:6" x14ac:dyDescent="0.35">
      <c r="E6957">
        <v>6954</v>
      </c>
      <c r="F6957">
        <f t="shared" ca="1" si="110"/>
        <v>3.4031228126291E-3</v>
      </c>
    </row>
    <row r="6958" spans="5:6" x14ac:dyDescent="0.35">
      <c r="E6958">
        <v>6955</v>
      </c>
      <c r="F6958">
        <f t="shared" ca="1" si="110"/>
        <v>1.4298705372181036E-2</v>
      </c>
    </row>
    <row r="6959" spans="5:6" x14ac:dyDescent="0.35">
      <c r="E6959">
        <v>6956</v>
      </c>
      <c r="F6959">
        <f t="shared" ca="1" si="110"/>
        <v>1.3463726510686301E-2</v>
      </c>
    </row>
    <row r="6960" spans="5:6" x14ac:dyDescent="0.35">
      <c r="E6960">
        <v>6957</v>
      </c>
      <c r="F6960">
        <f t="shared" ca="1" si="110"/>
        <v>1.9754055152343855E-3</v>
      </c>
    </row>
    <row r="6961" spans="5:6" x14ac:dyDescent="0.35">
      <c r="E6961">
        <v>6958</v>
      </c>
      <c r="F6961">
        <f t="shared" ca="1" si="110"/>
        <v>2.8371488214887419E-3</v>
      </c>
    </row>
    <row r="6962" spans="5:6" x14ac:dyDescent="0.35">
      <c r="E6962">
        <v>6959</v>
      </c>
      <c r="F6962">
        <f t="shared" ca="1" si="110"/>
        <v>4.5182306581573912E-3</v>
      </c>
    </row>
    <row r="6963" spans="5:6" x14ac:dyDescent="0.35">
      <c r="E6963">
        <v>6960</v>
      </c>
      <c r="F6963">
        <f t="shared" ca="1" si="110"/>
        <v>1.0038992031121421E-2</v>
      </c>
    </row>
    <row r="6964" spans="5:6" x14ac:dyDescent="0.35">
      <c r="E6964">
        <v>6961</v>
      </c>
      <c r="F6964">
        <f t="shared" ca="1" si="110"/>
        <v>-6.8667849520892936E-3</v>
      </c>
    </row>
    <row r="6965" spans="5:6" x14ac:dyDescent="0.35">
      <c r="E6965">
        <v>6962</v>
      </c>
      <c r="F6965">
        <f t="shared" ca="1" si="110"/>
        <v>5.6725577430825356E-3</v>
      </c>
    </row>
    <row r="6966" spans="5:6" x14ac:dyDescent="0.35">
      <c r="E6966">
        <v>6963</v>
      </c>
      <c r="F6966">
        <f t="shared" ca="1" si="110"/>
        <v>4.5103264922643433E-3</v>
      </c>
    </row>
    <row r="6967" spans="5:6" x14ac:dyDescent="0.35">
      <c r="E6967">
        <v>6964</v>
      </c>
      <c r="F6967">
        <f t="shared" ca="1" si="110"/>
        <v>1.2748294062545608E-2</v>
      </c>
    </row>
    <row r="6968" spans="5:6" x14ac:dyDescent="0.35">
      <c r="E6968">
        <v>6965</v>
      </c>
      <c r="F6968">
        <f t="shared" ca="1" si="110"/>
        <v>8.9916550403103569E-3</v>
      </c>
    </row>
    <row r="6969" spans="5:6" x14ac:dyDescent="0.35">
      <c r="E6969">
        <v>6966</v>
      </c>
      <c r="F6969">
        <f t="shared" ca="1" si="110"/>
        <v>-1.5246863800705847E-2</v>
      </c>
    </row>
    <row r="6970" spans="5:6" x14ac:dyDescent="0.35">
      <c r="E6970">
        <v>6967</v>
      </c>
      <c r="F6970">
        <f t="shared" ca="1" si="110"/>
        <v>1.5242998113313179E-2</v>
      </c>
    </row>
    <row r="6971" spans="5:6" x14ac:dyDescent="0.35">
      <c r="E6971">
        <v>6968</v>
      </c>
      <c r="F6971">
        <f t="shared" ca="1" si="110"/>
        <v>2.0031788790590796E-2</v>
      </c>
    </row>
    <row r="6972" spans="5:6" x14ac:dyDescent="0.35">
      <c r="E6972">
        <v>6969</v>
      </c>
      <c r="F6972">
        <f t="shared" ca="1" si="110"/>
        <v>2.7266307460178589E-3</v>
      </c>
    </row>
    <row r="6973" spans="5:6" x14ac:dyDescent="0.35">
      <c r="E6973">
        <v>6970</v>
      </c>
      <c r="F6973">
        <f t="shared" ca="1" si="110"/>
        <v>-4.3360994947374276E-3</v>
      </c>
    </row>
    <row r="6974" spans="5:6" x14ac:dyDescent="0.35">
      <c r="E6974">
        <v>6971</v>
      </c>
      <c r="F6974">
        <f t="shared" ca="1" si="110"/>
        <v>-1.4902268762672503E-2</v>
      </c>
    </row>
    <row r="6975" spans="5:6" x14ac:dyDescent="0.35">
      <c r="E6975">
        <v>6972</v>
      </c>
      <c r="F6975">
        <f t="shared" ca="1" si="110"/>
        <v>1.1946562540401291E-2</v>
      </c>
    </row>
    <row r="6976" spans="5:6" x14ac:dyDescent="0.35">
      <c r="E6976">
        <v>6973</v>
      </c>
      <c r="F6976">
        <f t="shared" ca="1" si="110"/>
        <v>-1.2724842291175074E-2</v>
      </c>
    </row>
    <row r="6977" spans="5:6" x14ac:dyDescent="0.35">
      <c r="E6977">
        <v>6974</v>
      </c>
      <c r="F6977">
        <f t="shared" ca="1" si="110"/>
        <v>1.5870598221945094E-2</v>
      </c>
    </row>
    <row r="6978" spans="5:6" x14ac:dyDescent="0.35">
      <c r="E6978">
        <v>6975</v>
      </c>
      <c r="F6978">
        <f t="shared" ca="1" si="110"/>
        <v>2.6806277576602758E-2</v>
      </c>
    </row>
    <row r="6979" spans="5:6" x14ac:dyDescent="0.35">
      <c r="E6979">
        <v>6976</v>
      </c>
      <c r="F6979">
        <f t="shared" ca="1" si="110"/>
        <v>1.3740967729126148E-2</v>
      </c>
    </row>
    <row r="6980" spans="5:6" x14ac:dyDescent="0.35">
      <c r="E6980">
        <v>6977</v>
      </c>
      <c r="F6980">
        <f t="shared" ca="1" si="110"/>
        <v>8.8155226118148081E-3</v>
      </c>
    </row>
    <row r="6981" spans="5:6" x14ac:dyDescent="0.35">
      <c r="E6981">
        <v>6978</v>
      </c>
      <c r="F6981">
        <f t="shared" ref="F6981:F7044" ca="1" si="111">_xlfn.NORM.INV(RAND(),M$6,M$7)</f>
        <v>2.6332414545993366E-3</v>
      </c>
    </row>
    <row r="6982" spans="5:6" x14ac:dyDescent="0.35">
      <c r="E6982">
        <v>6979</v>
      </c>
      <c r="F6982">
        <f t="shared" ca="1" si="111"/>
        <v>-1.2328409857300378E-2</v>
      </c>
    </row>
    <row r="6983" spans="5:6" x14ac:dyDescent="0.35">
      <c r="E6983">
        <v>6980</v>
      </c>
      <c r="F6983">
        <f t="shared" ca="1" si="111"/>
        <v>-1.3460274166583942E-2</v>
      </c>
    </row>
    <row r="6984" spans="5:6" x14ac:dyDescent="0.35">
      <c r="E6984">
        <v>6981</v>
      </c>
      <c r="F6984">
        <f t="shared" ca="1" si="111"/>
        <v>-5.0761395552872202E-3</v>
      </c>
    </row>
    <row r="6985" spans="5:6" x14ac:dyDescent="0.35">
      <c r="E6985">
        <v>6982</v>
      </c>
      <c r="F6985">
        <f t="shared" ca="1" si="111"/>
        <v>2.7044484650655697E-3</v>
      </c>
    </row>
    <row r="6986" spans="5:6" x14ac:dyDescent="0.35">
      <c r="E6986">
        <v>6983</v>
      </c>
      <c r="F6986">
        <f t="shared" ca="1" si="111"/>
        <v>2.9524783383256436E-2</v>
      </c>
    </row>
    <row r="6987" spans="5:6" x14ac:dyDescent="0.35">
      <c r="E6987">
        <v>6984</v>
      </c>
      <c r="F6987">
        <f t="shared" ca="1" si="111"/>
        <v>2.7947166357553304E-3</v>
      </c>
    </row>
    <row r="6988" spans="5:6" x14ac:dyDescent="0.35">
      <c r="E6988">
        <v>6985</v>
      </c>
      <c r="F6988">
        <f t="shared" ca="1" si="111"/>
        <v>1.962879397909666E-3</v>
      </c>
    </row>
    <row r="6989" spans="5:6" x14ac:dyDescent="0.35">
      <c r="E6989">
        <v>6986</v>
      </c>
      <c r="F6989">
        <f t="shared" ca="1" si="111"/>
        <v>-8.8817173317968772E-3</v>
      </c>
    </row>
    <row r="6990" spans="5:6" x14ac:dyDescent="0.35">
      <c r="E6990">
        <v>6987</v>
      </c>
      <c r="F6990">
        <f t="shared" ca="1" si="111"/>
        <v>-6.2221980308486404E-3</v>
      </c>
    </row>
    <row r="6991" spans="5:6" x14ac:dyDescent="0.35">
      <c r="E6991">
        <v>6988</v>
      </c>
      <c r="F6991">
        <f t="shared" ca="1" si="111"/>
        <v>-2.7513230938157149E-2</v>
      </c>
    </row>
    <row r="6992" spans="5:6" x14ac:dyDescent="0.35">
      <c r="E6992">
        <v>6989</v>
      </c>
      <c r="F6992">
        <f t="shared" ca="1" si="111"/>
        <v>4.1828993154125333E-4</v>
      </c>
    </row>
    <row r="6993" spans="5:6" x14ac:dyDescent="0.35">
      <c r="E6993">
        <v>6990</v>
      </c>
      <c r="F6993">
        <f t="shared" ca="1" si="111"/>
        <v>-1.9062432786038006E-2</v>
      </c>
    </row>
    <row r="6994" spans="5:6" x14ac:dyDescent="0.35">
      <c r="E6994">
        <v>6991</v>
      </c>
      <c r="F6994">
        <f t="shared" ca="1" si="111"/>
        <v>9.6554686263876973E-3</v>
      </c>
    </row>
    <row r="6995" spans="5:6" x14ac:dyDescent="0.35">
      <c r="E6995">
        <v>6992</v>
      </c>
      <c r="F6995">
        <f t="shared" ca="1" si="111"/>
        <v>1.922222480118374E-2</v>
      </c>
    </row>
    <row r="6996" spans="5:6" x14ac:dyDescent="0.35">
      <c r="E6996">
        <v>6993</v>
      </c>
      <c r="F6996">
        <f t="shared" ca="1" si="111"/>
        <v>2.3489849537318086E-2</v>
      </c>
    </row>
    <row r="6997" spans="5:6" x14ac:dyDescent="0.35">
      <c r="E6997">
        <v>6994</v>
      </c>
      <c r="F6997">
        <f t="shared" ca="1" si="111"/>
        <v>-3.0558566514358519E-3</v>
      </c>
    </row>
    <row r="6998" spans="5:6" x14ac:dyDescent="0.35">
      <c r="E6998">
        <v>6995</v>
      </c>
      <c r="F6998">
        <f t="shared" ca="1" si="111"/>
        <v>-1.225531664151901E-2</v>
      </c>
    </row>
    <row r="6999" spans="5:6" x14ac:dyDescent="0.35">
      <c r="E6999">
        <v>6996</v>
      </c>
      <c r="F6999">
        <f t="shared" ca="1" si="111"/>
        <v>-1.8226434374100293E-3</v>
      </c>
    </row>
    <row r="7000" spans="5:6" x14ac:dyDescent="0.35">
      <c r="E7000">
        <v>6997</v>
      </c>
      <c r="F7000">
        <f t="shared" ca="1" si="111"/>
        <v>9.3743412115112716E-3</v>
      </c>
    </row>
    <row r="7001" spans="5:6" x14ac:dyDescent="0.35">
      <c r="E7001">
        <v>6998</v>
      </c>
      <c r="F7001">
        <f t="shared" ca="1" si="111"/>
        <v>-1.582072498886701E-2</v>
      </c>
    </row>
    <row r="7002" spans="5:6" x14ac:dyDescent="0.35">
      <c r="E7002">
        <v>6999</v>
      </c>
      <c r="F7002">
        <f t="shared" ca="1" si="111"/>
        <v>9.3114520870640829E-3</v>
      </c>
    </row>
    <row r="7003" spans="5:6" x14ac:dyDescent="0.35">
      <c r="E7003">
        <v>7000</v>
      </c>
      <c r="F7003">
        <f t="shared" ca="1" si="111"/>
        <v>-9.4454895149716726E-3</v>
      </c>
    </row>
    <row r="7004" spans="5:6" x14ac:dyDescent="0.35">
      <c r="E7004">
        <v>7001</v>
      </c>
      <c r="F7004">
        <f t="shared" ca="1" si="111"/>
        <v>3.7259075470223255E-3</v>
      </c>
    </row>
    <row r="7005" spans="5:6" x14ac:dyDescent="0.35">
      <c r="E7005">
        <v>7002</v>
      </c>
      <c r="F7005">
        <f t="shared" ca="1" si="111"/>
        <v>2.6144786256510522E-4</v>
      </c>
    </row>
    <row r="7006" spans="5:6" x14ac:dyDescent="0.35">
      <c r="E7006">
        <v>7003</v>
      </c>
      <c r="F7006">
        <f t="shared" ca="1" si="111"/>
        <v>-2.9745571582251955E-4</v>
      </c>
    </row>
    <row r="7007" spans="5:6" x14ac:dyDescent="0.35">
      <c r="E7007">
        <v>7004</v>
      </c>
      <c r="F7007">
        <f t="shared" ca="1" si="111"/>
        <v>2.3328431646281065E-3</v>
      </c>
    </row>
    <row r="7008" spans="5:6" x14ac:dyDescent="0.35">
      <c r="E7008">
        <v>7005</v>
      </c>
      <c r="F7008">
        <f t="shared" ca="1" si="111"/>
        <v>9.5318873583409673E-3</v>
      </c>
    </row>
    <row r="7009" spans="5:6" x14ac:dyDescent="0.35">
      <c r="E7009">
        <v>7006</v>
      </c>
      <c r="F7009">
        <f t="shared" ca="1" si="111"/>
        <v>-6.4077315927299041E-3</v>
      </c>
    </row>
    <row r="7010" spans="5:6" x14ac:dyDescent="0.35">
      <c r="E7010">
        <v>7007</v>
      </c>
      <c r="F7010">
        <f t="shared" ca="1" si="111"/>
        <v>-1.1299553261402197E-2</v>
      </c>
    </row>
    <row r="7011" spans="5:6" x14ac:dyDescent="0.35">
      <c r="E7011">
        <v>7008</v>
      </c>
      <c r="F7011">
        <f t="shared" ca="1" si="111"/>
        <v>9.4706594364283494E-3</v>
      </c>
    </row>
    <row r="7012" spans="5:6" x14ac:dyDescent="0.35">
      <c r="E7012">
        <v>7009</v>
      </c>
      <c r="F7012">
        <f t="shared" ca="1" si="111"/>
        <v>-4.4377725272380875E-2</v>
      </c>
    </row>
    <row r="7013" spans="5:6" x14ac:dyDescent="0.35">
      <c r="E7013">
        <v>7010</v>
      </c>
      <c r="F7013">
        <f t="shared" ca="1" si="111"/>
        <v>1.1801828381403999E-2</v>
      </c>
    </row>
    <row r="7014" spans="5:6" x14ac:dyDescent="0.35">
      <c r="E7014">
        <v>7011</v>
      </c>
      <c r="F7014">
        <f t="shared" ca="1" si="111"/>
        <v>2.494702613060237E-2</v>
      </c>
    </row>
    <row r="7015" spans="5:6" x14ac:dyDescent="0.35">
      <c r="E7015">
        <v>7012</v>
      </c>
      <c r="F7015">
        <f t="shared" ca="1" si="111"/>
        <v>-8.4784333072903898E-3</v>
      </c>
    </row>
    <row r="7016" spans="5:6" x14ac:dyDescent="0.35">
      <c r="E7016">
        <v>7013</v>
      </c>
      <c r="F7016">
        <f t="shared" ca="1" si="111"/>
        <v>2.0520024038895503E-2</v>
      </c>
    </row>
    <row r="7017" spans="5:6" x14ac:dyDescent="0.35">
      <c r="E7017">
        <v>7014</v>
      </c>
      <c r="F7017">
        <f t="shared" ca="1" si="111"/>
        <v>-1.0321083415947297E-2</v>
      </c>
    </row>
    <row r="7018" spans="5:6" x14ac:dyDescent="0.35">
      <c r="E7018">
        <v>7015</v>
      </c>
      <c r="F7018">
        <f t="shared" ca="1" si="111"/>
        <v>1.4162703189402721E-2</v>
      </c>
    </row>
    <row r="7019" spans="5:6" x14ac:dyDescent="0.35">
      <c r="E7019">
        <v>7016</v>
      </c>
      <c r="F7019">
        <f t="shared" ca="1" si="111"/>
        <v>2.0432433407022561E-2</v>
      </c>
    </row>
    <row r="7020" spans="5:6" x14ac:dyDescent="0.35">
      <c r="E7020">
        <v>7017</v>
      </c>
      <c r="F7020">
        <f t="shared" ca="1" si="111"/>
        <v>8.2637759436550162E-3</v>
      </c>
    </row>
    <row r="7021" spans="5:6" x14ac:dyDescent="0.35">
      <c r="E7021">
        <v>7018</v>
      </c>
      <c r="F7021">
        <f t="shared" ca="1" si="111"/>
        <v>3.0294959657718154E-2</v>
      </c>
    </row>
    <row r="7022" spans="5:6" x14ac:dyDescent="0.35">
      <c r="E7022">
        <v>7019</v>
      </c>
      <c r="F7022">
        <f t="shared" ca="1" si="111"/>
        <v>-7.5225453595016822E-3</v>
      </c>
    </row>
    <row r="7023" spans="5:6" x14ac:dyDescent="0.35">
      <c r="E7023">
        <v>7020</v>
      </c>
      <c r="F7023">
        <f t="shared" ca="1" si="111"/>
        <v>-1.0550386793246453E-2</v>
      </c>
    </row>
    <row r="7024" spans="5:6" x14ac:dyDescent="0.35">
      <c r="E7024">
        <v>7021</v>
      </c>
      <c r="F7024">
        <f t="shared" ca="1" si="111"/>
        <v>-1.5927876049406297E-3</v>
      </c>
    </row>
    <row r="7025" spans="5:6" x14ac:dyDescent="0.35">
      <c r="E7025">
        <v>7022</v>
      </c>
      <c r="F7025">
        <f t="shared" ca="1" si="111"/>
        <v>2.7724275196355196E-3</v>
      </c>
    </row>
    <row r="7026" spans="5:6" x14ac:dyDescent="0.35">
      <c r="E7026">
        <v>7023</v>
      </c>
      <c r="F7026">
        <f t="shared" ca="1" si="111"/>
        <v>4.8397530543274996E-3</v>
      </c>
    </row>
    <row r="7027" spans="5:6" x14ac:dyDescent="0.35">
      <c r="E7027">
        <v>7024</v>
      </c>
      <c r="F7027">
        <f t="shared" ca="1" si="111"/>
        <v>8.2459071330935226E-3</v>
      </c>
    </row>
    <row r="7028" spans="5:6" x14ac:dyDescent="0.35">
      <c r="E7028">
        <v>7025</v>
      </c>
      <c r="F7028">
        <f t="shared" ca="1" si="111"/>
        <v>7.0515393324535967E-3</v>
      </c>
    </row>
    <row r="7029" spans="5:6" x14ac:dyDescent="0.35">
      <c r="E7029">
        <v>7026</v>
      </c>
      <c r="F7029">
        <f t="shared" ca="1" si="111"/>
        <v>-9.6075041650502801E-3</v>
      </c>
    </row>
    <row r="7030" spans="5:6" x14ac:dyDescent="0.35">
      <c r="E7030">
        <v>7027</v>
      </c>
      <c r="F7030">
        <f t="shared" ca="1" si="111"/>
        <v>1.0856323978500036E-3</v>
      </c>
    </row>
    <row r="7031" spans="5:6" x14ac:dyDescent="0.35">
      <c r="E7031">
        <v>7028</v>
      </c>
      <c r="F7031">
        <f t="shared" ca="1" si="111"/>
        <v>5.7489099888214492E-3</v>
      </c>
    </row>
    <row r="7032" spans="5:6" x14ac:dyDescent="0.35">
      <c r="E7032">
        <v>7029</v>
      </c>
      <c r="F7032">
        <f t="shared" ca="1" si="111"/>
        <v>1.5688613237437626E-2</v>
      </c>
    </row>
    <row r="7033" spans="5:6" x14ac:dyDescent="0.35">
      <c r="E7033">
        <v>7030</v>
      </c>
      <c r="F7033">
        <f t="shared" ca="1" si="111"/>
        <v>-1.4477741114751902E-3</v>
      </c>
    </row>
    <row r="7034" spans="5:6" x14ac:dyDescent="0.35">
      <c r="E7034">
        <v>7031</v>
      </c>
      <c r="F7034">
        <f t="shared" ca="1" si="111"/>
        <v>-3.4585050434944253E-2</v>
      </c>
    </row>
    <row r="7035" spans="5:6" x14ac:dyDescent="0.35">
      <c r="E7035">
        <v>7032</v>
      </c>
      <c r="F7035">
        <f t="shared" ca="1" si="111"/>
        <v>2.7612512543833075E-3</v>
      </c>
    </row>
    <row r="7036" spans="5:6" x14ac:dyDescent="0.35">
      <c r="E7036">
        <v>7033</v>
      </c>
      <c r="F7036">
        <f t="shared" ca="1" si="111"/>
        <v>2.1017532043788648E-2</v>
      </c>
    </row>
    <row r="7037" spans="5:6" x14ac:dyDescent="0.35">
      <c r="E7037">
        <v>7034</v>
      </c>
      <c r="F7037">
        <f t="shared" ca="1" si="111"/>
        <v>4.5537603433330694E-2</v>
      </c>
    </row>
    <row r="7038" spans="5:6" x14ac:dyDescent="0.35">
      <c r="E7038">
        <v>7035</v>
      </c>
      <c r="F7038">
        <f t="shared" ca="1" si="111"/>
        <v>-6.757960486753898E-3</v>
      </c>
    </row>
    <row r="7039" spans="5:6" x14ac:dyDescent="0.35">
      <c r="E7039">
        <v>7036</v>
      </c>
      <c r="F7039">
        <f t="shared" ca="1" si="111"/>
        <v>2.7853185996483669E-2</v>
      </c>
    </row>
    <row r="7040" spans="5:6" x14ac:dyDescent="0.35">
      <c r="E7040">
        <v>7037</v>
      </c>
      <c r="F7040">
        <f t="shared" ca="1" si="111"/>
        <v>7.7387015109965998E-4</v>
      </c>
    </row>
    <row r="7041" spans="5:6" x14ac:dyDescent="0.35">
      <c r="E7041">
        <v>7038</v>
      </c>
      <c r="F7041">
        <f t="shared" ca="1" si="111"/>
        <v>1.0009401211550129E-2</v>
      </c>
    </row>
    <row r="7042" spans="5:6" x14ac:dyDescent="0.35">
      <c r="E7042">
        <v>7039</v>
      </c>
      <c r="F7042">
        <f t="shared" ca="1" si="111"/>
        <v>-2.2591547961826487E-3</v>
      </c>
    </row>
    <row r="7043" spans="5:6" x14ac:dyDescent="0.35">
      <c r="E7043">
        <v>7040</v>
      </c>
      <c r="F7043">
        <f t="shared" ca="1" si="111"/>
        <v>-1.1793768942333293E-2</v>
      </c>
    </row>
    <row r="7044" spans="5:6" x14ac:dyDescent="0.35">
      <c r="E7044">
        <v>7041</v>
      </c>
      <c r="F7044">
        <f t="shared" ca="1" si="111"/>
        <v>1.2841508331611771E-2</v>
      </c>
    </row>
    <row r="7045" spans="5:6" x14ac:dyDescent="0.35">
      <c r="E7045">
        <v>7042</v>
      </c>
      <c r="F7045">
        <f t="shared" ref="F7045:F7108" ca="1" si="112">_xlfn.NORM.INV(RAND(),M$6,M$7)</f>
        <v>4.2802891000906333E-3</v>
      </c>
    </row>
    <row r="7046" spans="5:6" x14ac:dyDescent="0.35">
      <c r="E7046">
        <v>7043</v>
      </c>
      <c r="F7046">
        <f t="shared" ca="1" si="112"/>
        <v>2.6481863801531329E-2</v>
      </c>
    </row>
    <row r="7047" spans="5:6" x14ac:dyDescent="0.35">
      <c r="E7047">
        <v>7044</v>
      </c>
      <c r="F7047">
        <f t="shared" ca="1" si="112"/>
        <v>-1.0689495498010416E-2</v>
      </c>
    </row>
    <row r="7048" spans="5:6" x14ac:dyDescent="0.35">
      <c r="E7048">
        <v>7045</v>
      </c>
      <c r="F7048">
        <f t="shared" ca="1" si="112"/>
        <v>9.3984301130047802E-3</v>
      </c>
    </row>
    <row r="7049" spans="5:6" x14ac:dyDescent="0.35">
      <c r="E7049">
        <v>7046</v>
      </c>
      <c r="F7049">
        <f t="shared" ca="1" si="112"/>
        <v>3.4683025007946544E-3</v>
      </c>
    </row>
    <row r="7050" spans="5:6" x14ac:dyDescent="0.35">
      <c r="E7050">
        <v>7047</v>
      </c>
      <c r="F7050">
        <f t="shared" ca="1" si="112"/>
        <v>-1.4414384400202087E-2</v>
      </c>
    </row>
    <row r="7051" spans="5:6" x14ac:dyDescent="0.35">
      <c r="E7051">
        <v>7048</v>
      </c>
      <c r="F7051">
        <f t="shared" ca="1" si="112"/>
        <v>-1.4876865264530338E-2</v>
      </c>
    </row>
    <row r="7052" spans="5:6" x14ac:dyDescent="0.35">
      <c r="E7052">
        <v>7049</v>
      </c>
      <c r="F7052">
        <f t="shared" ca="1" si="112"/>
        <v>-6.8768527510638423E-3</v>
      </c>
    </row>
    <row r="7053" spans="5:6" x14ac:dyDescent="0.35">
      <c r="E7053">
        <v>7050</v>
      </c>
      <c r="F7053">
        <f t="shared" ca="1" si="112"/>
        <v>-2.740017968278699E-2</v>
      </c>
    </row>
    <row r="7054" spans="5:6" x14ac:dyDescent="0.35">
      <c r="E7054">
        <v>7051</v>
      </c>
      <c r="F7054">
        <f t="shared" ca="1" si="112"/>
        <v>-1.6280039937318264E-4</v>
      </c>
    </row>
    <row r="7055" spans="5:6" x14ac:dyDescent="0.35">
      <c r="E7055">
        <v>7052</v>
      </c>
      <c r="F7055">
        <f t="shared" ca="1" si="112"/>
        <v>-2.9343974952473019E-2</v>
      </c>
    </row>
    <row r="7056" spans="5:6" x14ac:dyDescent="0.35">
      <c r="E7056">
        <v>7053</v>
      </c>
      <c r="F7056">
        <f t="shared" ca="1" si="112"/>
        <v>-9.1538967727855663E-3</v>
      </c>
    </row>
    <row r="7057" spans="5:6" x14ac:dyDescent="0.35">
      <c r="E7057">
        <v>7054</v>
      </c>
      <c r="F7057">
        <f t="shared" ca="1" si="112"/>
        <v>3.693689425350336E-4</v>
      </c>
    </row>
    <row r="7058" spans="5:6" x14ac:dyDescent="0.35">
      <c r="E7058">
        <v>7055</v>
      </c>
      <c r="F7058">
        <f t="shared" ca="1" si="112"/>
        <v>3.364827762000238E-3</v>
      </c>
    </row>
    <row r="7059" spans="5:6" x14ac:dyDescent="0.35">
      <c r="E7059">
        <v>7056</v>
      </c>
      <c r="F7059">
        <f t="shared" ca="1" si="112"/>
        <v>1.3656962899416638E-2</v>
      </c>
    </row>
    <row r="7060" spans="5:6" x14ac:dyDescent="0.35">
      <c r="E7060">
        <v>7057</v>
      </c>
      <c r="F7060">
        <f t="shared" ca="1" si="112"/>
        <v>2.3366159359155488E-2</v>
      </c>
    </row>
    <row r="7061" spans="5:6" x14ac:dyDescent="0.35">
      <c r="E7061">
        <v>7058</v>
      </c>
      <c r="F7061">
        <f t="shared" ca="1" si="112"/>
        <v>-4.3819708246161264E-2</v>
      </c>
    </row>
    <row r="7062" spans="5:6" x14ac:dyDescent="0.35">
      <c r="E7062">
        <v>7059</v>
      </c>
      <c r="F7062">
        <f t="shared" ca="1" si="112"/>
        <v>-1.2226659237357648E-2</v>
      </c>
    </row>
    <row r="7063" spans="5:6" x14ac:dyDescent="0.35">
      <c r="E7063">
        <v>7060</v>
      </c>
      <c r="F7063">
        <f t="shared" ca="1" si="112"/>
        <v>3.0036137168979929E-4</v>
      </c>
    </row>
    <row r="7064" spans="5:6" x14ac:dyDescent="0.35">
      <c r="E7064">
        <v>7061</v>
      </c>
      <c r="F7064">
        <f t="shared" ca="1" si="112"/>
        <v>6.6261713908275519E-4</v>
      </c>
    </row>
    <row r="7065" spans="5:6" x14ac:dyDescent="0.35">
      <c r="E7065">
        <v>7062</v>
      </c>
      <c r="F7065">
        <f t="shared" ca="1" si="112"/>
        <v>1.6651258575052383E-2</v>
      </c>
    </row>
    <row r="7066" spans="5:6" x14ac:dyDescent="0.35">
      <c r="E7066">
        <v>7063</v>
      </c>
      <c r="F7066">
        <f t="shared" ca="1" si="112"/>
        <v>3.9841029745925401E-3</v>
      </c>
    </row>
    <row r="7067" spans="5:6" x14ac:dyDescent="0.35">
      <c r="E7067">
        <v>7064</v>
      </c>
      <c r="F7067">
        <f t="shared" ca="1" si="112"/>
        <v>-2.2668049565527121E-2</v>
      </c>
    </row>
    <row r="7068" spans="5:6" x14ac:dyDescent="0.35">
      <c r="E7068">
        <v>7065</v>
      </c>
      <c r="F7068">
        <f t="shared" ca="1" si="112"/>
        <v>5.7869271494527899E-4</v>
      </c>
    </row>
    <row r="7069" spans="5:6" x14ac:dyDescent="0.35">
      <c r="E7069">
        <v>7066</v>
      </c>
      <c r="F7069">
        <f t="shared" ca="1" si="112"/>
        <v>1.3036208317700129E-2</v>
      </c>
    </row>
    <row r="7070" spans="5:6" x14ac:dyDescent="0.35">
      <c r="E7070">
        <v>7067</v>
      </c>
      <c r="F7070">
        <f t="shared" ca="1" si="112"/>
        <v>1.2844739937236834E-2</v>
      </c>
    </row>
    <row r="7071" spans="5:6" x14ac:dyDescent="0.35">
      <c r="E7071">
        <v>7068</v>
      </c>
      <c r="F7071">
        <f t="shared" ca="1" si="112"/>
        <v>1.7892456112798532E-2</v>
      </c>
    </row>
    <row r="7072" spans="5:6" x14ac:dyDescent="0.35">
      <c r="E7072">
        <v>7069</v>
      </c>
      <c r="F7072">
        <f t="shared" ca="1" si="112"/>
        <v>-3.8334020614448679E-3</v>
      </c>
    </row>
    <row r="7073" spans="5:6" x14ac:dyDescent="0.35">
      <c r="E7073">
        <v>7070</v>
      </c>
      <c r="F7073">
        <f t="shared" ca="1" si="112"/>
        <v>3.2310115549143794E-3</v>
      </c>
    </row>
    <row r="7074" spans="5:6" x14ac:dyDescent="0.35">
      <c r="E7074">
        <v>7071</v>
      </c>
      <c r="F7074">
        <f t="shared" ca="1" si="112"/>
        <v>-1.3986456024318668E-2</v>
      </c>
    </row>
    <row r="7075" spans="5:6" x14ac:dyDescent="0.35">
      <c r="E7075">
        <v>7072</v>
      </c>
      <c r="F7075">
        <f t="shared" ca="1" si="112"/>
        <v>-2.8634812621333681E-2</v>
      </c>
    </row>
    <row r="7076" spans="5:6" x14ac:dyDescent="0.35">
      <c r="E7076">
        <v>7073</v>
      </c>
      <c r="F7076">
        <f t="shared" ca="1" si="112"/>
        <v>-8.147683644935972E-3</v>
      </c>
    </row>
    <row r="7077" spans="5:6" x14ac:dyDescent="0.35">
      <c r="E7077">
        <v>7074</v>
      </c>
      <c r="F7077">
        <f t="shared" ca="1" si="112"/>
        <v>8.433982709905417E-3</v>
      </c>
    </row>
    <row r="7078" spans="5:6" x14ac:dyDescent="0.35">
      <c r="E7078">
        <v>7075</v>
      </c>
      <c r="F7078">
        <f t="shared" ca="1" si="112"/>
        <v>1.8574427778216628E-2</v>
      </c>
    </row>
    <row r="7079" spans="5:6" x14ac:dyDescent="0.35">
      <c r="E7079">
        <v>7076</v>
      </c>
      <c r="F7079">
        <f t="shared" ca="1" si="112"/>
        <v>1.975259396038325E-3</v>
      </c>
    </row>
    <row r="7080" spans="5:6" x14ac:dyDescent="0.35">
      <c r="E7080">
        <v>7077</v>
      </c>
      <c r="F7080">
        <f t="shared" ca="1" si="112"/>
        <v>-2.378809406217848E-2</v>
      </c>
    </row>
    <row r="7081" spans="5:6" x14ac:dyDescent="0.35">
      <c r="E7081">
        <v>7078</v>
      </c>
      <c r="F7081">
        <f t="shared" ca="1" si="112"/>
        <v>1.1818735047920505E-2</v>
      </c>
    </row>
    <row r="7082" spans="5:6" x14ac:dyDescent="0.35">
      <c r="E7082">
        <v>7079</v>
      </c>
      <c r="F7082">
        <f t="shared" ca="1" si="112"/>
        <v>-7.2107314609833554E-3</v>
      </c>
    </row>
    <row r="7083" spans="5:6" x14ac:dyDescent="0.35">
      <c r="E7083">
        <v>7080</v>
      </c>
      <c r="F7083">
        <f t="shared" ca="1" si="112"/>
        <v>-1.4601517339473979E-3</v>
      </c>
    </row>
    <row r="7084" spans="5:6" x14ac:dyDescent="0.35">
      <c r="E7084">
        <v>7081</v>
      </c>
      <c r="F7084">
        <f t="shared" ca="1" si="112"/>
        <v>1.722548996115739E-2</v>
      </c>
    </row>
    <row r="7085" spans="5:6" x14ac:dyDescent="0.35">
      <c r="E7085">
        <v>7082</v>
      </c>
      <c r="F7085">
        <f t="shared" ca="1" si="112"/>
        <v>-2.5670682241315575E-2</v>
      </c>
    </row>
    <row r="7086" spans="5:6" x14ac:dyDescent="0.35">
      <c r="E7086">
        <v>7083</v>
      </c>
      <c r="F7086">
        <f t="shared" ca="1" si="112"/>
        <v>5.8877224131561722E-3</v>
      </c>
    </row>
    <row r="7087" spans="5:6" x14ac:dyDescent="0.35">
      <c r="E7087">
        <v>7084</v>
      </c>
      <c r="F7087">
        <f t="shared" ca="1" si="112"/>
        <v>-4.5641255030856595E-3</v>
      </c>
    </row>
    <row r="7088" spans="5:6" x14ac:dyDescent="0.35">
      <c r="E7088">
        <v>7085</v>
      </c>
      <c r="F7088">
        <f t="shared" ca="1" si="112"/>
        <v>5.2607182649892902E-3</v>
      </c>
    </row>
    <row r="7089" spans="5:6" x14ac:dyDescent="0.35">
      <c r="E7089">
        <v>7086</v>
      </c>
      <c r="F7089">
        <f t="shared" ca="1" si="112"/>
        <v>-8.738502456918356E-3</v>
      </c>
    </row>
    <row r="7090" spans="5:6" x14ac:dyDescent="0.35">
      <c r="E7090">
        <v>7087</v>
      </c>
      <c r="F7090">
        <f t="shared" ca="1" si="112"/>
        <v>-1.6018193579356917E-2</v>
      </c>
    </row>
    <row r="7091" spans="5:6" x14ac:dyDescent="0.35">
      <c r="E7091">
        <v>7088</v>
      </c>
      <c r="F7091">
        <f t="shared" ca="1" si="112"/>
        <v>-1.5559883802907969E-2</v>
      </c>
    </row>
    <row r="7092" spans="5:6" x14ac:dyDescent="0.35">
      <c r="E7092">
        <v>7089</v>
      </c>
      <c r="F7092">
        <f t="shared" ca="1" si="112"/>
        <v>-1.4857483984614396E-2</v>
      </c>
    </row>
    <row r="7093" spans="5:6" x14ac:dyDescent="0.35">
      <c r="E7093">
        <v>7090</v>
      </c>
      <c r="F7093">
        <f t="shared" ca="1" si="112"/>
        <v>-1.1315610946276674E-2</v>
      </c>
    </row>
    <row r="7094" spans="5:6" x14ac:dyDescent="0.35">
      <c r="E7094">
        <v>7091</v>
      </c>
      <c r="F7094">
        <f t="shared" ca="1" si="112"/>
        <v>-4.4684121691680257E-3</v>
      </c>
    </row>
    <row r="7095" spans="5:6" x14ac:dyDescent="0.35">
      <c r="E7095">
        <v>7092</v>
      </c>
      <c r="F7095">
        <f t="shared" ca="1" si="112"/>
        <v>-3.7380809717765728E-3</v>
      </c>
    </row>
    <row r="7096" spans="5:6" x14ac:dyDescent="0.35">
      <c r="E7096">
        <v>7093</v>
      </c>
      <c r="F7096">
        <f t="shared" ca="1" si="112"/>
        <v>-5.7769618270367201E-3</v>
      </c>
    </row>
    <row r="7097" spans="5:6" x14ac:dyDescent="0.35">
      <c r="E7097">
        <v>7094</v>
      </c>
      <c r="F7097">
        <f t="shared" ca="1" si="112"/>
        <v>1.6245992800030438E-2</v>
      </c>
    </row>
    <row r="7098" spans="5:6" x14ac:dyDescent="0.35">
      <c r="E7098">
        <v>7095</v>
      </c>
      <c r="F7098">
        <f t="shared" ca="1" si="112"/>
        <v>8.4193463489961509E-3</v>
      </c>
    </row>
    <row r="7099" spans="5:6" x14ac:dyDescent="0.35">
      <c r="E7099">
        <v>7096</v>
      </c>
      <c r="F7099">
        <f t="shared" ca="1" si="112"/>
        <v>-1.5157524557095315E-2</v>
      </c>
    </row>
    <row r="7100" spans="5:6" x14ac:dyDescent="0.35">
      <c r="E7100">
        <v>7097</v>
      </c>
      <c r="F7100">
        <f t="shared" ca="1" si="112"/>
        <v>2.1130541704531006E-2</v>
      </c>
    </row>
    <row r="7101" spans="5:6" x14ac:dyDescent="0.35">
      <c r="E7101">
        <v>7098</v>
      </c>
      <c r="F7101">
        <f t="shared" ca="1" si="112"/>
        <v>1.5652036680425963E-2</v>
      </c>
    </row>
    <row r="7102" spans="5:6" x14ac:dyDescent="0.35">
      <c r="E7102">
        <v>7099</v>
      </c>
      <c r="F7102">
        <f t="shared" ca="1" si="112"/>
        <v>-2.5323940692052797E-2</v>
      </c>
    </row>
    <row r="7103" spans="5:6" x14ac:dyDescent="0.35">
      <c r="E7103">
        <v>7100</v>
      </c>
      <c r="F7103">
        <f t="shared" ca="1" si="112"/>
        <v>1.0845310881007963E-2</v>
      </c>
    </row>
    <row r="7104" spans="5:6" x14ac:dyDescent="0.35">
      <c r="E7104">
        <v>7101</v>
      </c>
      <c r="F7104">
        <f t="shared" ca="1" si="112"/>
        <v>-3.447838652338258E-3</v>
      </c>
    </row>
    <row r="7105" spans="5:6" x14ac:dyDescent="0.35">
      <c r="E7105">
        <v>7102</v>
      </c>
      <c r="F7105">
        <f t="shared" ca="1" si="112"/>
        <v>-2.0179255314993004E-2</v>
      </c>
    </row>
    <row r="7106" spans="5:6" x14ac:dyDescent="0.35">
      <c r="E7106">
        <v>7103</v>
      </c>
      <c r="F7106">
        <f t="shared" ca="1" si="112"/>
        <v>4.1297336960965407E-3</v>
      </c>
    </row>
    <row r="7107" spans="5:6" x14ac:dyDescent="0.35">
      <c r="E7107">
        <v>7104</v>
      </c>
      <c r="F7107">
        <f t="shared" ca="1" si="112"/>
        <v>1.7185116403478494E-2</v>
      </c>
    </row>
    <row r="7108" spans="5:6" x14ac:dyDescent="0.35">
      <c r="E7108">
        <v>7105</v>
      </c>
      <c r="F7108">
        <f t="shared" ca="1" si="112"/>
        <v>2.2605713265192728E-3</v>
      </c>
    </row>
    <row r="7109" spans="5:6" x14ac:dyDescent="0.35">
      <c r="E7109">
        <v>7106</v>
      </c>
      <c r="F7109">
        <f t="shared" ref="F7109:F7172" ca="1" si="113">_xlfn.NORM.INV(RAND(),M$6,M$7)</f>
        <v>-5.6602625951271612E-3</v>
      </c>
    </row>
    <row r="7110" spans="5:6" x14ac:dyDescent="0.35">
      <c r="E7110">
        <v>7107</v>
      </c>
      <c r="F7110">
        <f t="shared" ca="1" si="113"/>
        <v>-1.5980055064706251E-2</v>
      </c>
    </row>
    <row r="7111" spans="5:6" x14ac:dyDescent="0.35">
      <c r="E7111">
        <v>7108</v>
      </c>
      <c r="F7111">
        <f t="shared" ca="1" si="113"/>
        <v>1.0492930485604143E-2</v>
      </c>
    </row>
    <row r="7112" spans="5:6" x14ac:dyDescent="0.35">
      <c r="E7112">
        <v>7109</v>
      </c>
      <c r="F7112">
        <f t="shared" ca="1" si="113"/>
        <v>1.1253026674404294E-2</v>
      </c>
    </row>
    <row r="7113" spans="5:6" x14ac:dyDescent="0.35">
      <c r="E7113">
        <v>7110</v>
      </c>
      <c r="F7113">
        <f t="shared" ca="1" si="113"/>
        <v>1.4701937859299933E-2</v>
      </c>
    </row>
    <row r="7114" spans="5:6" x14ac:dyDescent="0.35">
      <c r="E7114">
        <v>7111</v>
      </c>
      <c r="F7114">
        <f t="shared" ca="1" si="113"/>
        <v>-2.230125527074289E-4</v>
      </c>
    </row>
    <row r="7115" spans="5:6" x14ac:dyDescent="0.35">
      <c r="E7115">
        <v>7112</v>
      </c>
      <c r="F7115">
        <f t="shared" ca="1" si="113"/>
        <v>-2.2155701966912245E-2</v>
      </c>
    </row>
    <row r="7116" spans="5:6" x14ac:dyDescent="0.35">
      <c r="E7116">
        <v>7113</v>
      </c>
      <c r="F7116">
        <f t="shared" ca="1" si="113"/>
        <v>-1.1057917555726115E-2</v>
      </c>
    </row>
    <row r="7117" spans="5:6" x14ac:dyDescent="0.35">
      <c r="E7117">
        <v>7114</v>
      </c>
      <c r="F7117">
        <f t="shared" ca="1" si="113"/>
        <v>5.9199941092673847E-3</v>
      </c>
    </row>
    <row r="7118" spans="5:6" x14ac:dyDescent="0.35">
      <c r="E7118">
        <v>7115</v>
      </c>
      <c r="F7118">
        <f t="shared" ca="1" si="113"/>
        <v>-8.565308529985766E-4</v>
      </c>
    </row>
    <row r="7119" spans="5:6" x14ac:dyDescent="0.35">
      <c r="E7119">
        <v>7116</v>
      </c>
      <c r="F7119">
        <f t="shared" ca="1" si="113"/>
        <v>-4.7257098739175735E-3</v>
      </c>
    </row>
    <row r="7120" spans="5:6" x14ac:dyDescent="0.35">
      <c r="E7120">
        <v>7117</v>
      </c>
      <c r="F7120">
        <f t="shared" ca="1" si="113"/>
        <v>-1.8887442797487275E-2</v>
      </c>
    </row>
    <row r="7121" spans="5:6" x14ac:dyDescent="0.35">
      <c r="E7121">
        <v>7118</v>
      </c>
      <c r="F7121">
        <f t="shared" ca="1" si="113"/>
        <v>4.248828143292591E-3</v>
      </c>
    </row>
    <row r="7122" spans="5:6" x14ac:dyDescent="0.35">
      <c r="E7122">
        <v>7119</v>
      </c>
      <c r="F7122">
        <f t="shared" ca="1" si="113"/>
        <v>1.360822621530846E-2</v>
      </c>
    </row>
    <row r="7123" spans="5:6" x14ac:dyDescent="0.35">
      <c r="E7123">
        <v>7120</v>
      </c>
      <c r="F7123">
        <f t="shared" ca="1" si="113"/>
        <v>-1.8942132818292614E-3</v>
      </c>
    </row>
    <row r="7124" spans="5:6" x14ac:dyDescent="0.35">
      <c r="E7124">
        <v>7121</v>
      </c>
      <c r="F7124">
        <f t="shared" ca="1" si="113"/>
        <v>-3.6142849395313517E-3</v>
      </c>
    </row>
    <row r="7125" spans="5:6" x14ac:dyDescent="0.35">
      <c r="E7125">
        <v>7122</v>
      </c>
      <c r="F7125">
        <f t="shared" ca="1" si="113"/>
        <v>8.8802867946476006E-3</v>
      </c>
    </row>
    <row r="7126" spans="5:6" x14ac:dyDescent="0.35">
      <c r="E7126">
        <v>7123</v>
      </c>
      <c r="F7126">
        <f t="shared" ca="1" si="113"/>
        <v>-2.5706808834357865E-4</v>
      </c>
    </row>
    <row r="7127" spans="5:6" x14ac:dyDescent="0.35">
      <c r="E7127">
        <v>7124</v>
      </c>
      <c r="F7127">
        <f t="shared" ca="1" si="113"/>
        <v>5.8494796555066423E-3</v>
      </c>
    </row>
    <row r="7128" spans="5:6" x14ac:dyDescent="0.35">
      <c r="E7128">
        <v>7125</v>
      </c>
      <c r="F7128">
        <f t="shared" ca="1" si="113"/>
        <v>-1.2727704930978112E-2</v>
      </c>
    </row>
    <row r="7129" spans="5:6" x14ac:dyDescent="0.35">
      <c r="E7129">
        <v>7126</v>
      </c>
      <c r="F7129">
        <f t="shared" ca="1" si="113"/>
        <v>4.9576365131563027E-3</v>
      </c>
    </row>
    <row r="7130" spans="5:6" x14ac:dyDescent="0.35">
      <c r="E7130">
        <v>7127</v>
      </c>
      <c r="F7130">
        <f t="shared" ca="1" si="113"/>
        <v>1.9833069480331894E-2</v>
      </c>
    </row>
    <row r="7131" spans="5:6" x14ac:dyDescent="0.35">
      <c r="E7131">
        <v>7128</v>
      </c>
      <c r="F7131">
        <f t="shared" ca="1" si="113"/>
        <v>1.4944849378531345E-2</v>
      </c>
    </row>
    <row r="7132" spans="5:6" x14ac:dyDescent="0.35">
      <c r="E7132">
        <v>7129</v>
      </c>
      <c r="F7132">
        <f t="shared" ca="1" si="113"/>
        <v>-1.4632873235593907E-2</v>
      </c>
    </row>
    <row r="7133" spans="5:6" x14ac:dyDescent="0.35">
      <c r="E7133">
        <v>7130</v>
      </c>
      <c r="F7133">
        <f t="shared" ca="1" si="113"/>
        <v>1.1588966128661461E-2</v>
      </c>
    </row>
    <row r="7134" spans="5:6" x14ac:dyDescent="0.35">
      <c r="E7134">
        <v>7131</v>
      </c>
      <c r="F7134">
        <f t="shared" ca="1" si="113"/>
        <v>1.7070202370783633E-3</v>
      </c>
    </row>
    <row r="7135" spans="5:6" x14ac:dyDescent="0.35">
      <c r="E7135">
        <v>7132</v>
      </c>
      <c r="F7135">
        <f t="shared" ca="1" si="113"/>
        <v>-1.1402448885041463E-2</v>
      </c>
    </row>
    <row r="7136" spans="5:6" x14ac:dyDescent="0.35">
      <c r="E7136">
        <v>7133</v>
      </c>
      <c r="F7136">
        <f t="shared" ca="1" si="113"/>
        <v>-5.1426128071181184E-3</v>
      </c>
    </row>
    <row r="7137" spans="5:6" x14ac:dyDescent="0.35">
      <c r="E7137">
        <v>7134</v>
      </c>
      <c r="F7137">
        <f t="shared" ca="1" si="113"/>
        <v>-1.9671763511361134E-3</v>
      </c>
    </row>
    <row r="7138" spans="5:6" x14ac:dyDescent="0.35">
      <c r="E7138">
        <v>7135</v>
      </c>
      <c r="F7138">
        <f t="shared" ca="1" si="113"/>
        <v>1.7208731711003008E-2</v>
      </c>
    </row>
    <row r="7139" spans="5:6" x14ac:dyDescent="0.35">
      <c r="E7139">
        <v>7136</v>
      </c>
      <c r="F7139">
        <f t="shared" ca="1" si="113"/>
        <v>2.3326139409555934E-2</v>
      </c>
    </row>
    <row r="7140" spans="5:6" x14ac:dyDescent="0.35">
      <c r="E7140">
        <v>7137</v>
      </c>
      <c r="F7140">
        <f t="shared" ca="1" si="113"/>
        <v>-2.4449733558856664E-2</v>
      </c>
    </row>
    <row r="7141" spans="5:6" x14ac:dyDescent="0.35">
      <c r="E7141">
        <v>7138</v>
      </c>
      <c r="F7141">
        <f t="shared" ca="1" si="113"/>
        <v>-1.9843236232725062E-2</v>
      </c>
    </row>
    <row r="7142" spans="5:6" x14ac:dyDescent="0.35">
      <c r="E7142">
        <v>7139</v>
      </c>
      <c r="F7142">
        <f t="shared" ca="1" si="113"/>
        <v>-8.1173621477873582E-3</v>
      </c>
    </row>
    <row r="7143" spans="5:6" x14ac:dyDescent="0.35">
      <c r="E7143">
        <v>7140</v>
      </c>
      <c r="F7143">
        <f t="shared" ca="1" si="113"/>
        <v>-8.1001995856364844E-3</v>
      </c>
    </row>
    <row r="7144" spans="5:6" x14ac:dyDescent="0.35">
      <c r="E7144">
        <v>7141</v>
      </c>
      <c r="F7144">
        <f t="shared" ca="1" si="113"/>
        <v>-7.0962517154357831E-3</v>
      </c>
    </row>
    <row r="7145" spans="5:6" x14ac:dyDescent="0.35">
      <c r="E7145">
        <v>7142</v>
      </c>
      <c r="F7145">
        <f t="shared" ca="1" si="113"/>
        <v>7.9387208342637343E-3</v>
      </c>
    </row>
    <row r="7146" spans="5:6" x14ac:dyDescent="0.35">
      <c r="E7146">
        <v>7143</v>
      </c>
      <c r="F7146">
        <f t="shared" ca="1" si="113"/>
        <v>-1.3492543160178462E-2</v>
      </c>
    </row>
    <row r="7147" spans="5:6" x14ac:dyDescent="0.35">
      <c r="E7147">
        <v>7144</v>
      </c>
      <c r="F7147">
        <f t="shared" ca="1" si="113"/>
        <v>-6.5268803272797707E-3</v>
      </c>
    </row>
    <row r="7148" spans="5:6" x14ac:dyDescent="0.35">
      <c r="E7148">
        <v>7145</v>
      </c>
      <c r="F7148">
        <f t="shared" ca="1" si="113"/>
        <v>-1.5799979851383508E-2</v>
      </c>
    </row>
    <row r="7149" spans="5:6" x14ac:dyDescent="0.35">
      <c r="E7149">
        <v>7146</v>
      </c>
      <c r="F7149">
        <f t="shared" ca="1" si="113"/>
        <v>-5.270118215228871E-3</v>
      </c>
    </row>
    <row r="7150" spans="5:6" x14ac:dyDescent="0.35">
      <c r="E7150">
        <v>7147</v>
      </c>
      <c r="F7150">
        <f t="shared" ca="1" si="113"/>
        <v>-3.0708220811352428E-2</v>
      </c>
    </row>
    <row r="7151" spans="5:6" x14ac:dyDescent="0.35">
      <c r="E7151">
        <v>7148</v>
      </c>
      <c r="F7151">
        <f t="shared" ca="1" si="113"/>
        <v>1.4136852260172294E-2</v>
      </c>
    </row>
    <row r="7152" spans="5:6" x14ac:dyDescent="0.35">
      <c r="E7152">
        <v>7149</v>
      </c>
      <c r="F7152">
        <f t="shared" ca="1" si="113"/>
        <v>6.5586498114347481E-3</v>
      </c>
    </row>
    <row r="7153" spans="5:6" x14ac:dyDescent="0.35">
      <c r="E7153">
        <v>7150</v>
      </c>
      <c r="F7153">
        <f t="shared" ca="1" si="113"/>
        <v>6.1542408481087751E-3</v>
      </c>
    </row>
    <row r="7154" spans="5:6" x14ac:dyDescent="0.35">
      <c r="E7154">
        <v>7151</v>
      </c>
      <c r="F7154">
        <f t="shared" ca="1" si="113"/>
        <v>-4.8527911303147082E-3</v>
      </c>
    </row>
    <row r="7155" spans="5:6" x14ac:dyDescent="0.35">
      <c r="E7155">
        <v>7152</v>
      </c>
      <c r="F7155">
        <f t="shared" ca="1" si="113"/>
        <v>8.4335996956084042E-3</v>
      </c>
    </row>
    <row r="7156" spans="5:6" x14ac:dyDescent="0.35">
      <c r="E7156">
        <v>7153</v>
      </c>
      <c r="F7156">
        <f t="shared" ca="1" si="113"/>
        <v>6.606085743903021E-3</v>
      </c>
    </row>
    <row r="7157" spans="5:6" x14ac:dyDescent="0.35">
      <c r="E7157">
        <v>7154</v>
      </c>
      <c r="F7157">
        <f t="shared" ca="1" si="113"/>
        <v>-2.1088083459028885E-2</v>
      </c>
    </row>
    <row r="7158" spans="5:6" x14ac:dyDescent="0.35">
      <c r="E7158">
        <v>7155</v>
      </c>
      <c r="F7158">
        <f t="shared" ca="1" si="113"/>
        <v>-2.0327423646995503E-2</v>
      </c>
    </row>
    <row r="7159" spans="5:6" x14ac:dyDescent="0.35">
      <c r="E7159">
        <v>7156</v>
      </c>
      <c r="F7159">
        <f t="shared" ca="1" si="113"/>
        <v>4.3243977935185883E-4</v>
      </c>
    </row>
    <row r="7160" spans="5:6" x14ac:dyDescent="0.35">
      <c r="E7160">
        <v>7157</v>
      </c>
      <c r="F7160">
        <f t="shared" ca="1" si="113"/>
        <v>-1.0209501196053745E-2</v>
      </c>
    </row>
    <row r="7161" spans="5:6" x14ac:dyDescent="0.35">
      <c r="E7161">
        <v>7158</v>
      </c>
      <c r="F7161">
        <f t="shared" ca="1" si="113"/>
        <v>5.4540722413344705E-3</v>
      </c>
    </row>
    <row r="7162" spans="5:6" x14ac:dyDescent="0.35">
      <c r="E7162">
        <v>7159</v>
      </c>
      <c r="F7162">
        <f t="shared" ca="1" si="113"/>
        <v>2.0949763344456324E-2</v>
      </c>
    </row>
    <row r="7163" spans="5:6" x14ac:dyDescent="0.35">
      <c r="E7163">
        <v>7160</v>
      </c>
      <c r="F7163">
        <f t="shared" ca="1" si="113"/>
        <v>-1.412075965131439E-3</v>
      </c>
    </row>
    <row r="7164" spans="5:6" x14ac:dyDescent="0.35">
      <c r="E7164">
        <v>7161</v>
      </c>
      <c r="F7164">
        <f t="shared" ca="1" si="113"/>
        <v>-5.6852309754014891E-3</v>
      </c>
    </row>
    <row r="7165" spans="5:6" x14ac:dyDescent="0.35">
      <c r="E7165">
        <v>7162</v>
      </c>
      <c r="F7165">
        <f t="shared" ca="1" si="113"/>
        <v>3.2078369609150476E-2</v>
      </c>
    </row>
    <row r="7166" spans="5:6" x14ac:dyDescent="0.35">
      <c r="E7166">
        <v>7163</v>
      </c>
      <c r="F7166">
        <f t="shared" ca="1" si="113"/>
        <v>-2.6961340060377603E-2</v>
      </c>
    </row>
    <row r="7167" spans="5:6" x14ac:dyDescent="0.35">
      <c r="E7167">
        <v>7164</v>
      </c>
      <c r="F7167">
        <f t="shared" ca="1" si="113"/>
        <v>-1.7295184132965918E-2</v>
      </c>
    </row>
    <row r="7168" spans="5:6" x14ac:dyDescent="0.35">
      <c r="E7168">
        <v>7165</v>
      </c>
      <c r="F7168">
        <f t="shared" ca="1" si="113"/>
        <v>-1.3951979302931123E-2</v>
      </c>
    </row>
    <row r="7169" spans="5:6" x14ac:dyDescent="0.35">
      <c r="E7169">
        <v>7166</v>
      </c>
      <c r="F7169">
        <f t="shared" ca="1" si="113"/>
        <v>1.1190700320571578E-2</v>
      </c>
    </row>
    <row r="7170" spans="5:6" x14ac:dyDescent="0.35">
      <c r="E7170">
        <v>7167</v>
      </c>
      <c r="F7170">
        <f t="shared" ca="1" si="113"/>
        <v>2.5046018064974068E-2</v>
      </c>
    </row>
    <row r="7171" spans="5:6" x14ac:dyDescent="0.35">
      <c r="E7171">
        <v>7168</v>
      </c>
      <c r="F7171">
        <f t="shared" ca="1" si="113"/>
        <v>-5.3902664167084233E-3</v>
      </c>
    </row>
    <row r="7172" spans="5:6" x14ac:dyDescent="0.35">
      <c r="E7172">
        <v>7169</v>
      </c>
      <c r="F7172">
        <f t="shared" ca="1" si="113"/>
        <v>2.8175764626682268E-2</v>
      </c>
    </row>
    <row r="7173" spans="5:6" x14ac:dyDescent="0.35">
      <c r="E7173">
        <v>7170</v>
      </c>
      <c r="F7173">
        <f t="shared" ref="F7173:F7236" ca="1" si="114">_xlfn.NORM.INV(RAND(),M$6,M$7)</f>
        <v>1.0457316907211927E-2</v>
      </c>
    </row>
    <row r="7174" spans="5:6" x14ac:dyDescent="0.35">
      <c r="E7174">
        <v>7171</v>
      </c>
      <c r="F7174">
        <f t="shared" ca="1" si="114"/>
        <v>-9.2849193585185048E-4</v>
      </c>
    </row>
    <row r="7175" spans="5:6" x14ac:dyDescent="0.35">
      <c r="E7175">
        <v>7172</v>
      </c>
      <c r="F7175">
        <f t="shared" ca="1" si="114"/>
        <v>1.1414456376353403E-2</v>
      </c>
    </row>
    <row r="7176" spans="5:6" x14ac:dyDescent="0.35">
      <c r="E7176">
        <v>7173</v>
      </c>
      <c r="F7176">
        <f t="shared" ca="1" si="114"/>
        <v>-2.344754061579623E-3</v>
      </c>
    </row>
    <row r="7177" spans="5:6" x14ac:dyDescent="0.35">
      <c r="E7177">
        <v>7174</v>
      </c>
      <c r="F7177">
        <f t="shared" ca="1" si="114"/>
        <v>-2.4142517141903371E-3</v>
      </c>
    </row>
    <row r="7178" spans="5:6" x14ac:dyDescent="0.35">
      <c r="E7178">
        <v>7175</v>
      </c>
      <c r="F7178">
        <f t="shared" ca="1" si="114"/>
        <v>6.2624167128519908E-3</v>
      </c>
    </row>
    <row r="7179" spans="5:6" x14ac:dyDescent="0.35">
      <c r="E7179">
        <v>7176</v>
      </c>
      <c r="F7179">
        <f t="shared" ca="1" si="114"/>
        <v>-7.5264148510581809E-3</v>
      </c>
    </row>
    <row r="7180" spans="5:6" x14ac:dyDescent="0.35">
      <c r="E7180">
        <v>7177</v>
      </c>
      <c r="F7180">
        <f t="shared" ca="1" si="114"/>
        <v>-1.6940989324967046E-2</v>
      </c>
    </row>
    <row r="7181" spans="5:6" x14ac:dyDescent="0.35">
      <c r="E7181">
        <v>7178</v>
      </c>
      <c r="F7181">
        <f t="shared" ca="1" si="114"/>
        <v>-5.3589214913035517E-3</v>
      </c>
    </row>
    <row r="7182" spans="5:6" x14ac:dyDescent="0.35">
      <c r="E7182">
        <v>7179</v>
      </c>
      <c r="F7182">
        <f t="shared" ca="1" si="114"/>
        <v>1.4912752774377855E-2</v>
      </c>
    </row>
    <row r="7183" spans="5:6" x14ac:dyDescent="0.35">
      <c r="E7183">
        <v>7180</v>
      </c>
      <c r="F7183">
        <f t="shared" ca="1" si="114"/>
        <v>1.6687317885460674E-2</v>
      </c>
    </row>
    <row r="7184" spans="5:6" x14ac:dyDescent="0.35">
      <c r="E7184">
        <v>7181</v>
      </c>
      <c r="F7184">
        <f t="shared" ca="1" si="114"/>
        <v>-7.6261350898100392E-4</v>
      </c>
    </row>
    <row r="7185" spans="5:6" x14ac:dyDescent="0.35">
      <c r="E7185">
        <v>7182</v>
      </c>
      <c r="F7185">
        <f t="shared" ca="1" si="114"/>
        <v>-2.1822431427112564E-3</v>
      </c>
    </row>
    <row r="7186" spans="5:6" x14ac:dyDescent="0.35">
      <c r="E7186">
        <v>7183</v>
      </c>
      <c r="F7186">
        <f t="shared" ca="1" si="114"/>
        <v>-2.8613080135356662E-2</v>
      </c>
    </row>
    <row r="7187" spans="5:6" x14ac:dyDescent="0.35">
      <c r="E7187">
        <v>7184</v>
      </c>
      <c r="F7187">
        <f t="shared" ca="1" si="114"/>
        <v>-7.0975326631405556E-3</v>
      </c>
    </row>
    <row r="7188" spans="5:6" x14ac:dyDescent="0.35">
      <c r="E7188">
        <v>7185</v>
      </c>
      <c r="F7188">
        <f t="shared" ca="1" si="114"/>
        <v>6.1767018831362696E-3</v>
      </c>
    </row>
    <row r="7189" spans="5:6" x14ac:dyDescent="0.35">
      <c r="E7189">
        <v>7186</v>
      </c>
      <c r="F7189">
        <f t="shared" ca="1" si="114"/>
        <v>1.4519333331842859E-2</v>
      </c>
    </row>
    <row r="7190" spans="5:6" x14ac:dyDescent="0.35">
      <c r="E7190">
        <v>7187</v>
      </c>
      <c r="F7190">
        <f t="shared" ca="1" si="114"/>
        <v>-2.7293149865084805E-2</v>
      </c>
    </row>
    <row r="7191" spans="5:6" x14ac:dyDescent="0.35">
      <c r="E7191">
        <v>7188</v>
      </c>
      <c r="F7191">
        <f t="shared" ca="1" si="114"/>
        <v>2.4605653004042254E-2</v>
      </c>
    </row>
    <row r="7192" spans="5:6" x14ac:dyDescent="0.35">
      <c r="E7192">
        <v>7189</v>
      </c>
      <c r="F7192">
        <f t="shared" ca="1" si="114"/>
        <v>-3.85737435968313E-2</v>
      </c>
    </row>
    <row r="7193" spans="5:6" x14ac:dyDescent="0.35">
      <c r="E7193">
        <v>7190</v>
      </c>
      <c r="F7193">
        <f t="shared" ca="1" si="114"/>
        <v>-3.5442608682103383E-3</v>
      </c>
    </row>
    <row r="7194" spans="5:6" x14ac:dyDescent="0.35">
      <c r="E7194">
        <v>7191</v>
      </c>
      <c r="F7194">
        <f t="shared" ca="1" si="114"/>
        <v>1.0133960193245287E-2</v>
      </c>
    </row>
    <row r="7195" spans="5:6" x14ac:dyDescent="0.35">
      <c r="E7195">
        <v>7192</v>
      </c>
      <c r="F7195">
        <f t="shared" ca="1" si="114"/>
        <v>-1.8202653756047033E-2</v>
      </c>
    </row>
    <row r="7196" spans="5:6" x14ac:dyDescent="0.35">
      <c r="E7196">
        <v>7193</v>
      </c>
      <c r="F7196">
        <f t="shared" ca="1" si="114"/>
        <v>-1.8092656463325411E-2</v>
      </c>
    </row>
    <row r="7197" spans="5:6" x14ac:dyDescent="0.35">
      <c r="E7197">
        <v>7194</v>
      </c>
      <c r="F7197">
        <f t="shared" ca="1" si="114"/>
        <v>-3.0511753221777013E-2</v>
      </c>
    </row>
    <row r="7198" spans="5:6" x14ac:dyDescent="0.35">
      <c r="E7198">
        <v>7195</v>
      </c>
      <c r="F7198">
        <f t="shared" ca="1" si="114"/>
        <v>-1.9454932015153499E-3</v>
      </c>
    </row>
    <row r="7199" spans="5:6" x14ac:dyDescent="0.35">
      <c r="E7199">
        <v>7196</v>
      </c>
      <c r="F7199">
        <f t="shared" ca="1" si="114"/>
        <v>1.5120391876474676E-2</v>
      </c>
    </row>
    <row r="7200" spans="5:6" x14ac:dyDescent="0.35">
      <c r="E7200">
        <v>7197</v>
      </c>
      <c r="F7200">
        <f t="shared" ca="1" si="114"/>
        <v>5.0061994598802739E-3</v>
      </c>
    </row>
    <row r="7201" spans="5:6" x14ac:dyDescent="0.35">
      <c r="E7201">
        <v>7198</v>
      </c>
      <c r="F7201">
        <f t="shared" ca="1" si="114"/>
        <v>1.3722564856221678E-2</v>
      </c>
    </row>
    <row r="7202" spans="5:6" x14ac:dyDescent="0.35">
      <c r="E7202">
        <v>7199</v>
      </c>
      <c r="F7202">
        <f t="shared" ca="1" si="114"/>
        <v>-3.8789115267451015E-4</v>
      </c>
    </row>
    <row r="7203" spans="5:6" x14ac:dyDescent="0.35">
      <c r="E7203">
        <v>7200</v>
      </c>
      <c r="F7203">
        <f t="shared" ca="1" si="114"/>
        <v>2.0343793590203376E-3</v>
      </c>
    </row>
    <row r="7204" spans="5:6" x14ac:dyDescent="0.35">
      <c r="E7204">
        <v>7201</v>
      </c>
      <c r="F7204">
        <f t="shared" ca="1" si="114"/>
        <v>-1.3216238328511362E-2</v>
      </c>
    </row>
    <row r="7205" spans="5:6" x14ac:dyDescent="0.35">
      <c r="E7205">
        <v>7202</v>
      </c>
      <c r="F7205">
        <f t="shared" ca="1" si="114"/>
        <v>1.1882250962206704E-2</v>
      </c>
    </row>
    <row r="7206" spans="5:6" x14ac:dyDescent="0.35">
      <c r="E7206">
        <v>7203</v>
      </c>
      <c r="F7206">
        <f t="shared" ca="1" si="114"/>
        <v>4.2804032326656119E-3</v>
      </c>
    </row>
    <row r="7207" spans="5:6" x14ac:dyDescent="0.35">
      <c r="E7207">
        <v>7204</v>
      </c>
      <c r="F7207">
        <f t="shared" ca="1" si="114"/>
        <v>1.827378795340847E-2</v>
      </c>
    </row>
    <row r="7208" spans="5:6" x14ac:dyDescent="0.35">
      <c r="E7208">
        <v>7205</v>
      </c>
      <c r="F7208">
        <f t="shared" ca="1" si="114"/>
        <v>-3.1003400796710892E-3</v>
      </c>
    </row>
    <row r="7209" spans="5:6" x14ac:dyDescent="0.35">
      <c r="E7209">
        <v>7206</v>
      </c>
      <c r="F7209">
        <f t="shared" ca="1" si="114"/>
        <v>-2.6369702726954873E-2</v>
      </c>
    </row>
    <row r="7210" spans="5:6" x14ac:dyDescent="0.35">
      <c r="E7210">
        <v>7207</v>
      </c>
      <c r="F7210">
        <f t="shared" ca="1" si="114"/>
        <v>2.349164167266507E-2</v>
      </c>
    </row>
    <row r="7211" spans="5:6" x14ac:dyDescent="0.35">
      <c r="E7211">
        <v>7208</v>
      </c>
      <c r="F7211">
        <f t="shared" ca="1" si="114"/>
        <v>-1.78823047402768E-2</v>
      </c>
    </row>
    <row r="7212" spans="5:6" x14ac:dyDescent="0.35">
      <c r="E7212">
        <v>7209</v>
      </c>
      <c r="F7212">
        <f t="shared" ca="1" si="114"/>
        <v>1.542973332063965E-2</v>
      </c>
    </row>
    <row r="7213" spans="5:6" x14ac:dyDescent="0.35">
      <c r="E7213">
        <v>7210</v>
      </c>
      <c r="F7213">
        <f t="shared" ca="1" si="114"/>
        <v>-1.8379097082644089E-3</v>
      </c>
    </row>
    <row r="7214" spans="5:6" x14ac:dyDescent="0.35">
      <c r="E7214">
        <v>7211</v>
      </c>
      <c r="F7214">
        <f t="shared" ca="1" si="114"/>
        <v>-6.4834268840615744E-3</v>
      </c>
    </row>
    <row r="7215" spans="5:6" x14ac:dyDescent="0.35">
      <c r="E7215">
        <v>7212</v>
      </c>
      <c r="F7215">
        <f t="shared" ca="1" si="114"/>
        <v>1.7863067888283689E-2</v>
      </c>
    </row>
    <row r="7216" spans="5:6" x14ac:dyDescent="0.35">
      <c r="E7216">
        <v>7213</v>
      </c>
      <c r="F7216">
        <f t="shared" ca="1" si="114"/>
        <v>-2.364487457484488E-2</v>
      </c>
    </row>
    <row r="7217" spans="5:6" x14ac:dyDescent="0.35">
      <c r="E7217">
        <v>7214</v>
      </c>
      <c r="F7217">
        <f t="shared" ca="1" si="114"/>
        <v>1.8702064883140312E-2</v>
      </c>
    </row>
    <row r="7218" spans="5:6" x14ac:dyDescent="0.35">
      <c r="E7218">
        <v>7215</v>
      </c>
      <c r="F7218">
        <f t="shared" ca="1" si="114"/>
        <v>8.1386939190826266E-3</v>
      </c>
    </row>
    <row r="7219" spans="5:6" x14ac:dyDescent="0.35">
      <c r="E7219">
        <v>7216</v>
      </c>
      <c r="F7219">
        <f t="shared" ca="1" si="114"/>
        <v>1.6000413443606643E-2</v>
      </c>
    </row>
    <row r="7220" spans="5:6" x14ac:dyDescent="0.35">
      <c r="E7220">
        <v>7217</v>
      </c>
      <c r="F7220">
        <f t="shared" ca="1" si="114"/>
        <v>1.3371261401998123E-2</v>
      </c>
    </row>
    <row r="7221" spans="5:6" x14ac:dyDescent="0.35">
      <c r="E7221">
        <v>7218</v>
      </c>
      <c r="F7221">
        <f t="shared" ca="1" si="114"/>
        <v>6.9909834744345386E-3</v>
      </c>
    </row>
    <row r="7222" spans="5:6" x14ac:dyDescent="0.35">
      <c r="E7222">
        <v>7219</v>
      </c>
      <c r="F7222">
        <f t="shared" ca="1" si="114"/>
        <v>-1.8025206000251641E-2</v>
      </c>
    </row>
    <row r="7223" spans="5:6" x14ac:dyDescent="0.35">
      <c r="E7223">
        <v>7220</v>
      </c>
      <c r="F7223">
        <f t="shared" ca="1" si="114"/>
        <v>7.5223650314186832E-3</v>
      </c>
    </row>
    <row r="7224" spans="5:6" x14ac:dyDescent="0.35">
      <c r="E7224">
        <v>7221</v>
      </c>
      <c r="F7224">
        <f t="shared" ca="1" si="114"/>
        <v>-8.5958539609940019E-3</v>
      </c>
    </row>
    <row r="7225" spans="5:6" x14ac:dyDescent="0.35">
      <c r="E7225">
        <v>7222</v>
      </c>
      <c r="F7225">
        <f t="shared" ca="1" si="114"/>
        <v>-4.4605498464523703E-3</v>
      </c>
    </row>
    <row r="7226" spans="5:6" x14ac:dyDescent="0.35">
      <c r="E7226">
        <v>7223</v>
      </c>
      <c r="F7226">
        <f t="shared" ca="1" si="114"/>
        <v>-1.4958463106340693E-2</v>
      </c>
    </row>
    <row r="7227" spans="5:6" x14ac:dyDescent="0.35">
      <c r="E7227">
        <v>7224</v>
      </c>
      <c r="F7227">
        <f t="shared" ca="1" si="114"/>
        <v>-1.6814858432618988E-2</v>
      </c>
    </row>
    <row r="7228" spans="5:6" x14ac:dyDescent="0.35">
      <c r="E7228">
        <v>7225</v>
      </c>
      <c r="F7228">
        <f t="shared" ca="1" si="114"/>
        <v>3.4157758350933836E-3</v>
      </c>
    </row>
    <row r="7229" spans="5:6" x14ac:dyDescent="0.35">
      <c r="E7229">
        <v>7226</v>
      </c>
      <c r="F7229">
        <f t="shared" ca="1" si="114"/>
        <v>-5.414152918971302E-3</v>
      </c>
    </row>
    <row r="7230" spans="5:6" x14ac:dyDescent="0.35">
      <c r="E7230">
        <v>7227</v>
      </c>
      <c r="F7230">
        <f t="shared" ca="1" si="114"/>
        <v>-4.3016935719821748E-3</v>
      </c>
    </row>
    <row r="7231" spans="5:6" x14ac:dyDescent="0.35">
      <c r="E7231">
        <v>7228</v>
      </c>
      <c r="F7231">
        <f t="shared" ca="1" si="114"/>
        <v>-1.2088000126189451E-2</v>
      </c>
    </row>
    <row r="7232" spans="5:6" x14ac:dyDescent="0.35">
      <c r="E7232">
        <v>7229</v>
      </c>
      <c r="F7232">
        <f t="shared" ca="1" si="114"/>
        <v>-1.0490232131595684E-4</v>
      </c>
    </row>
    <row r="7233" spans="5:6" x14ac:dyDescent="0.35">
      <c r="E7233">
        <v>7230</v>
      </c>
      <c r="F7233">
        <f t="shared" ca="1" si="114"/>
        <v>1.0987515187465342E-2</v>
      </c>
    </row>
    <row r="7234" spans="5:6" x14ac:dyDescent="0.35">
      <c r="E7234">
        <v>7231</v>
      </c>
      <c r="F7234">
        <f t="shared" ca="1" si="114"/>
        <v>-3.6986730934320507E-3</v>
      </c>
    </row>
    <row r="7235" spans="5:6" x14ac:dyDescent="0.35">
      <c r="E7235">
        <v>7232</v>
      </c>
      <c r="F7235">
        <f t="shared" ca="1" si="114"/>
        <v>-4.8584857930314444E-3</v>
      </c>
    </row>
    <row r="7236" spans="5:6" x14ac:dyDescent="0.35">
      <c r="E7236">
        <v>7233</v>
      </c>
      <c r="F7236">
        <f t="shared" ca="1" si="114"/>
        <v>-3.9231805831303349E-3</v>
      </c>
    </row>
    <row r="7237" spans="5:6" x14ac:dyDescent="0.35">
      <c r="E7237">
        <v>7234</v>
      </c>
      <c r="F7237">
        <f t="shared" ref="F7237:F7300" ca="1" si="115">_xlfn.NORM.INV(RAND(),M$6,M$7)</f>
        <v>-9.6902244888246152E-3</v>
      </c>
    </row>
    <row r="7238" spans="5:6" x14ac:dyDescent="0.35">
      <c r="E7238">
        <v>7235</v>
      </c>
      <c r="F7238">
        <f t="shared" ca="1" si="115"/>
        <v>7.5948849749652423E-4</v>
      </c>
    </row>
    <row r="7239" spans="5:6" x14ac:dyDescent="0.35">
      <c r="E7239">
        <v>7236</v>
      </c>
      <c r="F7239">
        <f t="shared" ca="1" si="115"/>
        <v>4.1195081753029493E-3</v>
      </c>
    </row>
    <row r="7240" spans="5:6" x14ac:dyDescent="0.35">
      <c r="E7240">
        <v>7237</v>
      </c>
      <c r="F7240">
        <f t="shared" ca="1" si="115"/>
        <v>-3.7849006574977723E-2</v>
      </c>
    </row>
    <row r="7241" spans="5:6" x14ac:dyDescent="0.35">
      <c r="E7241">
        <v>7238</v>
      </c>
      <c r="F7241">
        <f t="shared" ca="1" si="115"/>
        <v>1.4635985233300203E-2</v>
      </c>
    </row>
    <row r="7242" spans="5:6" x14ac:dyDescent="0.35">
      <c r="E7242">
        <v>7239</v>
      </c>
      <c r="F7242">
        <f t="shared" ca="1" si="115"/>
        <v>-1.5091762108871112E-2</v>
      </c>
    </row>
    <row r="7243" spans="5:6" x14ac:dyDescent="0.35">
      <c r="E7243">
        <v>7240</v>
      </c>
      <c r="F7243">
        <f t="shared" ca="1" si="115"/>
        <v>1.687977748060888E-3</v>
      </c>
    </row>
    <row r="7244" spans="5:6" x14ac:dyDescent="0.35">
      <c r="E7244">
        <v>7241</v>
      </c>
      <c r="F7244">
        <f t="shared" ca="1" si="115"/>
        <v>-1.4602925983106788E-2</v>
      </c>
    </row>
    <row r="7245" spans="5:6" x14ac:dyDescent="0.35">
      <c r="E7245">
        <v>7242</v>
      </c>
      <c r="F7245">
        <f t="shared" ca="1" si="115"/>
        <v>-9.6847769615176723E-4</v>
      </c>
    </row>
    <row r="7246" spans="5:6" x14ac:dyDescent="0.35">
      <c r="E7246">
        <v>7243</v>
      </c>
      <c r="F7246">
        <f t="shared" ca="1" si="115"/>
        <v>-3.3235946755205952E-3</v>
      </c>
    </row>
    <row r="7247" spans="5:6" x14ac:dyDescent="0.35">
      <c r="E7247">
        <v>7244</v>
      </c>
      <c r="F7247">
        <f t="shared" ca="1" si="115"/>
        <v>-2.3778124435600984E-3</v>
      </c>
    </row>
    <row r="7248" spans="5:6" x14ac:dyDescent="0.35">
      <c r="E7248">
        <v>7245</v>
      </c>
      <c r="F7248">
        <f t="shared" ca="1" si="115"/>
        <v>2.7391147715076895E-2</v>
      </c>
    </row>
    <row r="7249" spans="5:6" x14ac:dyDescent="0.35">
      <c r="E7249">
        <v>7246</v>
      </c>
      <c r="F7249">
        <f t="shared" ca="1" si="115"/>
        <v>-1.6404772891178711E-3</v>
      </c>
    </row>
    <row r="7250" spans="5:6" x14ac:dyDescent="0.35">
      <c r="E7250">
        <v>7247</v>
      </c>
      <c r="F7250">
        <f t="shared" ca="1" si="115"/>
        <v>3.6596028688736996E-3</v>
      </c>
    </row>
    <row r="7251" spans="5:6" x14ac:dyDescent="0.35">
      <c r="E7251">
        <v>7248</v>
      </c>
      <c r="F7251">
        <f t="shared" ca="1" si="115"/>
        <v>1.9144743983757304E-2</v>
      </c>
    </row>
    <row r="7252" spans="5:6" x14ac:dyDescent="0.35">
      <c r="E7252">
        <v>7249</v>
      </c>
      <c r="F7252">
        <f t="shared" ca="1" si="115"/>
        <v>3.5217662098457276E-3</v>
      </c>
    </row>
    <row r="7253" spans="5:6" x14ac:dyDescent="0.35">
      <c r="E7253">
        <v>7250</v>
      </c>
      <c r="F7253">
        <f t="shared" ca="1" si="115"/>
        <v>-5.296262028091304E-3</v>
      </c>
    </row>
    <row r="7254" spans="5:6" x14ac:dyDescent="0.35">
      <c r="E7254">
        <v>7251</v>
      </c>
      <c r="F7254">
        <f t="shared" ca="1" si="115"/>
        <v>1.6124839388107999E-2</v>
      </c>
    </row>
    <row r="7255" spans="5:6" x14ac:dyDescent="0.35">
      <c r="E7255">
        <v>7252</v>
      </c>
      <c r="F7255">
        <f t="shared" ca="1" si="115"/>
        <v>4.8299680826317257E-3</v>
      </c>
    </row>
    <row r="7256" spans="5:6" x14ac:dyDescent="0.35">
      <c r="E7256">
        <v>7253</v>
      </c>
      <c r="F7256">
        <f t="shared" ca="1" si="115"/>
        <v>-1.3447096608204962E-2</v>
      </c>
    </row>
    <row r="7257" spans="5:6" x14ac:dyDescent="0.35">
      <c r="E7257">
        <v>7254</v>
      </c>
      <c r="F7257">
        <f t="shared" ca="1" si="115"/>
        <v>-4.1924262835916E-2</v>
      </c>
    </row>
    <row r="7258" spans="5:6" x14ac:dyDescent="0.35">
      <c r="E7258">
        <v>7255</v>
      </c>
      <c r="F7258">
        <f t="shared" ca="1" si="115"/>
        <v>-1.5175179298276954E-2</v>
      </c>
    </row>
    <row r="7259" spans="5:6" x14ac:dyDescent="0.35">
      <c r="E7259">
        <v>7256</v>
      </c>
      <c r="F7259">
        <f t="shared" ca="1" si="115"/>
        <v>8.5011451681210569E-3</v>
      </c>
    </row>
    <row r="7260" spans="5:6" x14ac:dyDescent="0.35">
      <c r="E7260">
        <v>7257</v>
      </c>
      <c r="F7260">
        <f t="shared" ca="1" si="115"/>
        <v>-3.3083597255762391E-3</v>
      </c>
    </row>
    <row r="7261" spans="5:6" x14ac:dyDescent="0.35">
      <c r="E7261">
        <v>7258</v>
      </c>
      <c r="F7261">
        <f t="shared" ca="1" si="115"/>
        <v>-1.3266288745751493E-2</v>
      </c>
    </row>
    <row r="7262" spans="5:6" x14ac:dyDescent="0.35">
      <c r="E7262">
        <v>7259</v>
      </c>
      <c r="F7262">
        <f t="shared" ca="1" si="115"/>
        <v>-1.4819821659922223E-2</v>
      </c>
    </row>
    <row r="7263" spans="5:6" x14ac:dyDescent="0.35">
      <c r="E7263">
        <v>7260</v>
      </c>
      <c r="F7263">
        <f t="shared" ca="1" si="115"/>
        <v>2.5387356741123985E-2</v>
      </c>
    </row>
    <row r="7264" spans="5:6" x14ac:dyDescent="0.35">
      <c r="E7264">
        <v>7261</v>
      </c>
      <c r="F7264">
        <f t="shared" ca="1" si="115"/>
        <v>-3.3009489222247585E-3</v>
      </c>
    </row>
    <row r="7265" spans="5:6" x14ac:dyDescent="0.35">
      <c r="E7265">
        <v>7262</v>
      </c>
      <c r="F7265">
        <f t="shared" ca="1" si="115"/>
        <v>-2.7502050952000819E-2</v>
      </c>
    </row>
    <row r="7266" spans="5:6" x14ac:dyDescent="0.35">
      <c r="E7266">
        <v>7263</v>
      </c>
      <c r="F7266">
        <f t="shared" ca="1" si="115"/>
        <v>-1.0422428476349055E-3</v>
      </c>
    </row>
    <row r="7267" spans="5:6" x14ac:dyDescent="0.35">
      <c r="E7267">
        <v>7264</v>
      </c>
      <c r="F7267">
        <f t="shared" ca="1" si="115"/>
        <v>-8.7936317430261316E-3</v>
      </c>
    </row>
    <row r="7268" spans="5:6" x14ac:dyDescent="0.35">
      <c r="E7268">
        <v>7265</v>
      </c>
      <c r="F7268">
        <f t="shared" ca="1" si="115"/>
        <v>-6.012143064908518E-3</v>
      </c>
    </row>
    <row r="7269" spans="5:6" x14ac:dyDescent="0.35">
      <c r="E7269">
        <v>7266</v>
      </c>
      <c r="F7269">
        <f t="shared" ca="1" si="115"/>
        <v>1.282391525510762E-3</v>
      </c>
    </row>
    <row r="7270" spans="5:6" x14ac:dyDescent="0.35">
      <c r="E7270">
        <v>7267</v>
      </c>
      <c r="F7270">
        <f t="shared" ca="1" si="115"/>
        <v>3.0726520275929547E-2</v>
      </c>
    </row>
    <row r="7271" spans="5:6" x14ac:dyDescent="0.35">
      <c r="E7271">
        <v>7268</v>
      </c>
      <c r="F7271">
        <f t="shared" ca="1" si="115"/>
        <v>-1.5948707146358092E-2</v>
      </c>
    </row>
    <row r="7272" spans="5:6" x14ac:dyDescent="0.35">
      <c r="E7272">
        <v>7269</v>
      </c>
      <c r="F7272">
        <f t="shared" ca="1" si="115"/>
        <v>-6.848452637657342E-4</v>
      </c>
    </row>
    <row r="7273" spans="5:6" x14ac:dyDescent="0.35">
      <c r="E7273">
        <v>7270</v>
      </c>
      <c r="F7273">
        <f t="shared" ca="1" si="115"/>
        <v>2.0800768078757328E-2</v>
      </c>
    </row>
    <row r="7274" spans="5:6" x14ac:dyDescent="0.35">
      <c r="E7274">
        <v>7271</v>
      </c>
      <c r="F7274">
        <f t="shared" ca="1" si="115"/>
        <v>-2.0355106089690032E-3</v>
      </c>
    </row>
    <row r="7275" spans="5:6" x14ac:dyDescent="0.35">
      <c r="E7275">
        <v>7272</v>
      </c>
      <c r="F7275">
        <f t="shared" ca="1" si="115"/>
        <v>8.8890661785566583E-3</v>
      </c>
    </row>
    <row r="7276" spans="5:6" x14ac:dyDescent="0.35">
      <c r="E7276">
        <v>7273</v>
      </c>
      <c r="F7276">
        <f t="shared" ca="1" si="115"/>
        <v>3.8548094036801449E-2</v>
      </c>
    </row>
    <row r="7277" spans="5:6" x14ac:dyDescent="0.35">
      <c r="E7277">
        <v>7274</v>
      </c>
      <c r="F7277">
        <f t="shared" ca="1" si="115"/>
        <v>6.6336115196371235E-3</v>
      </c>
    </row>
    <row r="7278" spans="5:6" x14ac:dyDescent="0.35">
      <c r="E7278">
        <v>7275</v>
      </c>
      <c r="F7278">
        <f t="shared" ca="1" si="115"/>
        <v>-2.5634982412381803E-2</v>
      </c>
    </row>
    <row r="7279" spans="5:6" x14ac:dyDescent="0.35">
      <c r="E7279">
        <v>7276</v>
      </c>
      <c r="F7279">
        <f t="shared" ca="1" si="115"/>
        <v>-1.8095996954463078E-2</v>
      </c>
    </row>
    <row r="7280" spans="5:6" x14ac:dyDescent="0.35">
      <c r="E7280">
        <v>7277</v>
      </c>
      <c r="F7280">
        <f t="shared" ca="1" si="115"/>
        <v>-4.6431628384164042E-3</v>
      </c>
    </row>
    <row r="7281" spans="5:6" x14ac:dyDescent="0.35">
      <c r="E7281">
        <v>7278</v>
      </c>
      <c r="F7281">
        <f t="shared" ca="1" si="115"/>
        <v>-2.2794058683164978E-2</v>
      </c>
    </row>
    <row r="7282" spans="5:6" x14ac:dyDescent="0.35">
      <c r="E7282">
        <v>7279</v>
      </c>
      <c r="F7282">
        <f t="shared" ca="1" si="115"/>
        <v>-1.8748139084661998E-3</v>
      </c>
    </row>
    <row r="7283" spans="5:6" x14ac:dyDescent="0.35">
      <c r="E7283">
        <v>7280</v>
      </c>
      <c r="F7283">
        <f t="shared" ca="1" si="115"/>
        <v>1.7017897139501855E-2</v>
      </c>
    </row>
    <row r="7284" spans="5:6" x14ac:dyDescent="0.35">
      <c r="E7284">
        <v>7281</v>
      </c>
      <c r="F7284">
        <f t="shared" ca="1" si="115"/>
        <v>2.6204389599575193E-2</v>
      </c>
    </row>
    <row r="7285" spans="5:6" x14ac:dyDescent="0.35">
      <c r="E7285">
        <v>7282</v>
      </c>
      <c r="F7285">
        <f t="shared" ca="1" si="115"/>
        <v>5.7823358063884755E-3</v>
      </c>
    </row>
    <row r="7286" spans="5:6" x14ac:dyDescent="0.35">
      <c r="E7286">
        <v>7283</v>
      </c>
      <c r="F7286">
        <f t="shared" ca="1" si="115"/>
        <v>-5.9651843380424752E-3</v>
      </c>
    </row>
    <row r="7287" spans="5:6" x14ac:dyDescent="0.35">
      <c r="E7287">
        <v>7284</v>
      </c>
      <c r="F7287">
        <f t="shared" ca="1" si="115"/>
        <v>-8.0935336896879664E-3</v>
      </c>
    </row>
    <row r="7288" spans="5:6" x14ac:dyDescent="0.35">
      <c r="E7288">
        <v>7285</v>
      </c>
      <c r="F7288">
        <f t="shared" ca="1" si="115"/>
        <v>4.8052288533294227E-3</v>
      </c>
    </row>
    <row r="7289" spans="5:6" x14ac:dyDescent="0.35">
      <c r="E7289">
        <v>7286</v>
      </c>
      <c r="F7289">
        <f t="shared" ca="1" si="115"/>
        <v>2.434050386371127E-3</v>
      </c>
    </row>
    <row r="7290" spans="5:6" x14ac:dyDescent="0.35">
      <c r="E7290">
        <v>7287</v>
      </c>
      <c r="F7290">
        <f t="shared" ca="1" si="115"/>
        <v>1.2048331821842034E-2</v>
      </c>
    </row>
    <row r="7291" spans="5:6" x14ac:dyDescent="0.35">
      <c r="E7291">
        <v>7288</v>
      </c>
      <c r="F7291">
        <f t="shared" ca="1" si="115"/>
        <v>2.3036268964124546E-2</v>
      </c>
    </row>
    <row r="7292" spans="5:6" x14ac:dyDescent="0.35">
      <c r="E7292">
        <v>7289</v>
      </c>
      <c r="F7292">
        <f t="shared" ca="1" si="115"/>
        <v>-9.1457024751301547E-4</v>
      </c>
    </row>
    <row r="7293" spans="5:6" x14ac:dyDescent="0.35">
      <c r="E7293">
        <v>7290</v>
      </c>
      <c r="F7293">
        <f t="shared" ca="1" si="115"/>
        <v>-5.2141303494736236E-3</v>
      </c>
    </row>
    <row r="7294" spans="5:6" x14ac:dyDescent="0.35">
      <c r="E7294">
        <v>7291</v>
      </c>
      <c r="F7294">
        <f t="shared" ca="1" si="115"/>
        <v>7.2448426967585515E-3</v>
      </c>
    </row>
    <row r="7295" spans="5:6" x14ac:dyDescent="0.35">
      <c r="E7295">
        <v>7292</v>
      </c>
      <c r="F7295">
        <f t="shared" ca="1" si="115"/>
        <v>-2.2165999271950626E-3</v>
      </c>
    </row>
    <row r="7296" spans="5:6" x14ac:dyDescent="0.35">
      <c r="E7296">
        <v>7293</v>
      </c>
      <c r="F7296">
        <f t="shared" ca="1" si="115"/>
        <v>1.9458345732892603E-3</v>
      </c>
    </row>
    <row r="7297" spans="5:6" x14ac:dyDescent="0.35">
      <c r="E7297">
        <v>7294</v>
      </c>
      <c r="F7297">
        <f t="shared" ca="1" si="115"/>
        <v>1.7428490898361696E-3</v>
      </c>
    </row>
    <row r="7298" spans="5:6" x14ac:dyDescent="0.35">
      <c r="E7298">
        <v>7295</v>
      </c>
      <c r="F7298">
        <f t="shared" ca="1" si="115"/>
        <v>1.4556789555690359E-2</v>
      </c>
    </row>
    <row r="7299" spans="5:6" x14ac:dyDescent="0.35">
      <c r="E7299">
        <v>7296</v>
      </c>
      <c r="F7299">
        <f t="shared" ca="1" si="115"/>
        <v>2.334133410766925E-2</v>
      </c>
    </row>
    <row r="7300" spans="5:6" x14ac:dyDescent="0.35">
      <c r="E7300">
        <v>7297</v>
      </c>
      <c r="F7300">
        <f t="shared" ca="1" si="115"/>
        <v>-2.1300767513141337E-2</v>
      </c>
    </row>
    <row r="7301" spans="5:6" x14ac:dyDescent="0.35">
      <c r="E7301">
        <v>7298</v>
      </c>
      <c r="F7301">
        <f t="shared" ref="F7301:F7364" ca="1" si="116">_xlfn.NORM.INV(RAND(),M$6,M$7)</f>
        <v>3.2668220171535851E-4</v>
      </c>
    </row>
    <row r="7302" spans="5:6" x14ac:dyDescent="0.35">
      <c r="E7302">
        <v>7299</v>
      </c>
      <c r="F7302">
        <f t="shared" ca="1" si="116"/>
        <v>1.652495461551836E-2</v>
      </c>
    </row>
    <row r="7303" spans="5:6" x14ac:dyDescent="0.35">
      <c r="E7303">
        <v>7300</v>
      </c>
      <c r="F7303">
        <f t="shared" ca="1" si="116"/>
        <v>-1.5732016001775526E-2</v>
      </c>
    </row>
    <row r="7304" spans="5:6" x14ac:dyDescent="0.35">
      <c r="E7304">
        <v>7301</v>
      </c>
      <c r="F7304">
        <f t="shared" ca="1" si="116"/>
        <v>-1.673162771061634E-3</v>
      </c>
    </row>
    <row r="7305" spans="5:6" x14ac:dyDescent="0.35">
      <c r="E7305">
        <v>7302</v>
      </c>
      <c r="F7305">
        <f t="shared" ca="1" si="116"/>
        <v>1.1704522907162729E-3</v>
      </c>
    </row>
    <row r="7306" spans="5:6" x14ac:dyDescent="0.35">
      <c r="E7306">
        <v>7303</v>
      </c>
      <c r="F7306">
        <f t="shared" ca="1" si="116"/>
        <v>-3.2786147781474533E-2</v>
      </c>
    </row>
    <row r="7307" spans="5:6" x14ac:dyDescent="0.35">
      <c r="E7307">
        <v>7304</v>
      </c>
      <c r="F7307">
        <f t="shared" ca="1" si="116"/>
        <v>2.3548847932862351E-2</v>
      </c>
    </row>
    <row r="7308" spans="5:6" x14ac:dyDescent="0.35">
      <c r="E7308">
        <v>7305</v>
      </c>
      <c r="F7308">
        <f t="shared" ca="1" si="116"/>
        <v>2.8786812314928842E-2</v>
      </c>
    </row>
    <row r="7309" spans="5:6" x14ac:dyDescent="0.35">
      <c r="E7309">
        <v>7306</v>
      </c>
      <c r="F7309">
        <f t="shared" ca="1" si="116"/>
        <v>-7.2083776719221136E-3</v>
      </c>
    </row>
    <row r="7310" spans="5:6" x14ac:dyDescent="0.35">
      <c r="E7310">
        <v>7307</v>
      </c>
      <c r="F7310">
        <f t="shared" ca="1" si="116"/>
        <v>2.637874547923879E-2</v>
      </c>
    </row>
    <row r="7311" spans="5:6" x14ac:dyDescent="0.35">
      <c r="E7311">
        <v>7308</v>
      </c>
      <c r="F7311">
        <f t="shared" ca="1" si="116"/>
        <v>7.9518916738592783E-3</v>
      </c>
    </row>
    <row r="7312" spans="5:6" x14ac:dyDescent="0.35">
      <c r="E7312">
        <v>7309</v>
      </c>
      <c r="F7312">
        <f t="shared" ca="1" si="116"/>
        <v>1.2767331027723825E-2</v>
      </c>
    </row>
    <row r="7313" spans="5:6" x14ac:dyDescent="0.35">
      <c r="E7313">
        <v>7310</v>
      </c>
      <c r="F7313">
        <f t="shared" ca="1" si="116"/>
        <v>2.1203538090583309E-2</v>
      </c>
    </row>
    <row r="7314" spans="5:6" x14ac:dyDescent="0.35">
      <c r="E7314">
        <v>7311</v>
      </c>
      <c r="F7314">
        <f t="shared" ca="1" si="116"/>
        <v>-5.319978867498903E-3</v>
      </c>
    </row>
    <row r="7315" spans="5:6" x14ac:dyDescent="0.35">
      <c r="E7315">
        <v>7312</v>
      </c>
      <c r="F7315">
        <f t="shared" ca="1" si="116"/>
        <v>7.5920815868885643E-3</v>
      </c>
    </row>
    <row r="7316" spans="5:6" x14ac:dyDescent="0.35">
      <c r="E7316">
        <v>7313</v>
      </c>
      <c r="F7316">
        <f t="shared" ca="1" si="116"/>
        <v>9.6175787126598911E-3</v>
      </c>
    </row>
    <row r="7317" spans="5:6" x14ac:dyDescent="0.35">
      <c r="E7317">
        <v>7314</v>
      </c>
      <c r="F7317">
        <f t="shared" ca="1" si="116"/>
        <v>-1.304200549015924E-2</v>
      </c>
    </row>
    <row r="7318" spans="5:6" x14ac:dyDescent="0.35">
      <c r="E7318">
        <v>7315</v>
      </c>
      <c r="F7318">
        <f t="shared" ca="1" si="116"/>
        <v>8.2809750548235527E-4</v>
      </c>
    </row>
    <row r="7319" spans="5:6" x14ac:dyDescent="0.35">
      <c r="E7319">
        <v>7316</v>
      </c>
      <c r="F7319">
        <f t="shared" ca="1" si="116"/>
        <v>-1.5977901977713049E-2</v>
      </c>
    </row>
    <row r="7320" spans="5:6" x14ac:dyDescent="0.35">
      <c r="E7320">
        <v>7317</v>
      </c>
      <c r="F7320">
        <f t="shared" ca="1" si="116"/>
        <v>-4.2738779604298404E-3</v>
      </c>
    </row>
    <row r="7321" spans="5:6" x14ac:dyDescent="0.35">
      <c r="E7321">
        <v>7318</v>
      </c>
      <c r="F7321">
        <f t="shared" ca="1" si="116"/>
        <v>2.0980379227563805E-2</v>
      </c>
    </row>
    <row r="7322" spans="5:6" x14ac:dyDescent="0.35">
      <c r="E7322">
        <v>7319</v>
      </c>
      <c r="F7322">
        <f t="shared" ca="1" si="116"/>
        <v>-4.0347528844035523E-2</v>
      </c>
    </row>
    <row r="7323" spans="5:6" x14ac:dyDescent="0.35">
      <c r="E7323">
        <v>7320</v>
      </c>
      <c r="F7323">
        <f t="shared" ca="1" si="116"/>
        <v>2.7959608145178252E-2</v>
      </c>
    </row>
    <row r="7324" spans="5:6" x14ac:dyDescent="0.35">
      <c r="E7324">
        <v>7321</v>
      </c>
      <c r="F7324">
        <f t="shared" ca="1" si="116"/>
        <v>1.6754575823241587E-2</v>
      </c>
    </row>
    <row r="7325" spans="5:6" x14ac:dyDescent="0.35">
      <c r="E7325">
        <v>7322</v>
      </c>
      <c r="F7325">
        <f t="shared" ca="1" si="116"/>
        <v>1.9671456338754126E-2</v>
      </c>
    </row>
    <row r="7326" spans="5:6" x14ac:dyDescent="0.35">
      <c r="E7326">
        <v>7323</v>
      </c>
      <c r="F7326">
        <f t="shared" ca="1" si="116"/>
        <v>-8.0049823427280776E-3</v>
      </c>
    </row>
    <row r="7327" spans="5:6" x14ac:dyDescent="0.35">
      <c r="E7327">
        <v>7324</v>
      </c>
      <c r="F7327">
        <f t="shared" ca="1" si="116"/>
        <v>1.1403573601846692E-2</v>
      </c>
    </row>
    <row r="7328" spans="5:6" x14ac:dyDescent="0.35">
      <c r="E7328">
        <v>7325</v>
      </c>
      <c r="F7328">
        <f t="shared" ca="1" si="116"/>
        <v>-2.5761805711664476E-2</v>
      </c>
    </row>
    <row r="7329" spans="5:6" x14ac:dyDescent="0.35">
      <c r="E7329">
        <v>7326</v>
      </c>
      <c r="F7329">
        <f t="shared" ca="1" si="116"/>
        <v>-5.1951069521340917E-3</v>
      </c>
    </row>
    <row r="7330" spans="5:6" x14ac:dyDescent="0.35">
      <c r="E7330">
        <v>7327</v>
      </c>
      <c r="F7330">
        <f t="shared" ca="1" si="116"/>
        <v>-1.5114197198242049E-2</v>
      </c>
    </row>
    <row r="7331" spans="5:6" x14ac:dyDescent="0.35">
      <c r="E7331">
        <v>7328</v>
      </c>
      <c r="F7331">
        <f t="shared" ca="1" si="116"/>
        <v>2.7520633825648479E-2</v>
      </c>
    </row>
    <row r="7332" spans="5:6" x14ac:dyDescent="0.35">
      <c r="E7332">
        <v>7329</v>
      </c>
      <c r="F7332">
        <f t="shared" ca="1" si="116"/>
        <v>2.2145455722314203E-2</v>
      </c>
    </row>
    <row r="7333" spans="5:6" x14ac:dyDescent="0.35">
      <c r="E7333">
        <v>7330</v>
      </c>
      <c r="F7333">
        <f t="shared" ca="1" si="116"/>
        <v>1.7527135226807586E-2</v>
      </c>
    </row>
    <row r="7334" spans="5:6" x14ac:dyDescent="0.35">
      <c r="E7334">
        <v>7331</v>
      </c>
      <c r="F7334">
        <f t="shared" ca="1" si="116"/>
        <v>-1.9862749066939026E-2</v>
      </c>
    </row>
    <row r="7335" spans="5:6" x14ac:dyDescent="0.35">
      <c r="E7335">
        <v>7332</v>
      </c>
      <c r="F7335">
        <f t="shared" ca="1" si="116"/>
        <v>8.41443249810684E-3</v>
      </c>
    </row>
    <row r="7336" spans="5:6" x14ac:dyDescent="0.35">
      <c r="E7336">
        <v>7333</v>
      </c>
      <c r="F7336">
        <f t="shared" ca="1" si="116"/>
        <v>-4.4183902493063355E-3</v>
      </c>
    </row>
    <row r="7337" spans="5:6" x14ac:dyDescent="0.35">
      <c r="E7337">
        <v>7334</v>
      </c>
      <c r="F7337">
        <f t="shared" ca="1" si="116"/>
        <v>1.5854445541389144E-2</v>
      </c>
    </row>
    <row r="7338" spans="5:6" x14ac:dyDescent="0.35">
      <c r="E7338">
        <v>7335</v>
      </c>
      <c r="F7338">
        <f t="shared" ca="1" si="116"/>
        <v>-1.8866458577149459E-2</v>
      </c>
    </row>
    <row r="7339" spans="5:6" x14ac:dyDescent="0.35">
      <c r="E7339">
        <v>7336</v>
      </c>
      <c r="F7339">
        <f t="shared" ca="1" si="116"/>
        <v>1.0375374481781711E-2</v>
      </c>
    </row>
    <row r="7340" spans="5:6" x14ac:dyDescent="0.35">
      <c r="E7340">
        <v>7337</v>
      </c>
      <c r="F7340">
        <f t="shared" ca="1" si="116"/>
        <v>-1.4048011888745337E-2</v>
      </c>
    </row>
    <row r="7341" spans="5:6" x14ac:dyDescent="0.35">
      <c r="E7341">
        <v>7338</v>
      </c>
      <c r="F7341">
        <f t="shared" ca="1" si="116"/>
        <v>-2.9352221155698428E-2</v>
      </c>
    </row>
    <row r="7342" spans="5:6" x14ac:dyDescent="0.35">
      <c r="E7342">
        <v>7339</v>
      </c>
      <c r="F7342">
        <f t="shared" ca="1" si="116"/>
        <v>-4.1178018376047893E-3</v>
      </c>
    </row>
    <row r="7343" spans="5:6" x14ac:dyDescent="0.35">
      <c r="E7343">
        <v>7340</v>
      </c>
      <c r="F7343">
        <f t="shared" ca="1" si="116"/>
        <v>-6.6064342079852336E-3</v>
      </c>
    </row>
    <row r="7344" spans="5:6" x14ac:dyDescent="0.35">
      <c r="E7344">
        <v>7341</v>
      </c>
      <c r="F7344">
        <f t="shared" ca="1" si="116"/>
        <v>-1.2063607683073387E-2</v>
      </c>
    </row>
    <row r="7345" spans="5:6" x14ac:dyDescent="0.35">
      <c r="E7345">
        <v>7342</v>
      </c>
      <c r="F7345">
        <f t="shared" ca="1" si="116"/>
        <v>1.0312868856604583E-2</v>
      </c>
    </row>
    <row r="7346" spans="5:6" x14ac:dyDescent="0.35">
      <c r="E7346">
        <v>7343</v>
      </c>
      <c r="F7346">
        <f t="shared" ca="1" si="116"/>
        <v>2.4102679433288646E-2</v>
      </c>
    </row>
    <row r="7347" spans="5:6" x14ac:dyDescent="0.35">
      <c r="E7347">
        <v>7344</v>
      </c>
      <c r="F7347">
        <f t="shared" ca="1" si="116"/>
        <v>-1.6948543742680646E-2</v>
      </c>
    </row>
    <row r="7348" spans="5:6" x14ac:dyDescent="0.35">
      <c r="E7348">
        <v>7345</v>
      </c>
      <c r="F7348">
        <f t="shared" ca="1" si="116"/>
        <v>4.1789633844543173E-3</v>
      </c>
    </row>
    <row r="7349" spans="5:6" x14ac:dyDescent="0.35">
      <c r="E7349">
        <v>7346</v>
      </c>
      <c r="F7349">
        <f t="shared" ca="1" si="116"/>
        <v>7.0474823943754645E-3</v>
      </c>
    </row>
    <row r="7350" spans="5:6" x14ac:dyDescent="0.35">
      <c r="E7350">
        <v>7347</v>
      </c>
      <c r="F7350">
        <f t="shared" ca="1" si="116"/>
        <v>1.1581029972814651E-2</v>
      </c>
    </row>
    <row r="7351" spans="5:6" x14ac:dyDescent="0.35">
      <c r="E7351">
        <v>7348</v>
      </c>
      <c r="F7351">
        <f t="shared" ca="1" si="116"/>
        <v>-1.7414275264638474E-2</v>
      </c>
    </row>
    <row r="7352" spans="5:6" x14ac:dyDescent="0.35">
      <c r="E7352">
        <v>7349</v>
      </c>
      <c r="F7352">
        <f t="shared" ca="1" si="116"/>
        <v>-3.3023316430844774E-2</v>
      </c>
    </row>
    <row r="7353" spans="5:6" x14ac:dyDescent="0.35">
      <c r="E7353">
        <v>7350</v>
      </c>
      <c r="F7353">
        <f t="shared" ca="1" si="116"/>
        <v>-4.2886054283224978E-2</v>
      </c>
    </row>
    <row r="7354" spans="5:6" x14ac:dyDescent="0.35">
      <c r="E7354">
        <v>7351</v>
      </c>
      <c r="F7354">
        <f t="shared" ca="1" si="116"/>
        <v>1.0909811391723668E-2</v>
      </c>
    </row>
    <row r="7355" spans="5:6" x14ac:dyDescent="0.35">
      <c r="E7355">
        <v>7352</v>
      </c>
      <c r="F7355">
        <f t="shared" ca="1" si="116"/>
        <v>-7.5339283524446399E-3</v>
      </c>
    </row>
    <row r="7356" spans="5:6" x14ac:dyDescent="0.35">
      <c r="E7356">
        <v>7353</v>
      </c>
      <c r="F7356">
        <f t="shared" ca="1" si="116"/>
        <v>8.2111640629012658E-3</v>
      </c>
    </row>
    <row r="7357" spans="5:6" x14ac:dyDescent="0.35">
      <c r="E7357">
        <v>7354</v>
      </c>
      <c r="F7357">
        <f t="shared" ca="1" si="116"/>
        <v>2.2682857399729563E-2</v>
      </c>
    </row>
    <row r="7358" spans="5:6" x14ac:dyDescent="0.35">
      <c r="E7358">
        <v>7355</v>
      </c>
      <c r="F7358">
        <f t="shared" ca="1" si="116"/>
        <v>1.3398788678729744E-2</v>
      </c>
    </row>
    <row r="7359" spans="5:6" x14ac:dyDescent="0.35">
      <c r="E7359">
        <v>7356</v>
      </c>
      <c r="F7359">
        <f t="shared" ca="1" si="116"/>
        <v>-2.2504222784126599E-3</v>
      </c>
    </row>
    <row r="7360" spans="5:6" x14ac:dyDescent="0.35">
      <c r="E7360">
        <v>7357</v>
      </c>
      <c r="F7360">
        <f t="shared" ca="1" si="116"/>
        <v>-4.2451887114224977E-3</v>
      </c>
    </row>
    <row r="7361" spans="5:6" x14ac:dyDescent="0.35">
      <c r="E7361">
        <v>7358</v>
      </c>
      <c r="F7361">
        <f t="shared" ca="1" si="116"/>
        <v>4.6184658929088532E-3</v>
      </c>
    </row>
    <row r="7362" spans="5:6" x14ac:dyDescent="0.35">
      <c r="E7362">
        <v>7359</v>
      </c>
      <c r="F7362">
        <f t="shared" ca="1" si="116"/>
        <v>-1.0453209429962489E-2</v>
      </c>
    </row>
    <row r="7363" spans="5:6" x14ac:dyDescent="0.35">
      <c r="E7363">
        <v>7360</v>
      </c>
      <c r="F7363">
        <f t="shared" ca="1" si="116"/>
        <v>-1.737287036498214E-2</v>
      </c>
    </row>
    <row r="7364" spans="5:6" x14ac:dyDescent="0.35">
      <c r="E7364">
        <v>7361</v>
      </c>
      <c r="F7364">
        <f t="shared" ca="1" si="116"/>
        <v>-6.777232764067778E-3</v>
      </c>
    </row>
    <row r="7365" spans="5:6" x14ac:dyDescent="0.35">
      <c r="E7365">
        <v>7362</v>
      </c>
      <c r="F7365">
        <f t="shared" ref="F7365:F7428" ca="1" si="117">_xlfn.NORM.INV(RAND(),M$6,M$7)</f>
        <v>1.3888521267419291E-2</v>
      </c>
    </row>
    <row r="7366" spans="5:6" x14ac:dyDescent="0.35">
      <c r="E7366">
        <v>7363</v>
      </c>
      <c r="F7366">
        <f t="shared" ca="1" si="117"/>
        <v>1.0800333509562979E-2</v>
      </c>
    </row>
    <row r="7367" spans="5:6" x14ac:dyDescent="0.35">
      <c r="E7367">
        <v>7364</v>
      </c>
      <c r="F7367">
        <f t="shared" ca="1" si="117"/>
        <v>-2.2443020314288544E-3</v>
      </c>
    </row>
    <row r="7368" spans="5:6" x14ac:dyDescent="0.35">
      <c r="E7368">
        <v>7365</v>
      </c>
      <c r="F7368">
        <f t="shared" ca="1" si="117"/>
        <v>-9.2025960470032194E-3</v>
      </c>
    </row>
    <row r="7369" spans="5:6" x14ac:dyDescent="0.35">
      <c r="E7369">
        <v>7366</v>
      </c>
      <c r="F7369">
        <f t="shared" ca="1" si="117"/>
        <v>7.4022547918918677E-4</v>
      </c>
    </row>
    <row r="7370" spans="5:6" x14ac:dyDescent="0.35">
      <c r="E7370">
        <v>7367</v>
      </c>
      <c r="F7370">
        <f t="shared" ca="1" si="117"/>
        <v>-6.3556946762625766E-3</v>
      </c>
    </row>
    <row r="7371" spans="5:6" x14ac:dyDescent="0.35">
      <c r="E7371">
        <v>7368</v>
      </c>
      <c r="F7371">
        <f t="shared" ca="1" si="117"/>
        <v>-1.5446437834655449E-2</v>
      </c>
    </row>
    <row r="7372" spans="5:6" x14ac:dyDescent="0.35">
      <c r="E7372">
        <v>7369</v>
      </c>
      <c r="F7372">
        <f t="shared" ca="1" si="117"/>
        <v>2.651711199439842E-3</v>
      </c>
    </row>
    <row r="7373" spans="5:6" x14ac:dyDescent="0.35">
      <c r="E7373">
        <v>7370</v>
      </c>
      <c r="F7373">
        <f t="shared" ca="1" si="117"/>
        <v>-2.1822076416423815E-2</v>
      </c>
    </row>
    <row r="7374" spans="5:6" x14ac:dyDescent="0.35">
      <c r="E7374">
        <v>7371</v>
      </c>
      <c r="F7374">
        <f t="shared" ca="1" si="117"/>
        <v>1.289411765774877E-4</v>
      </c>
    </row>
    <row r="7375" spans="5:6" x14ac:dyDescent="0.35">
      <c r="E7375">
        <v>7372</v>
      </c>
      <c r="F7375">
        <f t="shared" ca="1" si="117"/>
        <v>-2.0843608383006376E-3</v>
      </c>
    </row>
    <row r="7376" spans="5:6" x14ac:dyDescent="0.35">
      <c r="E7376">
        <v>7373</v>
      </c>
      <c r="F7376">
        <f t="shared" ca="1" si="117"/>
        <v>-1.0270007989046493E-2</v>
      </c>
    </row>
    <row r="7377" spans="5:6" x14ac:dyDescent="0.35">
      <c r="E7377">
        <v>7374</v>
      </c>
      <c r="F7377">
        <f t="shared" ca="1" si="117"/>
        <v>8.1099942082646995E-3</v>
      </c>
    </row>
    <row r="7378" spans="5:6" x14ac:dyDescent="0.35">
      <c r="E7378">
        <v>7375</v>
      </c>
      <c r="F7378">
        <f t="shared" ca="1" si="117"/>
        <v>1.6547785973691106E-2</v>
      </c>
    </row>
    <row r="7379" spans="5:6" x14ac:dyDescent="0.35">
      <c r="E7379">
        <v>7376</v>
      </c>
      <c r="F7379">
        <f t="shared" ca="1" si="117"/>
        <v>1.3962322548461742E-2</v>
      </c>
    </row>
    <row r="7380" spans="5:6" x14ac:dyDescent="0.35">
      <c r="E7380">
        <v>7377</v>
      </c>
      <c r="F7380">
        <f t="shared" ca="1" si="117"/>
        <v>-1.1587199026668575E-2</v>
      </c>
    </row>
    <row r="7381" spans="5:6" x14ac:dyDescent="0.35">
      <c r="E7381">
        <v>7378</v>
      </c>
      <c r="F7381">
        <f t="shared" ca="1" si="117"/>
        <v>1.0054816949875344E-2</v>
      </c>
    </row>
    <row r="7382" spans="5:6" x14ac:dyDescent="0.35">
      <c r="E7382">
        <v>7379</v>
      </c>
      <c r="F7382">
        <f t="shared" ca="1" si="117"/>
        <v>1.1835752504279855E-2</v>
      </c>
    </row>
    <row r="7383" spans="5:6" x14ac:dyDescent="0.35">
      <c r="E7383">
        <v>7380</v>
      </c>
      <c r="F7383">
        <f t="shared" ca="1" si="117"/>
        <v>-1.6398208165632078E-2</v>
      </c>
    </row>
    <row r="7384" spans="5:6" x14ac:dyDescent="0.35">
      <c r="E7384">
        <v>7381</v>
      </c>
      <c r="F7384">
        <f t="shared" ca="1" si="117"/>
        <v>-2.3490170247640143E-3</v>
      </c>
    </row>
    <row r="7385" spans="5:6" x14ac:dyDescent="0.35">
      <c r="E7385">
        <v>7382</v>
      </c>
      <c r="F7385">
        <f t="shared" ca="1" si="117"/>
        <v>8.3852356730951903E-3</v>
      </c>
    </row>
    <row r="7386" spans="5:6" x14ac:dyDescent="0.35">
      <c r="E7386">
        <v>7383</v>
      </c>
      <c r="F7386">
        <f t="shared" ca="1" si="117"/>
        <v>1.5411543067791343E-2</v>
      </c>
    </row>
    <row r="7387" spans="5:6" x14ac:dyDescent="0.35">
      <c r="E7387">
        <v>7384</v>
      </c>
      <c r="F7387">
        <f t="shared" ca="1" si="117"/>
        <v>3.2839292137643271E-2</v>
      </c>
    </row>
    <row r="7388" spans="5:6" x14ac:dyDescent="0.35">
      <c r="E7388">
        <v>7385</v>
      </c>
      <c r="F7388">
        <f t="shared" ca="1" si="117"/>
        <v>-1.0450328829073464E-2</v>
      </c>
    </row>
    <row r="7389" spans="5:6" x14ac:dyDescent="0.35">
      <c r="E7389">
        <v>7386</v>
      </c>
      <c r="F7389">
        <f t="shared" ca="1" si="117"/>
        <v>2.2649035432207006E-3</v>
      </c>
    </row>
    <row r="7390" spans="5:6" x14ac:dyDescent="0.35">
      <c r="E7390">
        <v>7387</v>
      </c>
      <c r="F7390">
        <f t="shared" ca="1" si="117"/>
        <v>1.6064326010208612E-2</v>
      </c>
    </row>
    <row r="7391" spans="5:6" x14ac:dyDescent="0.35">
      <c r="E7391">
        <v>7388</v>
      </c>
      <c r="F7391">
        <f t="shared" ca="1" si="117"/>
        <v>1.5398020463759403E-2</v>
      </c>
    </row>
    <row r="7392" spans="5:6" x14ac:dyDescent="0.35">
      <c r="E7392">
        <v>7389</v>
      </c>
      <c r="F7392">
        <f t="shared" ca="1" si="117"/>
        <v>1.0133428473049469E-2</v>
      </c>
    </row>
    <row r="7393" spans="5:6" x14ac:dyDescent="0.35">
      <c r="E7393">
        <v>7390</v>
      </c>
      <c r="F7393">
        <f t="shared" ca="1" si="117"/>
        <v>2.3434888494813483E-2</v>
      </c>
    </row>
    <row r="7394" spans="5:6" x14ac:dyDescent="0.35">
      <c r="E7394">
        <v>7391</v>
      </c>
      <c r="F7394">
        <f t="shared" ca="1" si="117"/>
        <v>-2.2449329531450065E-2</v>
      </c>
    </row>
    <row r="7395" spans="5:6" x14ac:dyDescent="0.35">
      <c r="E7395">
        <v>7392</v>
      </c>
      <c r="F7395">
        <f t="shared" ca="1" si="117"/>
        <v>2.8742964673324233E-3</v>
      </c>
    </row>
    <row r="7396" spans="5:6" x14ac:dyDescent="0.35">
      <c r="E7396">
        <v>7393</v>
      </c>
      <c r="F7396">
        <f t="shared" ca="1" si="117"/>
        <v>-2.4201562234059337E-2</v>
      </c>
    </row>
    <row r="7397" spans="5:6" x14ac:dyDescent="0.35">
      <c r="E7397">
        <v>7394</v>
      </c>
      <c r="F7397">
        <f t="shared" ca="1" si="117"/>
        <v>2.6585262487870538E-2</v>
      </c>
    </row>
    <row r="7398" spans="5:6" x14ac:dyDescent="0.35">
      <c r="E7398">
        <v>7395</v>
      </c>
      <c r="F7398">
        <f t="shared" ca="1" si="117"/>
        <v>7.6898166176281122E-3</v>
      </c>
    </row>
    <row r="7399" spans="5:6" x14ac:dyDescent="0.35">
      <c r="E7399">
        <v>7396</v>
      </c>
      <c r="F7399">
        <f t="shared" ca="1" si="117"/>
        <v>1.2544894373618887E-2</v>
      </c>
    </row>
    <row r="7400" spans="5:6" x14ac:dyDescent="0.35">
      <c r="E7400">
        <v>7397</v>
      </c>
      <c r="F7400">
        <f t="shared" ca="1" si="117"/>
        <v>-2.3226947473780808E-2</v>
      </c>
    </row>
    <row r="7401" spans="5:6" x14ac:dyDescent="0.35">
      <c r="E7401">
        <v>7398</v>
      </c>
      <c r="F7401">
        <f t="shared" ca="1" si="117"/>
        <v>1.746427170273745E-3</v>
      </c>
    </row>
    <row r="7402" spans="5:6" x14ac:dyDescent="0.35">
      <c r="E7402">
        <v>7399</v>
      </c>
      <c r="F7402">
        <f t="shared" ca="1" si="117"/>
        <v>1.387051969528891E-3</v>
      </c>
    </row>
    <row r="7403" spans="5:6" x14ac:dyDescent="0.35">
      <c r="E7403">
        <v>7400</v>
      </c>
      <c r="F7403">
        <f t="shared" ca="1" si="117"/>
        <v>4.0716118030748056E-3</v>
      </c>
    </row>
    <row r="7404" spans="5:6" x14ac:dyDescent="0.35">
      <c r="E7404">
        <v>7401</v>
      </c>
      <c r="F7404">
        <f t="shared" ca="1" si="117"/>
        <v>2.2462098163600928E-2</v>
      </c>
    </row>
    <row r="7405" spans="5:6" x14ac:dyDescent="0.35">
      <c r="E7405">
        <v>7402</v>
      </c>
      <c r="F7405">
        <f t="shared" ca="1" si="117"/>
        <v>-1.9210644654960793E-2</v>
      </c>
    </row>
    <row r="7406" spans="5:6" x14ac:dyDescent="0.35">
      <c r="E7406">
        <v>7403</v>
      </c>
      <c r="F7406">
        <f t="shared" ca="1" si="117"/>
        <v>-2.0857220879324925E-2</v>
      </c>
    </row>
    <row r="7407" spans="5:6" x14ac:dyDescent="0.35">
      <c r="E7407">
        <v>7404</v>
      </c>
      <c r="F7407">
        <f t="shared" ca="1" si="117"/>
        <v>2.3359820664403952E-2</v>
      </c>
    </row>
    <row r="7408" spans="5:6" x14ac:dyDescent="0.35">
      <c r="E7408">
        <v>7405</v>
      </c>
      <c r="F7408">
        <f t="shared" ca="1" si="117"/>
        <v>1.3047288371089384E-3</v>
      </c>
    </row>
    <row r="7409" spans="5:6" x14ac:dyDescent="0.35">
      <c r="E7409">
        <v>7406</v>
      </c>
      <c r="F7409">
        <f t="shared" ca="1" si="117"/>
        <v>4.9836933687147601E-3</v>
      </c>
    </row>
    <row r="7410" spans="5:6" x14ac:dyDescent="0.35">
      <c r="E7410">
        <v>7407</v>
      </c>
      <c r="F7410">
        <f t="shared" ca="1" si="117"/>
        <v>-1.2730110198183556E-2</v>
      </c>
    </row>
    <row r="7411" spans="5:6" x14ac:dyDescent="0.35">
      <c r="E7411">
        <v>7408</v>
      </c>
      <c r="F7411">
        <f t="shared" ca="1" si="117"/>
        <v>1.6554631346328567E-2</v>
      </c>
    </row>
    <row r="7412" spans="5:6" x14ac:dyDescent="0.35">
      <c r="E7412">
        <v>7409</v>
      </c>
      <c r="F7412">
        <f t="shared" ca="1" si="117"/>
        <v>-1.1186259420434158E-2</v>
      </c>
    </row>
    <row r="7413" spans="5:6" x14ac:dyDescent="0.35">
      <c r="E7413">
        <v>7410</v>
      </c>
      <c r="F7413">
        <f t="shared" ca="1" si="117"/>
        <v>-6.9660907556338405E-3</v>
      </c>
    </row>
    <row r="7414" spans="5:6" x14ac:dyDescent="0.35">
      <c r="E7414">
        <v>7411</v>
      </c>
      <c r="F7414">
        <f t="shared" ca="1" si="117"/>
        <v>-6.7140329073035465E-3</v>
      </c>
    </row>
    <row r="7415" spans="5:6" x14ac:dyDescent="0.35">
      <c r="E7415">
        <v>7412</v>
      </c>
      <c r="F7415">
        <f t="shared" ca="1" si="117"/>
        <v>3.1783656219112532E-3</v>
      </c>
    </row>
    <row r="7416" spans="5:6" x14ac:dyDescent="0.35">
      <c r="E7416">
        <v>7413</v>
      </c>
      <c r="F7416">
        <f t="shared" ca="1" si="117"/>
        <v>1.3397270073381469E-2</v>
      </c>
    </row>
    <row r="7417" spans="5:6" x14ac:dyDescent="0.35">
      <c r="E7417">
        <v>7414</v>
      </c>
      <c r="F7417">
        <f t="shared" ca="1" si="117"/>
        <v>-1.21590816079023E-2</v>
      </c>
    </row>
    <row r="7418" spans="5:6" x14ac:dyDescent="0.35">
      <c r="E7418">
        <v>7415</v>
      </c>
      <c r="F7418">
        <f t="shared" ca="1" si="117"/>
        <v>1.5775652506762723E-2</v>
      </c>
    </row>
    <row r="7419" spans="5:6" x14ac:dyDescent="0.35">
      <c r="E7419">
        <v>7416</v>
      </c>
      <c r="F7419">
        <f t="shared" ca="1" si="117"/>
        <v>-3.1605868961323731E-3</v>
      </c>
    </row>
    <row r="7420" spans="5:6" x14ac:dyDescent="0.35">
      <c r="E7420">
        <v>7417</v>
      </c>
      <c r="F7420">
        <f t="shared" ca="1" si="117"/>
        <v>-3.1688541871336784E-3</v>
      </c>
    </row>
    <row r="7421" spans="5:6" x14ac:dyDescent="0.35">
      <c r="E7421">
        <v>7418</v>
      </c>
      <c r="F7421">
        <f t="shared" ca="1" si="117"/>
        <v>2.364884322457813E-2</v>
      </c>
    </row>
    <row r="7422" spans="5:6" x14ac:dyDescent="0.35">
      <c r="E7422">
        <v>7419</v>
      </c>
      <c r="F7422">
        <f t="shared" ca="1" si="117"/>
        <v>9.5807819526923556E-3</v>
      </c>
    </row>
    <row r="7423" spans="5:6" x14ac:dyDescent="0.35">
      <c r="E7423">
        <v>7420</v>
      </c>
      <c r="F7423">
        <f t="shared" ca="1" si="117"/>
        <v>-1.4001154816847033E-2</v>
      </c>
    </row>
    <row r="7424" spans="5:6" x14ac:dyDescent="0.35">
      <c r="E7424">
        <v>7421</v>
      </c>
      <c r="F7424">
        <f t="shared" ca="1" si="117"/>
        <v>-5.3719984822236432E-3</v>
      </c>
    </row>
    <row r="7425" spans="5:6" x14ac:dyDescent="0.35">
      <c r="E7425">
        <v>7422</v>
      </c>
      <c r="F7425">
        <f t="shared" ca="1" si="117"/>
        <v>1.768629647003616E-2</v>
      </c>
    </row>
    <row r="7426" spans="5:6" x14ac:dyDescent="0.35">
      <c r="E7426">
        <v>7423</v>
      </c>
      <c r="F7426">
        <f t="shared" ca="1" si="117"/>
        <v>-4.7151517627661305E-3</v>
      </c>
    </row>
    <row r="7427" spans="5:6" x14ac:dyDescent="0.35">
      <c r="E7427">
        <v>7424</v>
      </c>
      <c r="F7427">
        <f t="shared" ca="1" si="117"/>
        <v>1.5993057188218453E-2</v>
      </c>
    </row>
    <row r="7428" spans="5:6" x14ac:dyDescent="0.35">
      <c r="E7428">
        <v>7425</v>
      </c>
      <c r="F7428">
        <f t="shared" ca="1" si="117"/>
        <v>-1.1855159263038555E-2</v>
      </c>
    </row>
    <row r="7429" spans="5:6" x14ac:dyDescent="0.35">
      <c r="E7429">
        <v>7426</v>
      </c>
      <c r="F7429">
        <f t="shared" ref="F7429:F7492" ca="1" si="118">_xlfn.NORM.INV(RAND(),M$6,M$7)</f>
        <v>2.9206901803235218E-3</v>
      </c>
    </row>
    <row r="7430" spans="5:6" x14ac:dyDescent="0.35">
      <c r="E7430">
        <v>7427</v>
      </c>
      <c r="F7430">
        <f t="shared" ca="1" si="118"/>
        <v>6.5397516873347905E-3</v>
      </c>
    </row>
    <row r="7431" spans="5:6" x14ac:dyDescent="0.35">
      <c r="E7431">
        <v>7428</v>
      </c>
      <c r="F7431">
        <f t="shared" ca="1" si="118"/>
        <v>1.1123420472020846E-3</v>
      </c>
    </row>
    <row r="7432" spans="5:6" x14ac:dyDescent="0.35">
      <c r="E7432">
        <v>7429</v>
      </c>
      <c r="F7432">
        <f t="shared" ca="1" si="118"/>
        <v>-1.3768743193424695E-3</v>
      </c>
    </row>
    <row r="7433" spans="5:6" x14ac:dyDescent="0.35">
      <c r="E7433">
        <v>7430</v>
      </c>
      <c r="F7433">
        <f t="shared" ca="1" si="118"/>
        <v>-6.3482490055171269E-3</v>
      </c>
    </row>
    <row r="7434" spans="5:6" x14ac:dyDescent="0.35">
      <c r="E7434">
        <v>7431</v>
      </c>
      <c r="F7434">
        <f t="shared" ca="1" si="118"/>
        <v>1.4887386633940314E-3</v>
      </c>
    </row>
    <row r="7435" spans="5:6" x14ac:dyDescent="0.35">
      <c r="E7435">
        <v>7432</v>
      </c>
      <c r="F7435">
        <f t="shared" ca="1" si="118"/>
        <v>1.3514816194341399E-3</v>
      </c>
    </row>
    <row r="7436" spans="5:6" x14ac:dyDescent="0.35">
      <c r="E7436">
        <v>7433</v>
      </c>
      <c r="F7436">
        <f t="shared" ca="1" si="118"/>
        <v>3.7614811476263969E-3</v>
      </c>
    </row>
    <row r="7437" spans="5:6" x14ac:dyDescent="0.35">
      <c r="E7437">
        <v>7434</v>
      </c>
      <c r="F7437">
        <f t="shared" ca="1" si="118"/>
        <v>-9.6395499959688585E-3</v>
      </c>
    </row>
    <row r="7438" spans="5:6" x14ac:dyDescent="0.35">
      <c r="E7438">
        <v>7435</v>
      </c>
      <c r="F7438">
        <f t="shared" ca="1" si="118"/>
        <v>-1.7018122021651191E-2</v>
      </c>
    </row>
    <row r="7439" spans="5:6" x14ac:dyDescent="0.35">
      <c r="E7439">
        <v>7436</v>
      </c>
      <c r="F7439">
        <f t="shared" ca="1" si="118"/>
        <v>-4.3171328101780275E-3</v>
      </c>
    </row>
    <row r="7440" spans="5:6" x14ac:dyDescent="0.35">
      <c r="E7440">
        <v>7437</v>
      </c>
      <c r="F7440">
        <f t="shared" ca="1" si="118"/>
        <v>-3.8577667746442023E-4</v>
      </c>
    </row>
    <row r="7441" spans="5:6" x14ac:dyDescent="0.35">
      <c r="E7441">
        <v>7438</v>
      </c>
      <c r="F7441">
        <f t="shared" ca="1" si="118"/>
        <v>4.4021943639837458E-3</v>
      </c>
    </row>
    <row r="7442" spans="5:6" x14ac:dyDescent="0.35">
      <c r="E7442">
        <v>7439</v>
      </c>
      <c r="F7442">
        <f t="shared" ca="1" si="118"/>
        <v>3.4286930980330366E-3</v>
      </c>
    </row>
    <row r="7443" spans="5:6" x14ac:dyDescent="0.35">
      <c r="E7443">
        <v>7440</v>
      </c>
      <c r="F7443">
        <f t="shared" ca="1" si="118"/>
        <v>-3.3366014646514629E-3</v>
      </c>
    </row>
    <row r="7444" spans="5:6" x14ac:dyDescent="0.35">
      <c r="E7444">
        <v>7441</v>
      </c>
      <c r="F7444">
        <f t="shared" ca="1" si="118"/>
        <v>1.3559179548190617E-2</v>
      </c>
    </row>
    <row r="7445" spans="5:6" x14ac:dyDescent="0.35">
      <c r="E7445">
        <v>7442</v>
      </c>
      <c r="F7445">
        <f t="shared" ca="1" si="118"/>
        <v>-4.5570424232724239E-3</v>
      </c>
    </row>
    <row r="7446" spans="5:6" x14ac:dyDescent="0.35">
      <c r="E7446">
        <v>7443</v>
      </c>
      <c r="F7446">
        <f t="shared" ca="1" si="118"/>
        <v>-9.2248354413979189E-3</v>
      </c>
    </row>
    <row r="7447" spans="5:6" x14ac:dyDescent="0.35">
      <c r="E7447">
        <v>7444</v>
      </c>
      <c r="F7447">
        <f t="shared" ca="1" si="118"/>
        <v>3.0872752136388799E-2</v>
      </c>
    </row>
    <row r="7448" spans="5:6" x14ac:dyDescent="0.35">
      <c r="E7448">
        <v>7445</v>
      </c>
      <c r="F7448">
        <f t="shared" ca="1" si="118"/>
        <v>1.4625667824591203E-2</v>
      </c>
    </row>
    <row r="7449" spans="5:6" x14ac:dyDescent="0.35">
      <c r="E7449">
        <v>7446</v>
      </c>
      <c r="F7449">
        <f t="shared" ca="1" si="118"/>
        <v>2.1121939618413913E-2</v>
      </c>
    </row>
    <row r="7450" spans="5:6" x14ac:dyDescent="0.35">
      <c r="E7450">
        <v>7447</v>
      </c>
      <c r="F7450">
        <f t="shared" ca="1" si="118"/>
        <v>-1.7200599138583218E-2</v>
      </c>
    </row>
    <row r="7451" spans="5:6" x14ac:dyDescent="0.35">
      <c r="E7451">
        <v>7448</v>
      </c>
      <c r="F7451">
        <f t="shared" ca="1" si="118"/>
        <v>-1.3515019378752911E-2</v>
      </c>
    </row>
    <row r="7452" spans="5:6" x14ac:dyDescent="0.35">
      <c r="E7452">
        <v>7449</v>
      </c>
      <c r="F7452">
        <f t="shared" ca="1" si="118"/>
        <v>1.3046775599577678E-3</v>
      </c>
    </row>
    <row r="7453" spans="5:6" x14ac:dyDescent="0.35">
      <c r="E7453">
        <v>7450</v>
      </c>
      <c r="F7453">
        <f t="shared" ca="1" si="118"/>
        <v>-1.0698354831925889E-2</v>
      </c>
    </row>
    <row r="7454" spans="5:6" x14ac:dyDescent="0.35">
      <c r="E7454">
        <v>7451</v>
      </c>
      <c r="F7454">
        <f t="shared" ca="1" si="118"/>
        <v>-1.356706190451022E-2</v>
      </c>
    </row>
    <row r="7455" spans="5:6" x14ac:dyDescent="0.35">
      <c r="E7455">
        <v>7452</v>
      </c>
      <c r="F7455">
        <f t="shared" ca="1" si="118"/>
        <v>4.3338036080045753E-3</v>
      </c>
    </row>
    <row r="7456" spans="5:6" x14ac:dyDescent="0.35">
      <c r="E7456">
        <v>7453</v>
      </c>
      <c r="F7456">
        <f t="shared" ca="1" si="118"/>
        <v>1.0877236996863389E-2</v>
      </c>
    </row>
    <row r="7457" spans="5:6" x14ac:dyDescent="0.35">
      <c r="E7457">
        <v>7454</v>
      </c>
      <c r="F7457">
        <f t="shared" ca="1" si="118"/>
        <v>-5.9580241787117435E-3</v>
      </c>
    </row>
    <row r="7458" spans="5:6" x14ac:dyDescent="0.35">
      <c r="E7458">
        <v>7455</v>
      </c>
      <c r="F7458">
        <f t="shared" ca="1" si="118"/>
        <v>1.2428581144551252E-3</v>
      </c>
    </row>
    <row r="7459" spans="5:6" x14ac:dyDescent="0.35">
      <c r="E7459">
        <v>7456</v>
      </c>
      <c r="F7459">
        <f t="shared" ca="1" si="118"/>
        <v>3.7939296595014432E-3</v>
      </c>
    </row>
    <row r="7460" spans="5:6" x14ac:dyDescent="0.35">
      <c r="E7460">
        <v>7457</v>
      </c>
      <c r="F7460">
        <f t="shared" ca="1" si="118"/>
        <v>1.5026936258732707E-2</v>
      </c>
    </row>
    <row r="7461" spans="5:6" x14ac:dyDescent="0.35">
      <c r="E7461">
        <v>7458</v>
      </c>
      <c r="F7461">
        <f t="shared" ca="1" si="118"/>
        <v>2.3894612751908358E-2</v>
      </c>
    </row>
    <row r="7462" spans="5:6" x14ac:dyDescent="0.35">
      <c r="E7462">
        <v>7459</v>
      </c>
      <c r="F7462">
        <f t="shared" ca="1" si="118"/>
        <v>1.9177237580534764E-4</v>
      </c>
    </row>
    <row r="7463" spans="5:6" x14ac:dyDescent="0.35">
      <c r="E7463">
        <v>7460</v>
      </c>
      <c r="F7463">
        <f t="shared" ca="1" si="118"/>
        <v>2.3871874634829107E-2</v>
      </c>
    </row>
    <row r="7464" spans="5:6" x14ac:dyDescent="0.35">
      <c r="E7464">
        <v>7461</v>
      </c>
      <c r="F7464">
        <f t="shared" ca="1" si="118"/>
        <v>9.6197438455496668E-3</v>
      </c>
    </row>
    <row r="7465" spans="5:6" x14ac:dyDescent="0.35">
      <c r="E7465">
        <v>7462</v>
      </c>
      <c r="F7465">
        <f t="shared" ca="1" si="118"/>
        <v>-4.8827316930049394E-3</v>
      </c>
    </row>
    <row r="7466" spans="5:6" x14ac:dyDescent="0.35">
      <c r="E7466">
        <v>7463</v>
      </c>
      <c r="F7466">
        <f t="shared" ca="1" si="118"/>
        <v>1.1855616809620103E-2</v>
      </c>
    </row>
    <row r="7467" spans="5:6" x14ac:dyDescent="0.35">
      <c r="E7467">
        <v>7464</v>
      </c>
      <c r="F7467">
        <f t="shared" ca="1" si="118"/>
        <v>1.0139083052388212E-2</v>
      </c>
    </row>
    <row r="7468" spans="5:6" x14ac:dyDescent="0.35">
      <c r="E7468">
        <v>7465</v>
      </c>
      <c r="F7468">
        <f t="shared" ca="1" si="118"/>
        <v>2.2260129238452033E-3</v>
      </c>
    </row>
    <row r="7469" spans="5:6" x14ac:dyDescent="0.35">
      <c r="E7469">
        <v>7466</v>
      </c>
      <c r="F7469">
        <f t="shared" ca="1" si="118"/>
        <v>7.7475692596410762E-3</v>
      </c>
    </row>
    <row r="7470" spans="5:6" x14ac:dyDescent="0.35">
      <c r="E7470">
        <v>7467</v>
      </c>
      <c r="F7470">
        <f t="shared" ca="1" si="118"/>
        <v>7.2234036527359172E-3</v>
      </c>
    </row>
    <row r="7471" spans="5:6" x14ac:dyDescent="0.35">
      <c r="E7471">
        <v>7468</v>
      </c>
      <c r="F7471">
        <f t="shared" ca="1" si="118"/>
        <v>1.2655960948471097E-3</v>
      </c>
    </row>
    <row r="7472" spans="5:6" x14ac:dyDescent="0.35">
      <c r="E7472">
        <v>7469</v>
      </c>
      <c r="F7472">
        <f t="shared" ca="1" si="118"/>
        <v>-1.6918974734482624E-2</v>
      </c>
    </row>
    <row r="7473" spans="5:6" x14ac:dyDescent="0.35">
      <c r="E7473">
        <v>7470</v>
      </c>
      <c r="F7473">
        <f t="shared" ca="1" si="118"/>
        <v>3.512800218125306E-2</v>
      </c>
    </row>
    <row r="7474" spans="5:6" x14ac:dyDescent="0.35">
      <c r="E7474">
        <v>7471</v>
      </c>
      <c r="F7474">
        <f t="shared" ca="1" si="118"/>
        <v>-2.8118499912394984E-2</v>
      </c>
    </row>
    <row r="7475" spans="5:6" x14ac:dyDescent="0.35">
      <c r="E7475">
        <v>7472</v>
      </c>
      <c r="F7475">
        <f t="shared" ca="1" si="118"/>
        <v>-4.0155482017960868E-2</v>
      </c>
    </row>
    <row r="7476" spans="5:6" x14ac:dyDescent="0.35">
      <c r="E7476">
        <v>7473</v>
      </c>
      <c r="F7476">
        <f t="shared" ca="1" si="118"/>
        <v>7.406849750240703E-3</v>
      </c>
    </row>
    <row r="7477" spans="5:6" x14ac:dyDescent="0.35">
      <c r="E7477">
        <v>7474</v>
      </c>
      <c r="F7477">
        <f t="shared" ca="1" si="118"/>
        <v>8.1107140816651987E-3</v>
      </c>
    </row>
    <row r="7478" spans="5:6" x14ac:dyDescent="0.35">
      <c r="E7478">
        <v>7475</v>
      </c>
      <c r="F7478">
        <f t="shared" ca="1" si="118"/>
        <v>-6.975161658939761E-3</v>
      </c>
    </row>
    <row r="7479" spans="5:6" x14ac:dyDescent="0.35">
      <c r="E7479">
        <v>7476</v>
      </c>
      <c r="F7479">
        <f t="shared" ca="1" si="118"/>
        <v>-1.4602856201308128E-3</v>
      </c>
    </row>
    <row r="7480" spans="5:6" x14ac:dyDescent="0.35">
      <c r="E7480">
        <v>7477</v>
      </c>
      <c r="F7480">
        <f t="shared" ca="1" si="118"/>
        <v>4.8262104102548371E-4</v>
      </c>
    </row>
    <row r="7481" spans="5:6" x14ac:dyDescent="0.35">
      <c r="E7481">
        <v>7478</v>
      </c>
      <c r="F7481">
        <f t="shared" ca="1" si="118"/>
        <v>1.1843268721024463E-2</v>
      </c>
    </row>
    <row r="7482" spans="5:6" x14ac:dyDescent="0.35">
      <c r="E7482">
        <v>7479</v>
      </c>
      <c r="F7482">
        <f t="shared" ca="1" si="118"/>
        <v>1.9238789536465427E-2</v>
      </c>
    </row>
    <row r="7483" spans="5:6" x14ac:dyDescent="0.35">
      <c r="E7483">
        <v>7480</v>
      </c>
      <c r="F7483">
        <f t="shared" ca="1" si="118"/>
        <v>-3.3010790374352326E-3</v>
      </c>
    </row>
    <row r="7484" spans="5:6" x14ac:dyDescent="0.35">
      <c r="E7484">
        <v>7481</v>
      </c>
      <c r="F7484">
        <f t="shared" ca="1" si="118"/>
        <v>1.3618095372680846E-2</v>
      </c>
    </row>
    <row r="7485" spans="5:6" x14ac:dyDescent="0.35">
      <c r="E7485">
        <v>7482</v>
      </c>
      <c r="F7485">
        <f t="shared" ca="1" si="118"/>
        <v>2.4349548595946516E-3</v>
      </c>
    </row>
    <row r="7486" spans="5:6" x14ac:dyDescent="0.35">
      <c r="E7486">
        <v>7483</v>
      </c>
      <c r="F7486">
        <f t="shared" ca="1" si="118"/>
        <v>-4.3827754914223761E-3</v>
      </c>
    </row>
    <row r="7487" spans="5:6" x14ac:dyDescent="0.35">
      <c r="E7487">
        <v>7484</v>
      </c>
      <c r="F7487">
        <f t="shared" ca="1" si="118"/>
        <v>9.7994491509170358E-3</v>
      </c>
    </row>
    <row r="7488" spans="5:6" x14ac:dyDescent="0.35">
      <c r="E7488">
        <v>7485</v>
      </c>
      <c r="F7488">
        <f t="shared" ca="1" si="118"/>
        <v>2.1700244414432049E-3</v>
      </c>
    </row>
    <row r="7489" spans="5:6" x14ac:dyDescent="0.35">
      <c r="E7489">
        <v>7486</v>
      </c>
      <c r="F7489">
        <f t="shared" ca="1" si="118"/>
        <v>-1.0183388048611134E-2</v>
      </c>
    </row>
    <row r="7490" spans="5:6" x14ac:dyDescent="0.35">
      <c r="E7490">
        <v>7487</v>
      </c>
      <c r="F7490">
        <f t="shared" ca="1" si="118"/>
        <v>5.59801072914589E-3</v>
      </c>
    </row>
    <row r="7491" spans="5:6" x14ac:dyDescent="0.35">
      <c r="E7491">
        <v>7488</v>
      </c>
      <c r="F7491">
        <f t="shared" ca="1" si="118"/>
        <v>5.3946493854676748E-3</v>
      </c>
    </row>
    <row r="7492" spans="5:6" x14ac:dyDescent="0.35">
      <c r="E7492">
        <v>7489</v>
      </c>
      <c r="F7492">
        <f t="shared" ca="1" si="118"/>
        <v>7.1141558538600387E-3</v>
      </c>
    </row>
    <row r="7493" spans="5:6" x14ac:dyDescent="0.35">
      <c r="E7493">
        <v>7490</v>
      </c>
      <c r="F7493">
        <f t="shared" ref="F7493:F7556" ca="1" si="119">_xlfn.NORM.INV(RAND(),M$6,M$7)</f>
        <v>2.5582235146877547E-2</v>
      </c>
    </row>
    <row r="7494" spans="5:6" x14ac:dyDescent="0.35">
      <c r="E7494">
        <v>7491</v>
      </c>
      <c r="F7494">
        <f t="shared" ca="1" si="119"/>
        <v>7.0052482299794239E-3</v>
      </c>
    </row>
    <row r="7495" spans="5:6" x14ac:dyDescent="0.35">
      <c r="E7495">
        <v>7492</v>
      </c>
      <c r="F7495">
        <f t="shared" ca="1" si="119"/>
        <v>-9.2142746505106798E-3</v>
      </c>
    </row>
    <row r="7496" spans="5:6" x14ac:dyDescent="0.35">
      <c r="E7496">
        <v>7493</v>
      </c>
      <c r="F7496">
        <f t="shared" ca="1" si="119"/>
        <v>-1.7969645222260477E-2</v>
      </c>
    </row>
    <row r="7497" spans="5:6" x14ac:dyDescent="0.35">
      <c r="E7497">
        <v>7494</v>
      </c>
      <c r="F7497">
        <f t="shared" ca="1" si="119"/>
        <v>2.3996548530520372E-3</v>
      </c>
    </row>
    <row r="7498" spans="5:6" x14ac:dyDescent="0.35">
      <c r="E7498">
        <v>7495</v>
      </c>
      <c r="F7498">
        <f t="shared" ca="1" si="119"/>
        <v>-7.7611118221168045E-3</v>
      </c>
    </row>
    <row r="7499" spans="5:6" x14ac:dyDescent="0.35">
      <c r="E7499">
        <v>7496</v>
      </c>
      <c r="F7499">
        <f t="shared" ca="1" si="119"/>
        <v>-2.8734998358171211E-3</v>
      </c>
    </row>
    <row r="7500" spans="5:6" x14ac:dyDescent="0.35">
      <c r="E7500">
        <v>7497</v>
      </c>
      <c r="F7500">
        <f t="shared" ca="1" si="119"/>
        <v>4.9493207738254483E-3</v>
      </c>
    </row>
    <row r="7501" spans="5:6" x14ac:dyDescent="0.35">
      <c r="E7501">
        <v>7498</v>
      </c>
      <c r="F7501">
        <f t="shared" ca="1" si="119"/>
        <v>-5.2547304243529738E-3</v>
      </c>
    </row>
    <row r="7502" spans="5:6" x14ac:dyDescent="0.35">
      <c r="E7502">
        <v>7499</v>
      </c>
      <c r="F7502">
        <f t="shared" ca="1" si="119"/>
        <v>2.8713146519061133E-2</v>
      </c>
    </row>
    <row r="7503" spans="5:6" x14ac:dyDescent="0.35">
      <c r="E7503">
        <v>7500</v>
      </c>
      <c r="F7503">
        <f t="shared" ca="1" si="119"/>
        <v>-3.6563760628251993E-3</v>
      </c>
    </row>
    <row r="7504" spans="5:6" x14ac:dyDescent="0.35">
      <c r="E7504">
        <v>7501</v>
      </c>
      <c r="F7504">
        <f t="shared" ca="1" si="119"/>
        <v>-1.2018649134899547E-2</v>
      </c>
    </row>
    <row r="7505" spans="5:6" x14ac:dyDescent="0.35">
      <c r="E7505">
        <v>7502</v>
      </c>
      <c r="F7505">
        <f t="shared" ca="1" si="119"/>
        <v>-4.5893687464437114E-3</v>
      </c>
    </row>
    <row r="7506" spans="5:6" x14ac:dyDescent="0.35">
      <c r="E7506">
        <v>7503</v>
      </c>
      <c r="F7506">
        <f t="shared" ca="1" si="119"/>
        <v>-3.0379225344424055E-3</v>
      </c>
    </row>
    <row r="7507" spans="5:6" x14ac:dyDescent="0.35">
      <c r="E7507">
        <v>7504</v>
      </c>
      <c r="F7507">
        <f t="shared" ca="1" si="119"/>
        <v>-1.7238933260985662E-2</v>
      </c>
    </row>
    <row r="7508" spans="5:6" x14ac:dyDescent="0.35">
      <c r="E7508">
        <v>7505</v>
      </c>
      <c r="F7508">
        <f t="shared" ca="1" si="119"/>
        <v>-3.1378125108971456E-3</v>
      </c>
    </row>
    <row r="7509" spans="5:6" x14ac:dyDescent="0.35">
      <c r="E7509">
        <v>7506</v>
      </c>
      <c r="F7509">
        <f t="shared" ca="1" si="119"/>
        <v>-1.7700837176196641E-2</v>
      </c>
    </row>
    <row r="7510" spans="5:6" x14ac:dyDescent="0.35">
      <c r="E7510">
        <v>7507</v>
      </c>
      <c r="F7510">
        <f t="shared" ca="1" si="119"/>
        <v>2.2962299488256847E-2</v>
      </c>
    </row>
    <row r="7511" spans="5:6" x14ac:dyDescent="0.35">
      <c r="E7511">
        <v>7508</v>
      </c>
      <c r="F7511">
        <f t="shared" ca="1" si="119"/>
        <v>-1.6246499803740527E-2</v>
      </c>
    </row>
    <row r="7512" spans="5:6" x14ac:dyDescent="0.35">
      <c r="E7512">
        <v>7509</v>
      </c>
      <c r="F7512">
        <f t="shared" ca="1" si="119"/>
        <v>-3.8609778428441866E-3</v>
      </c>
    </row>
    <row r="7513" spans="5:6" x14ac:dyDescent="0.35">
      <c r="E7513">
        <v>7510</v>
      </c>
      <c r="F7513">
        <f t="shared" ca="1" si="119"/>
        <v>-5.9438834185881403E-3</v>
      </c>
    </row>
    <row r="7514" spans="5:6" x14ac:dyDescent="0.35">
      <c r="E7514">
        <v>7511</v>
      </c>
      <c r="F7514">
        <f t="shared" ca="1" si="119"/>
        <v>2.0512927817433347E-3</v>
      </c>
    </row>
    <row r="7515" spans="5:6" x14ac:dyDescent="0.35">
      <c r="E7515">
        <v>7512</v>
      </c>
      <c r="F7515">
        <f t="shared" ca="1" si="119"/>
        <v>-9.46084405490457E-3</v>
      </c>
    </row>
    <row r="7516" spans="5:6" x14ac:dyDescent="0.35">
      <c r="E7516">
        <v>7513</v>
      </c>
      <c r="F7516">
        <f t="shared" ca="1" si="119"/>
        <v>2.913240896847806E-2</v>
      </c>
    </row>
    <row r="7517" spans="5:6" x14ac:dyDescent="0.35">
      <c r="E7517">
        <v>7514</v>
      </c>
      <c r="F7517">
        <f t="shared" ca="1" si="119"/>
        <v>2.5818905642459072E-2</v>
      </c>
    </row>
    <row r="7518" spans="5:6" x14ac:dyDescent="0.35">
      <c r="E7518">
        <v>7515</v>
      </c>
      <c r="F7518">
        <f t="shared" ca="1" si="119"/>
        <v>3.011950659200967E-3</v>
      </c>
    </row>
    <row r="7519" spans="5:6" x14ac:dyDescent="0.35">
      <c r="E7519">
        <v>7516</v>
      </c>
      <c r="F7519">
        <f t="shared" ca="1" si="119"/>
        <v>-1.7325015659186423E-2</v>
      </c>
    </row>
    <row r="7520" spans="5:6" x14ac:dyDescent="0.35">
      <c r="E7520">
        <v>7517</v>
      </c>
      <c r="F7520">
        <f t="shared" ca="1" si="119"/>
        <v>2.1149064518073041E-2</v>
      </c>
    </row>
    <row r="7521" spans="5:6" x14ac:dyDescent="0.35">
      <c r="E7521">
        <v>7518</v>
      </c>
      <c r="F7521">
        <f t="shared" ca="1" si="119"/>
        <v>9.4823958806705046E-3</v>
      </c>
    </row>
    <row r="7522" spans="5:6" x14ac:dyDescent="0.35">
      <c r="E7522">
        <v>7519</v>
      </c>
      <c r="F7522">
        <f t="shared" ca="1" si="119"/>
        <v>-1.3743704605162896E-2</v>
      </c>
    </row>
    <row r="7523" spans="5:6" x14ac:dyDescent="0.35">
      <c r="E7523">
        <v>7520</v>
      </c>
      <c r="F7523">
        <f t="shared" ca="1" si="119"/>
        <v>1.0040509683169176E-3</v>
      </c>
    </row>
    <row r="7524" spans="5:6" x14ac:dyDescent="0.35">
      <c r="E7524">
        <v>7521</v>
      </c>
      <c r="F7524">
        <f t="shared" ca="1" si="119"/>
        <v>-7.5522295766448835E-3</v>
      </c>
    </row>
    <row r="7525" spans="5:6" x14ac:dyDescent="0.35">
      <c r="E7525">
        <v>7522</v>
      </c>
      <c r="F7525">
        <f t="shared" ca="1" si="119"/>
        <v>-3.2241942411499094E-2</v>
      </c>
    </row>
    <row r="7526" spans="5:6" x14ac:dyDescent="0.35">
      <c r="E7526">
        <v>7523</v>
      </c>
      <c r="F7526">
        <f t="shared" ca="1" si="119"/>
        <v>-2.0547394470716449E-2</v>
      </c>
    </row>
    <row r="7527" spans="5:6" x14ac:dyDescent="0.35">
      <c r="E7527">
        <v>7524</v>
      </c>
      <c r="F7527">
        <f t="shared" ca="1" si="119"/>
        <v>4.2917069907555888E-3</v>
      </c>
    </row>
    <row r="7528" spans="5:6" x14ac:dyDescent="0.35">
      <c r="E7528">
        <v>7525</v>
      </c>
      <c r="F7528">
        <f t="shared" ca="1" si="119"/>
        <v>2.2006565036496045E-2</v>
      </c>
    </row>
    <row r="7529" spans="5:6" x14ac:dyDescent="0.35">
      <c r="E7529">
        <v>7526</v>
      </c>
      <c r="F7529">
        <f t="shared" ca="1" si="119"/>
        <v>4.5851949241902537E-3</v>
      </c>
    </row>
    <row r="7530" spans="5:6" x14ac:dyDescent="0.35">
      <c r="E7530">
        <v>7527</v>
      </c>
      <c r="F7530">
        <f t="shared" ca="1" si="119"/>
        <v>2.619626279294027E-2</v>
      </c>
    </row>
    <row r="7531" spans="5:6" x14ac:dyDescent="0.35">
      <c r="E7531">
        <v>7528</v>
      </c>
      <c r="F7531">
        <f t="shared" ca="1" si="119"/>
        <v>-3.4523659050191917E-3</v>
      </c>
    </row>
    <row r="7532" spans="5:6" x14ac:dyDescent="0.35">
      <c r="E7532">
        <v>7529</v>
      </c>
      <c r="F7532">
        <f t="shared" ca="1" si="119"/>
        <v>1.0656599882422062E-3</v>
      </c>
    </row>
    <row r="7533" spans="5:6" x14ac:dyDescent="0.35">
      <c r="E7533">
        <v>7530</v>
      </c>
      <c r="F7533">
        <f t="shared" ca="1" si="119"/>
        <v>1.5161749409084695E-3</v>
      </c>
    </row>
    <row r="7534" spans="5:6" x14ac:dyDescent="0.35">
      <c r="E7534">
        <v>7531</v>
      </c>
      <c r="F7534">
        <f t="shared" ca="1" si="119"/>
        <v>3.0839545765668611E-2</v>
      </c>
    </row>
    <row r="7535" spans="5:6" x14ac:dyDescent="0.35">
      <c r="E7535">
        <v>7532</v>
      </c>
      <c r="F7535">
        <f t="shared" ca="1" si="119"/>
        <v>2.1298313001118022E-2</v>
      </c>
    </row>
    <row r="7536" spans="5:6" x14ac:dyDescent="0.35">
      <c r="E7536">
        <v>7533</v>
      </c>
      <c r="F7536">
        <f t="shared" ca="1" si="119"/>
        <v>-1.5716570176659166E-2</v>
      </c>
    </row>
    <row r="7537" spans="5:6" x14ac:dyDescent="0.35">
      <c r="E7537">
        <v>7534</v>
      </c>
      <c r="F7537">
        <f t="shared" ca="1" si="119"/>
        <v>-1.5013024274212442E-2</v>
      </c>
    </row>
    <row r="7538" spans="5:6" x14ac:dyDescent="0.35">
      <c r="E7538">
        <v>7535</v>
      </c>
      <c r="F7538">
        <f t="shared" ca="1" si="119"/>
        <v>-3.7715881979707197E-2</v>
      </c>
    </row>
    <row r="7539" spans="5:6" x14ac:dyDescent="0.35">
      <c r="E7539">
        <v>7536</v>
      </c>
      <c r="F7539">
        <f t="shared" ca="1" si="119"/>
        <v>-1.8112559908304807E-2</v>
      </c>
    </row>
    <row r="7540" spans="5:6" x14ac:dyDescent="0.35">
      <c r="E7540">
        <v>7537</v>
      </c>
      <c r="F7540">
        <f t="shared" ca="1" si="119"/>
        <v>-3.392847933349495E-3</v>
      </c>
    </row>
    <row r="7541" spans="5:6" x14ac:dyDescent="0.35">
      <c r="E7541">
        <v>7538</v>
      </c>
      <c r="F7541">
        <f t="shared" ca="1" si="119"/>
        <v>1.7139113744715669E-2</v>
      </c>
    </row>
    <row r="7542" spans="5:6" x14ac:dyDescent="0.35">
      <c r="E7542">
        <v>7539</v>
      </c>
      <c r="F7542">
        <f t="shared" ca="1" si="119"/>
        <v>1.5588661689239496E-4</v>
      </c>
    </row>
    <row r="7543" spans="5:6" x14ac:dyDescent="0.35">
      <c r="E7543">
        <v>7540</v>
      </c>
      <c r="F7543">
        <f t="shared" ca="1" si="119"/>
        <v>5.2455644070948408E-3</v>
      </c>
    </row>
    <row r="7544" spans="5:6" x14ac:dyDescent="0.35">
      <c r="E7544">
        <v>7541</v>
      </c>
      <c r="F7544">
        <f t="shared" ca="1" si="119"/>
        <v>-6.2382256150208017E-3</v>
      </c>
    </row>
    <row r="7545" spans="5:6" x14ac:dyDescent="0.35">
      <c r="E7545">
        <v>7542</v>
      </c>
      <c r="F7545">
        <f t="shared" ca="1" si="119"/>
        <v>1.0159378188718106E-2</v>
      </c>
    </row>
    <row r="7546" spans="5:6" x14ac:dyDescent="0.35">
      <c r="E7546">
        <v>7543</v>
      </c>
      <c r="F7546">
        <f t="shared" ca="1" si="119"/>
        <v>-6.519241878076593E-4</v>
      </c>
    </row>
    <row r="7547" spans="5:6" x14ac:dyDescent="0.35">
      <c r="E7547">
        <v>7544</v>
      </c>
      <c r="F7547">
        <f t="shared" ca="1" si="119"/>
        <v>-2.8594168787741365E-2</v>
      </c>
    </row>
    <row r="7548" spans="5:6" x14ac:dyDescent="0.35">
      <c r="E7548">
        <v>7545</v>
      </c>
      <c r="F7548">
        <f t="shared" ca="1" si="119"/>
        <v>1.0974563871044261E-2</v>
      </c>
    </row>
    <row r="7549" spans="5:6" x14ac:dyDescent="0.35">
      <c r="E7549">
        <v>7546</v>
      </c>
      <c r="F7549">
        <f t="shared" ca="1" si="119"/>
        <v>3.3076274956006721E-2</v>
      </c>
    </row>
    <row r="7550" spans="5:6" x14ac:dyDescent="0.35">
      <c r="E7550">
        <v>7547</v>
      </c>
      <c r="F7550">
        <f t="shared" ca="1" si="119"/>
        <v>-7.545713531080309E-3</v>
      </c>
    </row>
    <row r="7551" spans="5:6" x14ac:dyDescent="0.35">
      <c r="E7551">
        <v>7548</v>
      </c>
      <c r="F7551">
        <f t="shared" ca="1" si="119"/>
        <v>-8.1430579735603035E-4</v>
      </c>
    </row>
    <row r="7552" spans="5:6" x14ac:dyDescent="0.35">
      <c r="E7552">
        <v>7549</v>
      </c>
      <c r="F7552">
        <f t="shared" ca="1" si="119"/>
        <v>-3.1088449269465416E-3</v>
      </c>
    </row>
    <row r="7553" spans="5:6" x14ac:dyDescent="0.35">
      <c r="E7553">
        <v>7550</v>
      </c>
      <c r="F7553">
        <f t="shared" ca="1" si="119"/>
        <v>1.7700665042102827E-3</v>
      </c>
    </row>
    <row r="7554" spans="5:6" x14ac:dyDescent="0.35">
      <c r="E7554">
        <v>7551</v>
      </c>
      <c r="F7554">
        <f t="shared" ca="1" si="119"/>
        <v>2.2471460973435592E-3</v>
      </c>
    </row>
    <row r="7555" spans="5:6" x14ac:dyDescent="0.35">
      <c r="E7555">
        <v>7552</v>
      </c>
      <c r="F7555">
        <f t="shared" ca="1" si="119"/>
        <v>1.8122047992933332E-2</v>
      </c>
    </row>
    <row r="7556" spans="5:6" x14ac:dyDescent="0.35">
      <c r="E7556">
        <v>7553</v>
      </c>
      <c r="F7556">
        <f t="shared" ca="1" si="119"/>
        <v>1.2047042658954756E-3</v>
      </c>
    </row>
    <row r="7557" spans="5:6" x14ac:dyDescent="0.35">
      <c r="E7557">
        <v>7554</v>
      </c>
      <c r="F7557">
        <f t="shared" ref="F7557:F7620" ca="1" si="120">_xlfn.NORM.INV(RAND(),M$6,M$7)</f>
        <v>2.0830958751553153E-2</v>
      </c>
    </row>
    <row r="7558" spans="5:6" x14ac:dyDescent="0.35">
      <c r="E7558">
        <v>7555</v>
      </c>
      <c r="F7558">
        <f t="shared" ca="1" si="120"/>
        <v>3.9924274383027293E-2</v>
      </c>
    </row>
    <row r="7559" spans="5:6" x14ac:dyDescent="0.35">
      <c r="E7559">
        <v>7556</v>
      </c>
      <c r="F7559">
        <f t="shared" ca="1" si="120"/>
        <v>1.9516659311037028E-2</v>
      </c>
    </row>
    <row r="7560" spans="5:6" x14ac:dyDescent="0.35">
      <c r="E7560">
        <v>7557</v>
      </c>
      <c r="F7560">
        <f t="shared" ca="1" si="120"/>
        <v>1.9407930634542E-4</v>
      </c>
    </row>
    <row r="7561" spans="5:6" x14ac:dyDescent="0.35">
      <c r="E7561">
        <v>7558</v>
      </c>
      <c r="F7561">
        <f t="shared" ca="1" si="120"/>
        <v>1.7829450181447819E-2</v>
      </c>
    </row>
    <row r="7562" spans="5:6" x14ac:dyDescent="0.35">
      <c r="E7562">
        <v>7559</v>
      </c>
      <c r="F7562">
        <f t="shared" ca="1" si="120"/>
        <v>-2.0347902841874627E-2</v>
      </c>
    </row>
    <row r="7563" spans="5:6" x14ac:dyDescent="0.35">
      <c r="E7563">
        <v>7560</v>
      </c>
      <c r="F7563">
        <f t="shared" ca="1" si="120"/>
        <v>1.9363609004785926E-2</v>
      </c>
    </row>
    <row r="7564" spans="5:6" x14ac:dyDescent="0.35">
      <c r="E7564">
        <v>7561</v>
      </c>
      <c r="F7564">
        <f t="shared" ca="1" si="120"/>
        <v>-1.3395611064858105E-2</v>
      </c>
    </row>
    <row r="7565" spans="5:6" x14ac:dyDescent="0.35">
      <c r="E7565">
        <v>7562</v>
      </c>
      <c r="F7565">
        <f t="shared" ca="1" si="120"/>
        <v>2.4696643629378047E-2</v>
      </c>
    </row>
    <row r="7566" spans="5:6" x14ac:dyDescent="0.35">
      <c r="E7566">
        <v>7563</v>
      </c>
      <c r="F7566">
        <f t="shared" ca="1" si="120"/>
        <v>5.5036560062542185E-3</v>
      </c>
    </row>
    <row r="7567" spans="5:6" x14ac:dyDescent="0.35">
      <c r="E7567">
        <v>7564</v>
      </c>
      <c r="F7567">
        <f t="shared" ca="1" si="120"/>
        <v>1.4496387875790811E-2</v>
      </c>
    </row>
    <row r="7568" spans="5:6" x14ac:dyDescent="0.35">
      <c r="E7568">
        <v>7565</v>
      </c>
      <c r="F7568">
        <f t="shared" ca="1" si="120"/>
        <v>-3.8664015939972327E-3</v>
      </c>
    </row>
    <row r="7569" spans="5:6" x14ac:dyDescent="0.35">
      <c r="E7569">
        <v>7566</v>
      </c>
      <c r="F7569">
        <f t="shared" ca="1" si="120"/>
        <v>5.9235384077148696E-3</v>
      </c>
    </row>
    <row r="7570" spans="5:6" x14ac:dyDescent="0.35">
      <c r="E7570">
        <v>7567</v>
      </c>
      <c r="F7570">
        <f t="shared" ca="1" si="120"/>
        <v>-4.5488845884533838E-4</v>
      </c>
    </row>
    <row r="7571" spans="5:6" x14ac:dyDescent="0.35">
      <c r="E7571">
        <v>7568</v>
      </c>
      <c r="F7571">
        <f t="shared" ca="1" si="120"/>
        <v>2.7991389020310124E-2</v>
      </c>
    </row>
    <row r="7572" spans="5:6" x14ac:dyDescent="0.35">
      <c r="E7572">
        <v>7569</v>
      </c>
      <c r="F7572">
        <f t="shared" ca="1" si="120"/>
        <v>-5.2641969318533459E-3</v>
      </c>
    </row>
    <row r="7573" spans="5:6" x14ac:dyDescent="0.35">
      <c r="E7573">
        <v>7570</v>
      </c>
      <c r="F7573">
        <f t="shared" ca="1" si="120"/>
        <v>1.3688464945597955E-2</v>
      </c>
    </row>
    <row r="7574" spans="5:6" x14ac:dyDescent="0.35">
      <c r="E7574">
        <v>7571</v>
      </c>
      <c r="F7574">
        <f t="shared" ca="1" si="120"/>
        <v>-2.6460974743079489E-3</v>
      </c>
    </row>
    <row r="7575" spans="5:6" x14ac:dyDescent="0.35">
      <c r="E7575">
        <v>7572</v>
      </c>
      <c r="F7575">
        <f t="shared" ca="1" si="120"/>
        <v>-1.4474744962813301E-2</v>
      </c>
    </row>
    <row r="7576" spans="5:6" x14ac:dyDescent="0.35">
      <c r="E7576">
        <v>7573</v>
      </c>
      <c r="F7576">
        <f t="shared" ca="1" si="120"/>
        <v>5.3362648517093821E-3</v>
      </c>
    </row>
    <row r="7577" spans="5:6" x14ac:dyDescent="0.35">
      <c r="E7577">
        <v>7574</v>
      </c>
      <c r="F7577">
        <f t="shared" ca="1" si="120"/>
        <v>-2.752745082852291E-3</v>
      </c>
    </row>
    <row r="7578" spans="5:6" x14ac:dyDescent="0.35">
      <c r="E7578">
        <v>7575</v>
      </c>
      <c r="F7578">
        <f t="shared" ca="1" si="120"/>
        <v>-1.5544816323656264E-2</v>
      </c>
    </row>
    <row r="7579" spans="5:6" x14ac:dyDescent="0.35">
      <c r="E7579">
        <v>7576</v>
      </c>
      <c r="F7579">
        <f t="shared" ca="1" si="120"/>
        <v>9.1185834024722478E-3</v>
      </c>
    </row>
    <row r="7580" spans="5:6" x14ac:dyDescent="0.35">
      <c r="E7580">
        <v>7577</v>
      </c>
      <c r="F7580">
        <f t="shared" ca="1" si="120"/>
        <v>-4.1618464323808111E-3</v>
      </c>
    </row>
    <row r="7581" spans="5:6" x14ac:dyDescent="0.35">
      <c r="E7581">
        <v>7578</v>
      </c>
      <c r="F7581">
        <f t="shared" ca="1" si="120"/>
        <v>-1.1600893274613881E-2</v>
      </c>
    </row>
    <row r="7582" spans="5:6" x14ac:dyDescent="0.35">
      <c r="E7582">
        <v>7579</v>
      </c>
      <c r="F7582">
        <f t="shared" ca="1" si="120"/>
        <v>-1.9972987804106064E-2</v>
      </c>
    </row>
    <row r="7583" spans="5:6" x14ac:dyDescent="0.35">
      <c r="E7583">
        <v>7580</v>
      </c>
      <c r="F7583">
        <f t="shared" ca="1" si="120"/>
        <v>-1.0242467063501938E-2</v>
      </c>
    </row>
    <row r="7584" spans="5:6" x14ac:dyDescent="0.35">
      <c r="E7584">
        <v>7581</v>
      </c>
      <c r="F7584">
        <f t="shared" ca="1" si="120"/>
        <v>2.1223036951170969E-2</v>
      </c>
    </row>
    <row r="7585" spans="5:6" x14ac:dyDescent="0.35">
      <c r="E7585">
        <v>7582</v>
      </c>
      <c r="F7585">
        <f t="shared" ca="1" si="120"/>
        <v>-1.8607836078625801E-3</v>
      </c>
    </row>
    <row r="7586" spans="5:6" x14ac:dyDescent="0.35">
      <c r="E7586">
        <v>7583</v>
      </c>
      <c r="F7586">
        <f t="shared" ca="1" si="120"/>
        <v>-1.1803690307501509E-2</v>
      </c>
    </row>
    <row r="7587" spans="5:6" x14ac:dyDescent="0.35">
      <c r="E7587">
        <v>7584</v>
      </c>
      <c r="F7587">
        <f t="shared" ca="1" si="120"/>
        <v>-2.9714381633962263E-2</v>
      </c>
    </row>
    <row r="7588" spans="5:6" x14ac:dyDescent="0.35">
      <c r="E7588">
        <v>7585</v>
      </c>
      <c r="F7588">
        <f t="shared" ca="1" si="120"/>
        <v>-5.1253761014960746E-3</v>
      </c>
    </row>
    <row r="7589" spans="5:6" x14ac:dyDescent="0.35">
      <c r="E7589">
        <v>7586</v>
      </c>
      <c r="F7589">
        <f t="shared" ca="1" si="120"/>
        <v>-1.2758959227198219E-2</v>
      </c>
    </row>
    <row r="7590" spans="5:6" x14ac:dyDescent="0.35">
      <c r="E7590">
        <v>7587</v>
      </c>
      <c r="F7590">
        <f t="shared" ca="1" si="120"/>
        <v>1.7937342716542046E-2</v>
      </c>
    </row>
    <row r="7591" spans="5:6" x14ac:dyDescent="0.35">
      <c r="E7591">
        <v>7588</v>
      </c>
      <c r="F7591">
        <f t="shared" ca="1" si="120"/>
        <v>1.2421422312095219E-2</v>
      </c>
    </row>
    <row r="7592" spans="5:6" x14ac:dyDescent="0.35">
      <c r="E7592">
        <v>7589</v>
      </c>
      <c r="F7592">
        <f t="shared" ca="1" si="120"/>
        <v>-1.2915311237781365E-2</v>
      </c>
    </row>
    <row r="7593" spans="5:6" x14ac:dyDescent="0.35">
      <c r="E7593">
        <v>7590</v>
      </c>
      <c r="F7593">
        <f t="shared" ca="1" si="120"/>
        <v>-3.6508567017277498E-3</v>
      </c>
    </row>
    <row r="7594" spans="5:6" x14ac:dyDescent="0.35">
      <c r="E7594">
        <v>7591</v>
      </c>
      <c r="F7594">
        <f t="shared" ca="1" si="120"/>
        <v>2.075633707156059E-2</v>
      </c>
    </row>
    <row r="7595" spans="5:6" x14ac:dyDescent="0.35">
      <c r="E7595">
        <v>7592</v>
      </c>
      <c r="F7595">
        <f t="shared" ca="1" si="120"/>
        <v>1.8405592354712112E-2</v>
      </c>
    </row>
    <row r="7596" spans="5:6" x14ac:dyDescent="0.35">
      <c r="E7596">
        <v>7593</v>
      </c>
      <c r="F7596">
        <f t="shared" ca="1" si="120"/>
        <v>-1.8573357780257097E-2</v>
      </c>
    </row>
    <row r="7597" spans="5:6" x14ac:dyDescent="0.35">
      <c r="E7597">
        <v>7594</v>
      </c>
      <c r="F7597">
        <f t="shared" ca="1" si="120"/>
        <v>-1.0309958506938274E-2</v>
      </c>
    </row>
    <row r="7598" spans="5:6" x14ac:dyDescent="0.35">
      <c r="E7598">
        <v>7595</v>
      </c>
      <c r="F7598">
        <f t="shared" ca="1" si="120"/>
        <v>9.396497715855873E-3</v>
      </c>
    </row>
    <row r="7599" spans="5:6" x14ac:dyDescent="0.35">
      <c r="E7599">
        <v>7596</v>
      </c>
      <c r="F7599">
        <f t="shared" ca="1" si="120"/>
        <v>3.6112174778193793E-4</v>
      </c>
    </row>
    <row r="7600" spans="5:6" x14ac:dyDescent="0.35">
      <c r="E7600">
        <v>7597</v>
      </c>
      <c r="F7600">
        <f t="shared" ca="1" si="120"/>
        <v>-3.3332378448522541E-2</v>
      </c>
    </row>
    <row r="7601" spans="5:6" x14ac:dyDescent="0.35">
      <c r="E7601">
        <v>7598</v>
      </c>
      <c r="F7601">
        <f t="shared" ca="1" si="120"/>
        <v>-1.591289235076877E-2</v>
      </c>
    </row>
    <row r="7602" spans="5:6" x14ac:dyDescent="0.35">
      <c r="E7602">
        <v>7599</v>
      </c>
      <c r="F7602">
        <f t="shared" ca="1" si="120"/>
        <v>1.488573814302096E-2</v>
      </c>
    </row>
    <row r="7603" spans="5:6" x14ac:dyDescent="0.35">
      <c r="E7603">
        <v>7600</v>
      </c>
      <c r="F7603">
        <f t="shared" ca="1" si="120"/>
        <v>-3.8601458175298977E-3</v>
      </c>
    </row>
    <row r="7604" spans="5:6" x14ac:dyDescent="0.35">
      <c r="E7604">
        <v>7601</v>
      </c>
      <c r="F7604">
        <f t="shared" ca="1" si="120"/>
        <v>2.4486768085065089E-2</v>
      </c>
    </row>
    <row r="7605" spans="5:6" x14ac:dyDescent="0.35">
      <c r="E7605">
        <v>7602</v>
      </c>
      <c r="F7605">
        <f t="shared" ca="1" si="120"/>
        <v>-1.2941478770161786E-2</v>
      </c>
    </row>
    <row r="7606" spans="5:6" x14ac:dyDescent="0.35">
      <c r="E7606">
        <v>7603</v>
      </c>
      <c r="F7606">
        <f t="shared" ca="1" si="120"/>
        <v>-1.3807495939746466E-2</v>
      </c>
    </row>
    <row r="7607" spans="5:6" x14ac:dyDescent="0.35">
      <c r="E7607">
        <v>7604</v>
      </c>
      <c r="F7607">
        <f t="shared" ca="1" si="120"/>
        <v>5.3199081804408887E-3</v>
      </c>
    </row>
    <row r="7608" spans="5:6" x14ac:dyDescent="0.35">
      <c r="E7608">
        <v>7605</v>
      </c>
      <c r="F7608">
        <f t="shared" ca="1" si="120"/>
        <v>-2.8885013170970152E-3</v>
      </c>
    </row>
    <row r="7609" spans="5:6" x14ac:dyDescent="0.35">
      <c r="E7609">
        <v>7606</v>
      </c>
      <c r="F7609">
        <f t="shared" ca="1" si="120"/>
        <v>-7.1403548465060872E-3</v>
      </c>
    </row>
    <row r="7610" spans="5:6" x14ac:dyDescent="0.35">
      <c r="E7610">
        <v>7607</v>
      </c>
      <c r="F7610">
        <f t="shared" ca="1" si="120"/>
        <v>-1.1954124067652356E-2</v>
      </c>
    </row>
    <row r="7611" spans="5:6" x14ac:dyDescent="0.35">
      <c r="E7611">
        <v>7608</v>
      </c>
      <c r="F7611">
        <f t="shared" ca="1" si="120"/>
        <v>-1.4729445048960602E-2</v>
      </c>
    </row>
    <row r="7612" spans="5:6" x14ac:dyDescent="0.35">
      <c r="E7612">
        <v>7609</v>
      </c>
      <c r="F7612">
        <f t="shared" ca="1" si="120"/>
        <v>1.2859664251895955E-2</v>
      </c>
    </row>
    <row r="7613" spans="5:6" x14ac:dyDescent="0.35">
      <c r="E7613">
        <v>7610</v>
      </c>
      <c r="F7613">
        <f t="shared" ca="1" si="120"/>
        <v>5.4078403408739676E-3</v>
      </c>
    </row>
    <row r="7614" spans="5:6" x14ac:dyDescent="0.35">
      <c r="E7614">
        <v>7611</v>
      </c>
      <c r="F7614">
        <f t="shared" ca="1" si="120"/>
        <v>1.5134876611665406E-2</v>
      </c>
    </row>
    <row r="7615" spans="5:6" x14ac:dyDescent="0.35">
      <c r="E7615">
        <v>7612</v>
      </c>
      <c r="F7615">
        <f t="shared" ca="1" si="120"/>
        <v>1.2092156167711418E-5</v>
      </c>
    </row>
    <row r="7616" spans="5:6" x14ac:dyDescent="0.35">
      <c r="E7616">
        <v>7613</v>
      </c>
      <c r="F7616">
        <f t="shared" ca="1" si="120"/>
        <v>1.2126458971890738E-2</v>
      </c>
    </row>
    <row r="7617" spans="5:6" x14ac:dyDescent="0.35">
      <c r="E7617">
        <v>7614</v>
      </c>
      <c r="F7617">
        <f t="shared" ca="1" si="120"/>
        <v>-9.4140057364988563E-4</v>
      </c>
    </row>
    <row r="7618" spans="5:6" x14ac:dyDescent="0.35">
      <c r="E7618">
        <v>7615</v>
      </c>
      <c r="F7618">
        <f t="shared" ca="1" si="120"/>
        <v>9.0850760585606972E-3</v>
      </c>
    </row>
    <row r="7619" spans="5:6" x14ac:dyDescent="0.35">
      <c r="E7619">
        <v>7616</v>
      </c>
      <c r="F7619">
        <f t="shared" ca="1" si="120"/>
        <v>7.1131366838618395E-3</v>
      </c>
    </row>
    <row r="7620" spans="5:6" x14ac:dyDescent="0.35">
      <c r="E7620">
        <v>7617</v>
      </c>
      <c r="F7620">
        <f t="shared" ca="1" si="120"/>
        <v>-3.6177492272880521E-3</v>
      </c>
    </row>
    <row r="7621" spans="5:6" x14ac:dyDescent="0.35">
      <c r="E7621">
        <v>7618</v>
      </c>
      <c r="F7621">
        <f t="shared" ref="F7621:F7684" ca="1" si="121">_xlfn.NORM.INV(RAND(),M$6,M$7)</f>
        <v>-7.9804349739581743E-3</v>
      </c>
    </row>
    <row r="7622" spans="5:6" x14ac:dyDescent="0.35">
      <c r="E7622">
        <v>7619</v>
      </c>
      <c r="F7622">
        <f t="shared" ca="1" si="121"/>
        <v>1.482684446089075E-2</v>
      </c>
    </row>
    <row r="7623" spans="5:6" x14ac:dyDescent="0.35">
      <c r="E7623">
        <v>7620</v>
      </c>
      <c r="F7623">
        <f t="shared" ca="1" si="121"/>
        <v>4.3841812892031059E-3</v>
      </c>
    </row>
    <row r="7624" spans="5:6" x14ac:dyDescent="0.35">
      <c r="E7624">
        <v>7621</v>
      </c>
      <c r="F7624">
        <f t="shared" ca="1" si="121"/>
        <v>1.7395066486465629E-3</v>
      </c>
    </row>
    <row r="7625" spans="5:6" x14ac:dyDescent="0.35">
      <c r="E7625">
        <v>7622</v>
      </c>
      <c r="F7625">
        <f t="shared" ca="1" si="121"/>
        <v>6.6152342116521665E-3</v>
      </c>
    </row>
    <row r="7626" spans="5:6" x14ac:dyDescent="0.35">
      <c r="E7626">
        <v>7623</v>
      </c>
      <c r="F7626">
        <f t="shared" ca="1" si="121"/>
        <v>-4.793170623370405E-3</v>
      </c>
    </row>
    <row r="7627" spans="5:6" x14ac:dyDescent="0.35">
      <c r="E7627">
        <v>7624</v>
      </c>
      <c r="F7627">
        <f t="shared" ca="1" si="121"/>
        <v>-9.2817225789255196E-3</v>
      </c>
    </row>
    <row r="7628" spans="5:6" x14ac:dyDescent="0.35">
      <c r="E7628">
        <v>7625</v>
      </c>
      <c r="F7628">
        <f t="shared" ca="1" si="121"/>
        <v>2.2397484299203744E-2</v>
      </c>
    </row>
    <row r="7629" spans="5:6" x14ac:dyDescent="0.35">
      <c r="E7629">
        <v>7626</v>
      </c>
      <c r="F7629">
        <f t="shared" ca="1" si="121"/>
        <v>6.232451697044338E-3</v>
      </c>
    </row>
    <row r="7630" spans="5:6" x14ac:dyDescent="0.35">
      <c r="E7630">
        <v>7627</v>
      </c>
      <c r="F7630">
        <f t="shared" ca="1" si="121"/>
        <v>-1.204268554087135E-2</v>
      </c>
    </row>
    <row r="7631" spans="5:6" x14ac:dyDescent="0.35">
      <c r="E7631">
        <v>7628</v>
      </c>
      <c r="F7631">
        <f t="shared" ca="1" si="121"/>
        <v>1.9878446264843509E-2</v>
      </c>
    </row>
    <row r="7632" spans="5:6" x14ac:dyDescent="0.35">
      <c r="E7632">
        <v>7629</v>
      </c>
      <c r="F7632">
        <f t="shared" ca="1" si="121"/>
        <v>-2.1260835946088012E-2</v>
      </c>
    </row>
    <row r="7633" spans="5:6" x14ac:dyDescent="0.35">
      <c r="E7633">
        <v>7630</v>
      </c>
      <c r="F7633">
        <f t="shared" ca="1" si="121"/>
        <v>9.6019828591563123E-3</v>
      </c>
    </row>
    <row r="7634" spans="5:6" x14ac:dyDescent="0.35">
      <c r="E7634">
        <v>7631</v>
      </c>
      <c r="F7634">
        <f t="shared" ca="1" si="121"/>
        <v>-3.0920586889435057E-2</v>
      </c>
    </row>
    <row r="7635" spans="5:6" x14ac:dyDescent="0.35">
      <c r="E7635">
        <v>7632</v>
      </c>
      <c r="F7635">
        <f t="shared" ca="1" si="121"/>
        <v>6.2734323302487387E-3</v>
      </c>
    </row>
    <row r="7636" spans="5:6" x14ac:dyDescent="0.35">
      <c r="E7636">
        <v>7633</v>
      </c>
      <c r="F7636">
        <f t="shared" ca="1" si="121"/>
        <v>-1.6770734412605194E-4</v>
      </c>
    </row>
    <row r="7637" spans="5:6" x14ac:dyDescent="0.35">
      <c r="E7637">
        <v>7634</v>
      </c>
      <c r="F7637">
        <f t="shared" ca="1" si="121"/>
        <v>3.5463132865455713E-3</v>
      </c>
    </row>
    <row r="7638" spans="5:6" x14ac:dyDescent="0.35">
      <c r="E7638">
        <v>7635</v>
      </c>
      <c r="F7638">
        <f t="shared" ca="1" si="121"/>
        <v>-1.685263226435803E-3</v>
      </c>
    </row>
    <row r="7639" spans="5:6" x14ac:dyDescent="0.35">
      <c r="E7639">
        <v>7636</v>
      </c>
      <c r="F7639">
        <f t="shared" ca="1" si="121"/>
        <v>-5.8957274432824584E-3</v>
      </c>
    </row>
    <row r="7640" spans="5:6" x14ac:dyDescent="0.35">
      <c r="E7640">
        <v>7637</v>
      </c>
      <c r="F7640">
        <f t="shared" ca="1" si="121"/>
        <v>9.2988904745569829E-3</v>
      </c>
    </row>
    <row r="7641" spans="5:6" x14ac:dyDescent="0.35">
      <c r="E7641">
        <v>7638</v>
      </c>
      <c r="F7641">
        <f t="shared" ca="1" si="121"/>
        <v>-1.4032593314602221E-3</v>
      </c>
    </row>
    <row r="7642" spans="5:6" x14ac:dyDescent="0.35">
      <c r="E7642">
        <v>7639</v>
      </c>
      <c r="F7642">
        <f t="shared" ca="1" si="121"/>
        <v>-1.1546259678010099E-2</v>
      </c>
    </row>
    <row r="7643" spans="5:6" x14ac:dyDescent="0.35">
      <c r="E7643">
        <v>7640</v>
      </c>
      <c r="F7643">
        <f t="shared" ca="1" si="121"/>
        <v>-6.8855748346230384E-3</v>
      </c>
    </row>
    <row r="7644" spans="5:6" x14ac:dyDescent="0.35">
      <c r="E7644">
        <v>7641</v>
      </c>
      <c r="F7644">
        <f t="shared" ca="1" si="121"/>
        <v>1.4674143326186632E-2</v>
      </c>
    </row>
    <row r="7645" spans="5:6" x14ac:dyDescent="0.35">
      <c r="E7645">
        <v>7642</v>
      </c>
      <c r="F7645">
        <f t="shared" ca="1" si="121"/>
        <v>1.0787949072095919E-2</v>
      </c>
    </row>
    <row r="7646" spans="5:6" x14ac:dyDescent="0.35">
      <c r="E7646">
        <v>7643</v>
      </c>
      <c r="F7646">
        <f t="shared" ca="1" si="121"/>
        <v>7.7382520522710507E-4</v>
      </c>
    </row>
    <row r="7647" spans="5:6" x14ac:dyDescent="0.35">
      <c r="E7647">
        <v>7644</v>
      </c>
      <c r="F7647">
        <f t="shared" ca="1" si="121"/>
        <v>-5.3748599138941462E-3</v>
      </c>
    </row>
    <row r="7648" spans="5:6" x14ac:dyDescent="0.35">
      <c r="E7648">
        <v>7645</v>
      </c>
      <c r="F7648">
        <f t="shared" ca="1" si="121"/>
        <v>1.8941875164551608E-3</v>
      </c>
    </row>
    <row r="7649" spans="5:6" x14ac:dyDescent="0.35">
      <c r="E7649">
        <v>7646</v>
      </c>
      <c r="F7649">
        <f t="shared" ca="1" si="121"/>
        <v>-2.8478598274162829E-2</v>
      </c>
    </row>
    <row r="7650" spans="5:6" x14ac:dyDescent="0.35">
      <c r="E7650">
        <v>7647</v>
      </c>
      <c r="F7650">
        <f t="shared" ca="1" si="121"/>
        <v>-2.2907021327391985E-2</v>
      </c>
    </row>
    <row r="7651" spans="5:6" x14ac:dyDescent="0.35">
      <c r="E7651">
        <v>7648</v>
      </c>
      <c r="F7651">
        <f t="shared" ca="1" si="121"/>
        <v>4.0653720488237777E-3</v>
      </c>
    </row>
    <row r="7652" spans="5:6" x14ac:dyDescent="0.35">
      <c r="E7652">
        <v>7649</v>
      </c>
      <c r="F7652">
        <f t="shared" ca="1" si="121"/>
        <v>-9.5002150450505547E-3</v>
      </c>
    </row>
    <row r="7653" spans="5:6" x14ac:dyDescent="0.35">
      <c r="E7653">
        <v>7650</v>
      </c>
      <c r="F7653">
        <f t="shared" ca="1" si="121"/>
        <v>-7.7808588725813248E-3</v>
      </c>
    </row>
    <row r="7654" spans="5:6" x14ac:dyDescent="0.35">
      <c r="E7654">
        <v>7651</v>
      </c>
      <c r="F7654">
        <f t="shared" ca="1" si="121"/>
        <v>-2.3859672146588008E-2</v>
      </c>
    </row>
    <row r="7655" spans="5:6" x14ac:dyDescent="0.35">
      <c r="E7655">
        <v>7652</v>
      </c>
      <c r="F7655">
        <f t="shared" ca="1" si="121"/>
        <v>2.7516025840048637E-3</v>
      </c>
    </row>
    <row r="7656" spans="5:6" x14ac:dyDescent="0.35">
      <c r="E7656">
        <v>7653</v>
      </c>
      <c r="F7656">
        <f t="shared" ca="1" si="121"/>
        <v>-1.1852530398221205E-3</v>
      </c>
    </row>
    <row r="7657" spans="5:6" x14ac:dyDescent="0.35">
      <c r="E7657">
        <v>7654</v>
      </c>
      <c r="F7657">
        <f t="shared" ca="1" si="121"/>
        <v>-5.2543540483634982E-3</v>
      </c>
    </row>
    <row r="7658" spans="5:6" x14ac:dyDescent="0.35">
      <c r="E7658">
        <v>7655</v>
      </c>
      <c r="F7658">
        <f t="shared" ca="1" si="121"/>
        <v>2.4326953618133765E-2</v>
      </c>
    </row>
    <row r="7659" spans="5:6" x14ac:dyDescent="0.35">
      <c r="E7659">
        <v>7656</v>
      </c>
      <c r="F7659">
        <f t="shared" ca="1" si="121"/>
        <v>-1.8826082224331596E-2</v>
      </c>
    </row>
    <row r="7660" spans="5:6" x14ac:dyDescent="0.35">
      <c r="E7660">
        <v>7657</v>
      </c>
      <c r="F7660">
        <f t="shared" ca="1" si="121"/>
        <v>-1.8130382281198894E-2</v>
      </c>
    </row>
    <row r="7661" spans="5:6" x14ac:dyDescent="0.35">
      <c r="E7661">
        <v>7658</v>
      </c>
      <c r="F7661">
        <f t="shared" ca="1" si="121"/>
        <v>-1.0093199719849975E-2</v>
      </c>
    </row>
    <row r="7662" spans="5:6" x14ac:dyDescent="0.35">
      <c r="E7662">
        <v>7659</v>
      </c>
      <c r="F7662">
        <f t="shared" ca="1" si="121"/>
        <v>-2.974508211076303E-2</v>
      </c>
    </row>
    <row r="7663" spans="5:6" x14ac:dyDescent="0.35">
      <c r="E7663">
        <v>7660</v>
      </c>
      <c r="F7663">
        <f t="shared" ca="1" si="121"/>
        <v>-3.8427100087790939E-4</v>
      </c>
    </row>
    <row r="7664" spans="5:6" x14ac:dyDescent="0.35">
      <c r="E7664">
        <v>7661</v>
      </c>
      <c r="F7664">
        <f t="shared" ca="1" si="121"/>
        <v>-1.495677011018786E-2</v>
      </c>
    </row>
    <row r="7665" spans="5:6" x14ac:dyDescent="0.35">
      <c r="E7665">
        <v>7662</v>
      </c>
      <c r="F7665">
        <f t="shared" ca="1" si="121"/>
        <v>5.5013674693318712E-3</v>
      </c>
    </row>
    <row r="7666" spans="5:6" x14ac:dyDescent="0.35">
      <c r="E7666">
        <v>7663</v>
      </c>
      <c r="F7666">
        <f t="shared" ca="1" si="121"/>
        <v>-1.1348625824778063E-4</v>
      </c>
    </row>
    <row r="7667" spans="5:6" x14ac:dyDescent="0.35">
      <c r="E7667">
        <v>7664</v>
      </c>
      <c r="F7667">
        <f t="shared" ca="1" si="121"/>
        <v>6.1349800128423426E-3</v>
      </c>
    </row>
    <row r="7668" spans="5:6" x14ac:dyDescent="0.35">
      <c r="E7668">
        <v>7665</v>
      </c>
      <c r="F7668">
        <f t="shared" ca="1" si="121"/>
        <v>-8.3645708592560344E-3</v>
      </c>
    </row>
    <row r="7669" spans="5:6" x14ac:dyDescent="0.35">
      <c r="E7669">
        <v>7666</v>
      </c>
      <c r="F7669">
        <f t="shared" ca="1" si="121"/>
        <v>-6.5522429534357806E-3</v>
      </c>
    </row>
    <row r="7670" spans="5:6" x14ac:dyDescent="0.35">
      <c r="E7670">
        <v>7667</v>
      </c>
      <c r="F7670">
        <f t="shared" ca="1" si="121"/>
        <v>-6.578411954373877E-3</v>
      </c>
    </row>
    <row r="7671" spans="5:6" x14ac:dyDescent="0.35">
      <c r="E7671">
        <v>7668</v>
      </c>
      <c r="F7671">
        <f t="shared" ca="1" si="121"/>
        <v>-3.179750523885107E-3</v>
      </c>
    </row>
    <row r="7672" spans="5:6" x14ac:dyDescent="0.35">
      <c r="E7672">
        <v>7669</v>
      </c>
      <c r="F7672">
        <f t="shared" ca="1" si="121"/>
        <v>-5.6667037437699392E-3</v>
      </c>
    </row>
    <row r="7673" spans="5:6" x14ac:dyDescent="0.35">
      <c r="E7673">
        <v>7670</v>
      </c>
      <c r="F7673">
        <f t="shared" ca="1" si="121"/>
        <v>-6.3415594149228011E-3</v>
      </c>
    </row>
    <row r="7674" spans="5:6" x14ac:dyDescent="0.35">
      <c r="E7674">
        <v>7671</v>
      </c>
      <c r="F7674">
        <f t="shared" ca="1" si="121"/>
        <v>2.8836300813310244E-2</v>
      </c>
    </row>
    <row r="7675" spans="5:6" x14ac:dyDescent="0.35">
      <c r="E7675">
        <v>7672</v>
      </c>
      <c r="F7675">
        <f t="shared" ca="1" si="121"/>
        <v>-1.1715759000332343E-2</v>
      </c>
    </row>
    <row r="7676" spans="5:6" x14ac:dyDescent="0.35">
      <c r="E7676">
        <v>7673</v>
      </c>
      <c r="F7676">
        <f t="shared" ca="1" si="121"/>
        <v>-1.4219438388088491E-2</v>
      </c>
    </row>
    <row r="7677" spans="5:6" x14ac:dyDescent="0.35">
      <c r="E7677">
        <v>7674</v>
      </c>
      <c r="F7677">
        <f t="shared" ca="1" si="121"/>
        <v>-2.4338184924311949E-2</v>
      </c>
    </row>
    <row r="7678" spans="5:6" x14ac:dyDescent="0.35">
      <c r="E7678">
        <v>7675</v>
      </c>
      <c r="F7678">
        <f t="shared" ca="1" si="121"/>
        <v>-1.5486839252032356E-2</v>
      </c>
    </row>
    <row r="7679" spans="5:6" x14ac:dyDescent="0.35">
      <c r="E7679">
        <v>7676</v>
      </c>
      <c r="F7679">
        <f t="shared" ca="1" si="121"/>
        <v>-8.7231198636648216E-3</v>
      </c>
    </row>
    <row r="7680" spans="5:6" x14ac:dyDescent="0.35">
      <c r="E7680">
        <v>7677</v>
      </c>
      <c r="F7680">
        <f t="shared" ca="1" si="121"/>
        <v>-5.7256348543545631E-3</v>
      </c>
    </row>
    <row r="7681" spans="5:6" x14ac:dyDescent="0.35">
      <c r="E7681">
        <v>7678</v>
      </c>
      <c r="F7681">
        <f t="shared" ca="1" si="121"/>
        <v>2.5747468466552931E-2</v>
      </c>
    </row>
    <row r="7682" spans="5:6" x14ac:dyDescent="0.35">
      <c r="E7682">
        <v>7679</v>
      </c>
      <c r="F7682">
        <f t="shared" ca="1" si="121"/>
        <v>5.6875543572769841E-3</v>
      </c>
    </row>
    <row r="7683" spans="5:6" x14ac:dyDescent="0.35">
      <c r="E7683">
        <v>7680</v>
      </c>
      <c r="F7683">
        <f t="shared" ca="1" si="121"/>
        <v>-7.2788647216968372E-3</v>
      </c>
    </row>
    <row r="7684" spans="5:6" x14ac:dyDescent="0.35">
      <c r="E7684">
        <v>7681</v>
      </c>
      <c r="F7684">
        <f t="shared" ca="1" si="121"/>
        <v>-4.1229819079507783E-3</v>
      </c>
    </row>
    <row r="7685" spans="5:6" x14ac:dyDescent="0.35">
      <c r="E7685">
        <v>7682</v>
      </c>
      <c r="F7685">
        <f t="shared" ref="F7685:F7748" ca="1" si="122">_xlfn.NORM.INV(RAND(),M$6,M$7)</f>
        <v>5.42057817891384E-3</v>
      </c>
    </row>
    <row r="7686" spans="5:6" x14ac:dyDescent="0.35">
      <c r="E7686">
        <v>7683</v>
      </c>
      <c r="F7686">
        <f t="shared" ca="1" si="122"/>
        <v>3.1168335375459669E-2</v>
      </c>
    </row>
    <row r="7687" spans="5:6" x14ac:dyDescent="0.35">
      <c r="E7687">
        <v>7684</v>
      </c>
      <c r="F7687">
        <f t="shared" ca="1" si="122"/>
        <v>3.0973839699935009E-3</v>
      </c>
    </row>
    <row r="7688" spans="5:6" x14ac:dyDescent="0.35">
      <c r="E7688">
        <v>7685</v>
      </c>
      <c r="F7688">
        <f t="shared" ca="1" si="122"/>
        <v>3.6341641402740607E-3</v>
      </c>
    </row>
    <row r="7689" spans="5:6" x14ac:dyDescent="0.35">
      <c r="E7689">
        <v>7686</v>
      </c>
      <c r="F7689">
        <f t="shared" ca="1" si="122"/>
        <v>-1.7838321069572224E-2</v>
      </c>
    </row>
    <row r="7690" spans="5:6" x14ac:dyDescent="0.35">
      <c r="E7690">
        <v>7687</v>
      </c>
      <c r="F7690">
        <f t="shared" ca="1" si="122"/>
        <v>2.4818220237391872E-2</v>
      </c>
    </row>
    <row r="7691" spans="5:6" x14ac:dyDescent="0.35">
      <c r="E7691">
        <v>7688</v>
      </c>
      <c r="F7691">
        <f t="shared" ca="1" si="122"/>
        <v>1.5859993270728269E-2</v>
      </c>
    </row>
    <row r="7692" spans="5:6" x14ac:dyDescent="0.35">
      <c r="E7692">
        <v>7689</v>
      </c>
      <c r="F7692">
        <f t="shared" ca="1" si="122"/>
        <v>1.3246400686247746E-2</v>
      </c>
    </row>
    <row r="7693" spans="5:6" x14ac:dyDescent="0.35">
      <c r="E7693">
        <v>7690</v>
      </c>
      <c r="F7693">
        <f t="shared" ca="1" si="122"/>
        <v>-7.488066517823775E-3</v>
      </c>
    </row>
    <row r="7694" spans="5:6" x14ac:dyDescent="0.35">
      <c r="E7694">
        <v>7691</v>
      </c>
      <c r="F7694">
        <f t="shared" ca="1" si="122"/>
        <v>-2.6987758166349064E-2</v>
      </c>
    </row>
    <row r="7695" spans="5:6" x14ac:dyDescent="0.35">
      <c r="E7695">
        <v>7692</v>
      </c>
      <c r="F7695">
        <f t="shared" ca="1" si="122"/>
        <v>-2.8326884525578588E-2</v>
      </c>
    </row>
    <row r="7696" spans="5:6" x14ac:dyDescent="0.35">
      <c r="E7696">
        <v>7693</v>
      </c>
      <c r="F7696">
        <f t="shared" ca="1" si="122"/>
        <v>1.6439301630007123E-2</v>
      </c>
    </row>
    <row r="7697" spans="5:6" x14ac:dyDescent="0.35">
      <c r="E7697">
        <v>7694</v>
      </c>
      <c r="F7697">
        <f t="shared" ca="1" si="122"/>
        <v>3.2761311232983262E-3</v>
      </c>
    </row>
    <row r="7698" spans="5:6" x14ac:dyDescent="0.35">
      <c r="E7698">
        <v>7695</v>
      </c>
      <c r="F7698">
        <f t="shared" ca="1" si="122"/>
        <v>-2.3512557782186413E-2</v>
      </c>
    </row>
    <row r="7699" spans="5:6" x14ac:dyDescent="0.35">
      <c r="E7699">
        <v>7696</v>
      </c>
      <c r="F7699">
        <f t="shared" ca="1" si="122"/>
        <v>7.9582146366840838E-3</v>
      </c>
    </row>
    <row r="7700" spans="5:6" x14ac:dyDescent="0.35">
      <c r="E7700">
        <v>7697</v>
      </c>
      <c r="F7700">
        <f t="shared" ca="1" si="122"/>
        <v>3.2930071190408486E-2</v>
      </c>
    </row>
    <row r="7701" spans="5:6" x14ac:dyDescent="0.35">
      <c r="E7701">
        <v>7698</v>
      </c>
      <c r="F7701">
        <f t="shared" ca="1" si="122"/>
        <v>-2.6411540776931912E-2</v>
      </c>
    </row>
    <row r="7702" spans="5:6" x14ac:dyDescent="0.35">
      <c r="E7702">
        <v>7699</v>
      </c>
      <c r="F7702">
        <f t="shared" ca="1" si="122"/>
        <v>1.1775447254410957E-2</v>
      </c>
    </row>
    <row r="7703" spans="5:6" x14ac:dyDescent="0.35">
      <c r="E7703">
        <v>7700</v>
      </c>
      <c r="F7703">
        <f t="shared" ca="1" si="122"/>
        <v>-6.466116850378453E-4</v>
      </c>
    </row>
    <row r="7704" spans="5:6" x14ac:dyDescent="0.35">
      <c r="E7704">
        <v>7701</v>
      </c>
      <c r="F7704">
        <f t="shared" ca="1" si="122"/>
        <v>8.5377560876445501E-3</v>
      </c>
    </row>
    <row r="7705" spans="5:6" x14ac:dyDescent="0.35">
      <c r="E7705">
        <v>7702</v>
      </c>
      <c r="F7705">
        <f t="shared" ca="1" si="122"/>
        <v>-4.728740690887856E-3</v>
      </c>
    </row>
    <row r="7706" spans="5:6" x14ac:dyDescent="0.35">
      <c r="E7706">
        <v>7703</v>
      </c>
      <c r="F7706">
        <f t="shared" ca="1" si="122"/>
        <v>-1.8318734327721398E-2</v>
      </c>
    </row>
    <row r="7707" spans="5:6" x14ac:dyDescent="0.35">
      <c r="E7707">
        <v>7704</v>
      </c>
      <c r="F7707">
        <f t="shared" ca="1" si="122"/>
        <v>-1.3398413585127488E-2</v>
      </c>
    </row>
    <row r="7708" spans="5:6" x14ac:dyDescent="0.35">
      <c r="E7708">
        <v>7705</v>
      </c>
      <c r="F7708">
        <f t="shared" ca="1" si="122"/>
        <v>2.0793112635767927E-2</v>
      </c>
    </row>
    <row r="7709" spans="5:6" x14ac:dyDescent="0.35">
      <c r="E7709">
        <v>7706</v>
      </c>
      <c r="F7709">
        <f t="shared" ca="1" si="122"/>
        <v>1.1865661911958187E-2</v>
      </c>
    </row>
    <row r="7710" spans="5:6" x14ac:dyDescent="0.35">
      <c r="E7710">
        <v>7707</v>
      </c>
      <c r="F7710">
        <f t="shared" ca="1" si="122"/>
        <v>7.7725677006145362E-3</v>
      </c>
    </row>
    <row r="7711" spans="5:6" x14ac:dyDescent="0.35">
      <c r="E7711">
        <v>7708</v>
      </c>
      <c r="F7711">
        <f t="shared" ca="1" si="122"/>
        <v>1.1085024611297258E-2</v>
      </c>
    </row>
    <row r="7712" spans="5:6" x14ac:dyDescent="0.35">
      <c r="E7712">
        <v>7709</v>
      </c>
      <c r="F7712">
        <f t="shared" ca="1" si="122"/>
        <v>-1.5183380021073481E-2</v>
      </c>
    </row>
    <row r="7713" spans="5:6" x14ac:dyDescent="0.35">
      <c r="E7713">
        <v>7710</v>
      </c>
      <c r="F7713">
        <f t="shared" ca="1" si="122"/>
        <v>-2.4316036083038548E-3</v>
      </c>
    </row>
    <row r="7714" spans="5:6" x14ac:dyDescent="0.35">
      <c r="E7714">
        <v>7711</v>
      </c>
      <c r="F7714">
        <f t="shared" ca="1" si="122"/>
        <v>-1.9270048339410414E-2</v>
      </c>
    </row>
    <row r="7715" spans="5:6" x14ac:dyDescent="0.35">
      <c r="E7715">
        <v>7712</v>
      </c>
      <c r="F7715">
        <f t="shared" ca="1" si="122"/>
        <v>-3.1216826101295867E-2</v>
      </c>
    </row>
    <row r="7716" spans="5:6" x14ac:dyDescent="0.35">
      <c r="E7716">
        <v>7713</v>
      </c>
      <c r="F7716">
        <f t="shared" ca="1" si="122"/>
        <v>3.1081384663271698E-2</v>
      </c>
    </row>
    <row r="7717" spans="5:6" x14ac:dyDescent="0.35">
      <c r="E7717">
        <v>7714</v>
      </c>
      <c r="F7717">
        <f t="shared" ca="1" si="122"/>
        <v>-3.5559428197432891E-4</v>
      </c>
    </row>
    <row r="7718" spans="5:6" x14ac:dyDescent="0.35">
      <c r="E7718">
        <v>7715</v>
      </c>
      <c r="F7718">
        <f t="shared" ca="1" si="122"/>
        <v>1.8423128089471413E-2</v>
      </c>
    </row>
    <row r="7719" spans="5:6" x14ac:dyDescent="0.35">
      <c r="E7719">
        <v>7716</v>
      </c>
      <c r="F7719">
        <f t="shared" ca="1" si="122"/>
        <v>2.755077170777652E-2</v>
      </c>
    </row>
    <row r="7720" spans="5:6" x14ac:dyDescent="0.35">
      <c r="E7720">
        <v>7717</v>
      </c>
      <c r="F7720">
        <f t="shared" ca="1" si="122"/>
        <v>1.0992404183419274E-2</v>
      </c>
    </row>
    <row r="7721" spans="5:6" x14ac:dyDescent="0.35">
      <c r="E7721">
        <v>7718</v>
      </c>
      <c r="F7721">
        <f t="shared" ca="1" si="122"/>
        <v>-8.1645482770004822E-3</v>
      </c>
    </row>
    <row r="7722" spans="5:6" x14ac:dyDescent="0.35">
      <c r="E7722">
        <v>7719</v>
      </c>
      <c r="F7722">
        <f t="shared" ca="1" si="122"/>
        <v>-7.9031166441519639E-4</v>
      </c>
    </row>
    <row r="7723" spans="5:6" x14ac:dyDescent="0.35">
      <c r="E7723">
        <v>7720</v>
      </c>
      <c r="F7723">
        <f t="shared" ca="1" si="122"/>
        <v>2.5407794911711162E-2</v>
      </c>
    </row>
    <row r="7724" spans="5:6" x14ac:dyDescent="0.35">
      <c r="E7724">
        <v>7721</v>
      </c>
      <c r="F7724">
        <f t="shared" ca="1" si="122"/>
        <v>-1.1389086098298815E-2</v>
      </c>
    </row>
    <row r="7725" spans="5:6" x14ac:dyDescent="0.35">
      <c r="E7725">
        <v>7722</v>
      </c>
      <c r="F7725">
        <f t="shared" ca="1" si="122"/>
        <v>-4.470671443312456E-3</v>
      </c>
    </row>
    <row r="7726" spans="5:6" x14ac:dyDescent="0.35">
      <c r="E7726">
        <v>7723</v>
      </c>
      <c r="F7726">
        <f t="shared" ca="1" si="122"/>
        <v>1.332585062882915E-2</v>
      </c>
    </row>
    <row r="7727" spans="5:6" x14ac:dyDescent="0.35">
      <c r="E7727">
        <v>7724</v>
      </c>
      <c r="F7727">
        <f t="shared" ca="1" si="122"/>
        <v>-3.1402256482653643E-2</v>
      </c>
    </row>
    <row r="7728" spans="5:6" x14ac:dyDescent="0.35">
      <c r="E7728">
        <v>7725</v>
      </c>
      <c r="F7728">
        <f t="shared" ca="1" si="122"/>
        <v>1.2328865091851603E-3</v>
      </c>
    </row>
    <row r="7729" spans="5:6" x14ac:dyDescent="0.35">
      <c r="E7729">
        <v>7726</v>
      </c>
      <c r="F7729">
        <f t="shared" ca="1" si="122"/>
        <v>1.6794029504781317E-3</v>
      </c>
    </row>
    <row r="7730" spans="5:6" x14ac:dyDescent="0.35">
      <c r="E7730">
        <v>7727</v>
      </c>
      <c r="F7730">
        <f t="shared" ca="1" si="122"/>
        <v>9.1960622151534589E-3</v>
      </c>
    </row>
    <row r="7731" spans="5:6" x14ac:dyDescent="0.35">
      <c r="E7731">
        <v>7728</v>
      </c>
      <c r="F7731">
        <f t="shared" ca="1" si="122"/>
        <v>-3.3857127588504586E-2</v>
      </c>
    </row>
    <row r="7732" spans="5:6" x14ac:dyDescent="0.35">
      <c r="E7732">
        <v>7729</v>
      </c>
      <c r="F7732">
        <f t="shared" ca="1" si="122"/>
        <v>-6.6511651042720395E-3</v>
      </c>
    </row>
    <row r="7733" spans="5:6" x14ac:dyDescent="0.35">
      <c r="E7733">
        <v>7730</v>
      </c>
      <c r="F7733">
        <f t="shared" ca="1" si="122"/>
        <v>2.5165278126708941E-2</v>
      </c>
    </row>
    <row r="7734" spans="5:6" x14ac:dyDescent="0.35">
      <c r="E7734">
        <v>7731</v>
      </c>
      <c r="F7734">
        <f t="shared" ca="1" si="122"/>
        <v>1.4338014850731697E-2</v>
      </c>
    </row>
    <row r="7735" spans="5:6" x14ac:dyDescent="0.35">
      <c r="E7735">
        <v>7732</v>
      </c>
      <c r="F7735">
        <f t="shared" ca="1" si="122"/>
        <v>-1.6738132363208934E-2</v>
      </c>
    </row>
    <row r="7736" spans="5:6" x14ac:dyDescent="0.35">
      <c r="E7736">
        <v>7733</v>
      </c>
      <c r="F7736">
        <f t="shared" ca="1" si="122"/>
        <v>2.0010138094330404E-3</v>
      </c>
    </row>
    <row r="7737" spans="5:6" x14ac:dyDescent="0.35">
      <c r="E7737">
        <v>7734</v>
      </c>
      <c r="F7737">
        <f t="shared" ca="1" si="122"/>
        <v>-1.0914682548699772E-2</v>
      </c>
    </row>
    <row r="7738" spans="5:6" x14ac:dyDescent="0.35">
      <c r="E7738">
        <v>7735</v>
      </c>
      <c r="F7738">
        <f t="shared" ca="1" si="122"/>
        <v>1.596543110093597E-2</v>
      </c>
    </row>
    <row r="7739" spans="5:6" x14ac:dyDescent="0.35">
      <c r="E7739">
        <v>7736</v>
      </c>
      <c r="F7739">
        <f t="shared" ca="1" si="122"/>
        <v>-2.8389168421728279E-3</v>
      </c>
    </row>
    <row r="7740" spans="5:6" x14ac:dyDescent="0.35">
      <c r="E7740">
        <v>7737</v>
      </c>
      <c r="F7740">
        <f t="shared" ca="1" si="122"/>
        <v>3.7234935905492614E-3</v>
      </c>
    </row>
    <row r="7741" spans="5:6" x14ac:dyDescent="0.35">
      <c r="E7741">
        <v>7738</v>
      </c>
      <c r="F7741">
        <f t="shared" ca="1" si="122"/>
        <v>-3.0163991321657852E-3</v>
      </c>
    </row>
    <row r="7742" spans="5:6" x14ac:dyDescent="0.35">
      <c r="E7742">
        <v>7739</v>
      </c>
      <c r="F7742">
        <f t="shared" ca="1" si="122"/>
        <v>1.5286264917075505E-2</v>
      </c>
    </row>
    <row r="7743" spans="5:6" x14ac:dyDescent="0.35">
      <c r="E7743">
        <v>7740</v>
      </c>
      <c r="F7743">
        <f t="shared" ca="1" si="122"/>
        <v>-2.0819366073190942E-2</v>
      </c>
    </row>
    <row r="7744" spans="5:6" x14ac:dyDescent="0.35">
      <c r="E7744">
        <v>7741</v>
      </c>
      <c r="F7744">
        <f t="shared" ca="1" si="122"/>
        <v>-8.4400502376890136E-3</v>
      </c>
    </row>
    <row r="7745" spans="5:6" x14ac:dyDescent="0.35">
      <c r="E7745">
        <v>7742</v>
      </c>
      <c r="F7745">
        <f t="shared" ca="1" si="122"/>
        <v>-8.540328598352253E-3</v>
      </c>
    </row>
    <row r="7746" spans="5:6" x14ac:dyDescent="0.35">
      <c r="E7746">
        <v>7743</v>
      </c>
      <c r="F7746">
        <f t="shared" ca="1" si="122"/>
        <v>-9.8209799465313729E-3</v>
      </c>
    </row>
    <row r="7747" spans="5:6" x14ac:dyDescent="0.35">
      <c r="E7747">
        <v>7744</v>
      </c>
      <c r="F7747">
        <f t="shared" ca="1" si="122"/>
        <v>1.7538438705863045E-2</v>
      </c>
    </row>
    <row r="7748" spans="5:6" x14ac:dyDescent="0.35">
      <c r="E7748">
        <v>7745</v>
      </c>
      <c r="F7748">
        <f t="shared" ca="1" si="122"/>
        <v>-1.3987228719289117E-2</v>
      </c>
    </row>
    <row r="7749" spans="5:6" x14ac:dyDescent="0.35">
      <c r="E7749">
        <v>7746</v>
      </c>
      <c r="F7749">
        <f t="shared" ref="F7749:F7812" ca="1" si="123">_xlfn.NORM.INV(RAND(),M$6,M$7)</f>
        <v>-9.3935641216313947E-4</v>
      </c>
    </row>
    <row r="7750" spans="5:6" x14ac:dyDescent="0.35">
      <c r="E7750">
        <v>7747</v>
      </c>
      <c r="F7750">
        <f t="shared" ca="1" si="123"/>
        <v>-4.8186849760839768E-3</v>
      </c>
    </row>
    <row r="7751" spans="5:6" x14ac:dyDescent="0.35">
      <c r="E7751">
        <v>7748</v>
      </c>
      <c r="F7751">
        <f t="shared" ca="1" si="123"/>
        <v>-5.5316207759086897E-2</v>
      </c>
    </row>
    <row r="7752" spans="5:6" x14ac:dyDescent="0.35">
      <c r="E7752">
        <v>7749</v>
      </c>
      <c r="F7752">
        <f t="shared" ca="1" si="123"/>
        <v>-1.5750454641266242E-2</v>
      </c>
    </row>
    <row r="7753" spans="5:6" x14ac:dyDescent="0.35">
      <c r="E7753">
        <v>7750</v>
      </c>
      <c r="F7753">
        <f t="shared" ca="1" si="123"/>
        <v>-1.2690243938571828E-2</v>
      </c>
    </row>
    <row r="7754" spans="5:6" x14ac:dyDescent="0.35">
      <c r="E7754">
        <v>7751</v>
      </c>
      <c r="F7754">
        <f t="shared" ca="1" si="123"/>
        <v>-1.6806435089995898E-2</v>
      </c>
    </row>
    <row r="7755" spans="5:6" x14ac:dyDescent="0.35">
      <c r="E7755">
        <v>7752</v>
      </c>
      <c r="F7755">
        <f t="shared" ca="1" si="123"/>
        <v>4.3770010806759617E-3</v>
      </c>
    </row>
    <row r="7756" spans="5:6" x14ac:dyDescent="0.35">
      <c r="E7756">
        <v>7753</v>
      </c>
      <c r="F7756">
        <f t="shared" ca="1" si="123"/>
        <v>1.8442845031586778E-2</v>
      </c>
    </row>
    <row r="7757" spans="5:6" x14ac:dyDescent="0.35">
      <c r="E7757">
        <v>7754</v>
      </c>
      <c r="F7757">
        <f t="shared" ca="1" si="123"/>
        <v>-6.07471354015431E-3</v>
      </c>
    </row>
    <row r="7758" spans="5:6" x14ac:dyDescent="0.35">
      <c r="E7758">
        <v>7755</v>
      </c>
      <c r="F7758">
        <f t="shared" ca="1" si="123"/>
        <v>4.6481758945886567E-3</v>
      </c>
    </row>
    <row r="7759" spans="5:6" x14ac:dyDescent="0.35">
      <c r="E7759">
        <v>7756</v>
      </c>
      <c r="F7759">
        <f t="shared" ca="1" si="123"/>
        <v>7.5340716506753971E-3</v>
      </c>
    </row>
    <row r="7760" spans="5:6" x14ac:dyDescent="0.35">
      <c r="E7760">
        <v>7757</v>
      </c>
      <c r="F7760">
        <f t="shared" ca="1" si="123"/>
        <v>-2.013647691118271E-2</v>
      </c>
    </row>
    <row r="7761" spans="5:6" x14ac:dyDescent="0.35">
      <c r="E7761">
        <v>7758</v>
      </c>
      <c r="F7761">
        <f t="shared" ca="1" si="123"/>
        <v>1.0990781379327286E-2</v>
      </c>
    </row>
    <row r="7762" spans="5:6" x14ac:dyDescent="0.35">
      <c r="E7762">
        <v>7759</v>
      </c>
      <c r="F7762">
        <f t="shared" ca="1" si="123"/>
        <v>1.4861390158437573E-4</v>
      </c>
    </row>
    <row r="7763" spans="5:6" x14ac:dyDescent="0.35">
      <c r="E7763">
        <v>7760</v>
      </c>
      <c r="F7763">
        <f t="shared" ca="1" si="123"/>
        <v>-2.5276198407026693E-2</v>
      </c>
    </row>
    <row r="7764" spans="5:6" x14ac:dyDescent="0.35">
      <c r="E7764">
        <v>7761</v>
      </c>
      <c r="F7764">
        <f t="shared" ca="1" si="123"/>
        <v>3.705445152120583E-3</v>
      </c>
    </row>
    <row r="7765" spans="5:6" x14ac:dyDescent="0.35">
      <c r="E7765">
        <v>7762</v>
      </c>
      <c r="F7765">
        <f t="shared" ca="1" si="123"/>
        <v>-9.0981912054233175E-3</v>
      </c>
    </row>
    <row r="7766" spans="5:6" x14ac:dyDescent="0.35">
      <c r="E7766">
        <v>7763</v>
      </c>
      <c r="F7766">
        <f t="shared" ca="1" si="123"/>
        <v>1.6561902260714141E-2</v>
      </c>
    </row>
    <row r="7767" spans="5:6" x14ac:dyDescent="0.35">
      <c r="E7767">
        <v>7764</v>
      </c>
      <c r="F7767">
        <f t="shared" ca="1" si="123"/>
        <v>-1.3372095286795704E-3</v>
      </c>
    </row>
    <row r="7768" spans="5:6" x14ac:dyDescent="0.35">
      <c r="E7768">
        <v>7765</v>
      </c>
      <c r="F7768">
        <f t="shared" ca="1" si="123"/>
        <v>-1.9495084930396808E-2</v>
      </c>
    </row>
    <row r="7769" spans="5:6" x14ac:dyDescent="0.35">
      <c r="E7769">
        <v>7766</v>
      </c>
      <c r="F7769">
        <f t="shared" ca="1" si="123"/>
        <v>1.9299391967586392E-2</v>
      </c>
    </row>
    <row r="7770" spans="5:6" x14ac:dyDescent="0.35">
      <c r="E7770">
        <v>7767</v>
      </c>
      <c r="F7770">
        <f t="shared" ca="1" si="123"/>
        <v>1.0282616288487551E-3</v>
      </c>
    </row>
    <row r="7771" spans="5:6" x14ac:dyDescent="0.35">
      <c r="E7771">
        <v>7768</v>
      </c>
      <c r="F7771">
        <f t="shared" ca="1" si="123"/>
        <v>1.9307553108063088E-2</v>
      </c>
    </row>
    <row r="7772" spans="5:6" x14ac:dyDescent="0.35">
      <c r="E7772">
        <v>7769</v>
      </c>
      <c r="F7772">
        <f t="shared" ca="1" si="123"/>
        <v>-2.797608776107979E-2</v>
      </c>
    </row>
    <row r="7773" spans="5:6" x14ac:dyDescent="0.35">
      <c r="E7773">
        <v>7770</v>
      </c>
      <c r="F7773">
        <f t="shared" ca="1" si="123"/>
        <v>-6.3612404865442916E-3</v>
      </c>
    </row>
    <row r="7774" spans="5:6" x14ac:dyDescent="0.35">
      <c r="E7774">
        <v>7771</v>
      </c>
      <c r="F7774">
        <f t="shared" ca="1" si="123"/>
        <v>-2.3761388468591989E-2</v>
      </c>
    </row>
    <row r="7775" spans="5:6" x14ac:dyDescent="0.35">
      <c r="E7775">
        <v>7772</v>
      </c>
      <c r="F7775">
        <f t="shared" ca="1" si="123"/>
        <v>-8.3133006934523294E-3</v>
      </c>
    </row>
    <row r="7776" spans="5:6" x14ac:dyDescent="0.35">
      <c r="E7776">
        <v>7773</v>
      </c>
      <c r="F7776">
        <f t="shared" ca="1" si="123"/>
        <v>5.054775004849796E-3</v>
      </c>
    </row>
    <row r="7777" spans="5:6" x14ac:dyDescent="0.35">
      <c r="E7777">
        <v>7774</v>
      </c>
      <c r="F7777">
        <f t="shared" ca="1" si="123"/>
        <v>2.1219364992364709E-2</v>
      </c>
    </row>
    <row r="7778" spans="5:6" x14ac:dyDescent="0.35">
      <c r="E7778">
        <v>7775</v>
      </c>
      <c r="F7778">
        <f t="shared" ca="1" si="123"/>
        <v>7.6939454060803367E-3</v>
      </c>
    </row>
    <row r="7779" spans="5:6" x14ac:dyDescent="0.35">
      <c r="E7779">
        <v>7776</v>
      </c>
      <c r="F7779">
        <f t="shared" ca="1" si="123"/>
        <v>4.5930170942216379E-3</v>
      </c>
    </row>
    <row r="7780" spans="5:6" x14ac:dyDescent="0.35">
      <c r="E7780">
        <v>7777</v>
      </c>
      <c r="F7780">
        <f t="shared" ca="1" si="123"/>
        <v>4.8435658412086125E-3</v>
      </c>
    </row>
    <row r="7781" spans="5:6" x14ac:dyDescent="0.35">
      <c r="E7781">
        <v>7778</v>
      </c>
      <c r="F7781">
        <f t="shared" ca="1" si="123"/>
        <v>-1.7720570920575662E-2</v>
      </c>
    </row>
    <row r="7782" spans="5:6" x14ac:dyDescent="0.35">
      <c r="E7782">
        <v>7779</v>
      </c>
      <c r="F7782">
        <f t="shared" ca="1" si="123"/>
        <v>1.6403934578499833E-2</v>
      </c>
    </row>
    <row r="7783" spans="5:6" x14ac:dyDescent="0.35">
      <c r="E7783">
        <v>7780</v>
      </c>
      <c r="F7783">
        <f t="shared" ca="1" si="123"/>
        <v>1.7950997382790114E-3</v>
      </c>
    </row>
    <row r="7784" spans="5:6" x14ac:dyDescent="0.35">
      <c r="E7784">
        <v>7781</v>
      </c>
      <c r="F7784">
        <f t="shared" ca="1" si="123"/>
        <v>-1.0487787089071715E-2</v>
      </c>
    </row>
    <row r="7785" spans="5:6" x14ac:dyDescent="0.35">
      <c r="E7785">
        <v>7782</v>
      </c>
      <c r="F7785">
        <f t="shared" ca="1" si="123"/>
        <v>-1.5957999262531639E-2</v>
      </c>
    </row>
    <row r="7786" spans="5:6" x14ac:dyDescent="0.35">
      <c r="E7786">
        <v>7783</v>
      </c>
      <c r="F7786">
        <f t="shared" ca="1" si="123"/>
        <v>4.5388928631525591E-2</v>
      </c>
    </row>
    <row r="7787" spans="5:6" x14ac:dyDescent="0.35">
      <c r="E7787">
        <v>7784</v>
      </c>
      <c r="F7787">
        <f t="shared" ca="1" si="123"/>
        <v>-5.7324321083023514E-3</v>
      </c>
    </row>
    <row r="7788" spans="5:6" x14ac:dyDescent="0.35">
      <c r="E7788">
        <v>7785</v>
      </c>
      <c r="F7788">
        <f t="shared" ca="1" si="123"/>
        <v>-1.5015268873290695E-2</v>
      </c>
    </row>
    <row r="7789" spans="5:6" x14ac:dyDescent="0.35">
      <c r="E7789">
        <v>7786</v>
      </c>
      <c r="F7789">
        <f t="shared" ca="1" si="123"/>
        <v>7.6042694495733814E-3</v>
      </c>
    </row>
    <row r="7790" spans="5:6" x14ac:dyDescent="0.35">
      <c r="E7790">
        <v>7787</v>
      </c>
      <c r="F7790">
        <f t="shared" ca="1" si="123"/>
        <v>1.4174456808897205E-2</v>
      </c>
    </row>
    <row r="7791" spans="5:6" x14ac:dyDescent="0.35">
      <c r="E7791">
        <v>7788</v>
      </c>
      <c r="F7791">
        <f t="shared" ca="1" si="123"/>
        <v>-1.4973649175451758E-2</v>
      </c>
    </row>
    <row r="7792" spans="5:6" x14ac:dyDescent="0.35">
      <c r="E7792">
        <v>7789</v>
      </c>
      <c r="F7792">
        <f t="shared" ca="1" si="123"/>
        <v>8.4209815346591374E-3</v>
      </c>
    </row>
    <row r="7793" spans="5:6" x14ac:dyDescent="0.35">
      <c r="E7793">
        <v>7790</v>
      </c>
      <c r="F7793">
        <f t="shared" ca="1" si="123"/>
        <v>1.8364860551479723E-2</v>
      </c>
    </row>
    <row r="7794" spans="5:6" x14ac:dyDescent="0.35">
      <c r="E7794">
        <v>7791</v>
      </c>
      <c r="F7794">
        <f t="shared" ca="1" si="123"/>
        <v>2.3037915928296085E-2</v>
      </c>
    </row>
    <row r="7795" spans="5:6" x14ac:dyDescent="0.35">
      <c r="E7795">
        <v>7792</v>
      </c>
      <c r="F7795">
        <f t="shared" ca="1" si="123"/>
        <v>1.2232694016997564E-2</v>
      </c>
    </row>
    <row r="7796" spans="5:6" x14ac:dyDescent="0.35">
      <c r="E7796">
        <v>7793</v>
      </c>
      <c r="F7796">
        <f t="shared" ca="1" si="123"/>
        <v>-1.1117167797599333E-3</v>
      </c>
    </row>
    <row r="7797" spans="5:6" x14ac:dyDescent="0.35">
      <c r="E7797">
        <v>7794</v>
      </c>
      <c r="F7797">
        <f t="shared" ca="1" si="123"/>
        <v>-1.0417268638887594E-2</v>
      </c>
    </row>
    <row r="7798" spans="5:6" x14ac:dyDescent="0.35">
      <c r="E7798">
        <v>7795</v>
      </c>
      <c r="F7798">
        <f t="shared" ca="1" si="123"/>
        <v>4.7552506572623885E-3</v>
      </c>
    </row>
    <row r="7799" spans="5:6" x14ac:dyDescent="0.35">
      <c r="E7799">
        <v>7796</v>
      </c>
      <c r="F7799">
        <f t="shared" ca="1" si="123"/>
        <v>1.7123515682362787E-2</v>
      </c>
    </row>
    <row r="7800" spans="5:6" x14ac:dyDescent="0.35">
      <c r="E7800">
        <v>7797</v>
      </c>
      <c r="F7800">
        <f t="shared" ca="1" si="123"/>
        <v>6.1211802836758479E-3</v>
      </c>
    </row>
    <row r="7801" spans="5:6" x14ac:dyDescent="0.35">
      <c r="E7801">
        <v>7798</v>
      </c>
      <c r="F7801">
        <f t="shared" ca="1" si="123"/>
        <v>-1.0957305469907475E-2</v>
      </c>
    </row>
    <row r="7802" spans="5:6" x14ac:dyDescent="0.35">
      <c r="E7802">
        <v>7799</v>
      </c>
      <c r="F7802">
        <f t="shared" ca="1" si="123"/>
        <v>3.1231906506848325E-3</v>
      </c>
    </row>
    <row r="7803" spans="5:6" x14ac:dyDescent="0.35">
      <c r="E7803">
        <v>7800</v>
      </c>
      <c r="F7803">
        <f t="shared" ca="1" si="123"/>
        <v>-8.7915288073755846E-3</v>
      </c>
    </row>
    <row r="7804" spans="5:6" x14ac:dyDescent="0.35">
      <c r="E7804">
        <v>7801</v>
      </c>
      <c r="F7804">
        <f t="shared" ca="1" si="123"/>
        <v>7.862740954242612E-3</v>
      </c>
    </row>
    <row r="7805" spans="5:6" x14ac:dyDescent="0.35">
      <c r="E7805">
        <v>7802</v>
      </c>
      <c r="F7805">
        <f t="shared" ca="1" si="123"/>
        <v>4.5470035985674855E-3</v>
      </c>
    </row>
    <row r="7806" spans="5:6" x14ac:dyDescent="0.35">
      <c r="E7806">
        <v>7803</v>
      </c>
      <c r="F7806">
        <f t="shared" ca="1" si="123"/>
        <v>9.8901092797459358E-3</v>
      </c>
    </row>
    <row r="7807" spans="5:6" x14ac:dyDescent="0.35">
      <c r="E7807">
        <v>7804</v>
      </c>
      <c r="F7807">
        <f t="shared" ca="1" si="123"/>
        <v>-2.0053888999486003E-2</v>
      </c>
    </row>
    <row r="7808" spans="5:6" x14ac:dyDescent="0.35">
      <c r="E7808">
        <v>7805</v>
      </c>
      <c r="F7808">
        <f t="shared" ca="1" si="123"/>
        <v>-2.4177948570421742E-3</v>
      </c>
    </row>
    <row r="7809" spans="5:6" x14ac:dyDescent="0.35">
      <c r="E7809">
        <v>7806</v>
      </c>
      <c r="F7809">
        <f t="shared" ca="1" si="123"/>
        <v>-6.7869431549420962E-4</v>
      </c>
    </row>
    <row r="7810" spans="5:6" x14ac:dyDescent="0.35">
      <c r="E7810">
        <v>7807</v>
      </c>
      <c r="F7810">
        <f t="shared" ca="1" si="123"/>
        <v>-5.9372483472820694E-3</v>
      </c>
    </row>
    <row r="7811" spans="5:6" x14ac:dyDescent="0.35">
      <c r="E7811">
        <v>7808</v>
      </c>
      <c r="F7811">
        <f t="shared" ca="1" si="123"/>
        <v>4.6157287708653762E-3</v>
      </c>
    </row>
    <row r="7812" spans="5:6" x14ac:dyDescent="0.35">
      <c r="E7812">
        <v>7809</v>
      </c>
      <c r="F7812">
        <f t="shared" ca="1" si="123"/>
        <v>1.2955922947877259E-2</v>
      </c>
    </row>
    <row r="7813" spans="5:6" x14ac:dyDescent="0.35">
      <c r="E7813">
        <v>7810</v>
      </c>
      <c r="F7813">
        <f t="shared" ref="F7813:F7876" ca="1" si="124">_xlfn.NORM.INV(RAND(),M$6,M$7)</f>
        <v>-6.1677300188781037E-3</v>
      </c>
    </row>
    <row r="7814" spans="5:6" x14ac:dyDescent="0.35">
      <c r="E7814">
        <v>7811</v>
      </c>
      <c r="F7814">
        <f t="shared" ca="1" si="124"/>
        <v>-8.688851628372584E-3</v>
      </c>
    </row>
    <row r="7815" spans="5:6" x14ac:dyDescent="0.35">
      <c r="E7815">
        <v>7812</v>
      </c>
      <c r="F7815">
        <f t="shared" ca="1" si="124"/>
        <v>1.5592893531356426E-2</v>
      </c>
    </row>
    <row r="7816" spans="5:6" x14ac:dyDescent="0.35">
      <c r="E7816">
        <v>7813</v>
      </c>
      <c r="F7816">
        <f t="shared" ca="1" si="124"/>
        <v>2.3551678187911911E-2</v>
      </c>
    </row>
    <row r="7817" spans="5:6" x14ac:dyDescent="0.35">
      <c r="E7817">
        <v>7814</v>
      </c>
      <c r="F7817">
        <f t="shared" ca="1" si="124"/>
        <v>-7.5853582617973645E-4</v>
      </c>
    </row>
    <row r="7818" spans="5:6" x14ac:dyDescent="0.35">
      <c r="E7818">
        <v>7815</v>
      </c>
      <c r="F7818">
        <f t="shared" ca="1" si="124"/>
        <v>-2.7347996921893184E-3</v>
      </c>
    </row>
    <row r="7819" spans="5:6" x14ac:dyDescent="0.35">
      <c r="E7819">
        <v>7816</v>
      </c>
      <c r="F7819">
        <f t="shared" ca="1" si="124"/>
        <v>1.947196756112176E-2</v>
      </c>
    </row>
    <row r="7820" spans="5:6" x14ac:dyDescent="0.35">
      <c r="E7820">
        <v>7817</v>
      </c>
      <c r="F7820">
        <f t="shared" ca="1" si="124"/>
        <v>9.558066220917559E-3</v>
      </c>
    </row>
    <row r="7821" spans="5:6" x14ac:dyDescent="0.35">
      <c r="E7821">
        <v>7818</v>
      </c>
      <c r="F7821">
        <f t="shared" ca="1" si="124"/>
        <v>-9.3684007868264953E-3</v>
      </c>
    </row>
    <row r="7822" spans="5:6" x14ac:dyDescent="0.35">
      <c r="E7822">
        <v>7819</v>
      </c>
      <c r="F7822">
        <f t="shared" ca="1" si="124"/>
        <v>-3.700818618308517E-3</v>
      </c>
    </row>
    <row r="7823" spans="5:6" x14ac:dyDescent="0.35">
      <c r="E7823">
        <v>7820</v>
      </c>
      <c r="F7823">
        <f t="shared" ca="1" si="124"/>
        <v>1.7859514485023171E-2</v>
      </c>
    </row>
    <row r="7824" spans="5:6" x14ac:dyDescent="0.35">
      <c r="E7824">
        <v>7821</v>
      </c>
      <c r="F7824">
        <f t="shared" ca="1" si="124"/>
        <v>1.124167063424587E-2</v>
      </c>
    </row>
    <row r="7825" spans="5:6" x14ac:dyDescent="0.35">
      <c r="E7825">
        <v>7822</v>
      </c>
      <c r="F7825">
        <f t="shared" ca="1" si="124"/>
        <v>6.671328929139542E-3</v>
      </c>
    </row>
    <row r="7826" spans="5:6" x14ac:dyDescent="0.35">
      <c r="E7826">
        <v>7823</v>
      </c>
      <c r="F7826">
        <f t="shared" ca="1" si="124"/>
        <v>-3.0424573349140775E-2</v>
      </c>
    </row>
    <row r="7827" spans="5:6" x14ac:dyDescent="0.35">
      <c r="E7827">
        <v>7824</v>
      </c>
      <c r="F7827">
        <f t="shared" ca="1" si="124"/>
        <v>5.5161190799595692E-3</v>
      </c>
    </row>
    <row r="7828" spans="5:6" x14ac:dyDescent="0.35">
      <c r="E7828">
        <v>7825</v>
      </c>
      <c r="F7828">
        <f t="shared" ca="1" si="124"/>
        <v>-2.2818215362615989E-2</v>
      </c>
    </row>
    <row r="7829" spans="5:6" x14ac:dyDescent="0.35">
      <c r="E7829">
        <v>7826</v>
      </c>
      <c r="F7829">
        <f t="shared" ca="1" si="124"/>
        <v>-1.1045772892268761E-2</v>
      </c>
    </row>
    <row r="7830" spans="5:6" x14ac:dyDescent="0.35">
      <c r="E7830">
        <v>7827</v>
      </c>
      <c r="F7830">
        <f t="shared" ca="1" si="124"/>
        <v>-2.3476259818088388E-2</v>
      </c>
    </row>
    <row r="7831" spans="5:6" x14ac:dyDescent="0.35">
      <c r="E7831">
        <v>7828</v>
      </c>
      <c r="F7831">
        <f t="shared" ca="1" si="124"/>
        <v>-1.178653176934878E-2</v>
      </c>
    </row>
    <row r="7832" spans="5:6" x14ac:dyDescent="0.35">
      <c r="E7832">
        <v>7829</v>
      </c>
      <c r="F7832">
        <f t="shared" ca="1" si="124"/>
        <v>-2.0108920900989001E-2</v>
      </c>
    </row>
    <row r="7833" spans="5:6" x14ac:dyDescent="0.35">
      <c r="E7833">
        <v>7830</v>
      </c>
      <c r="F7833">
        <f t="shared" ca="1" si="124"/>
        <v>-1.0934952772856671E-2</v>
      </c>
    </row>
    <row r="7834" spans="5:6" x14ac:dyDescent="0.35">
      <c r="E7834">
        <v>7831</v>
      </c>
      <c r="F7834">
        <f t="shared" ca="1" si="124"/>
        <v>-5.3876511988865134E-3</v>
      </c>
    </row>
    <row r="7835" spans="5:6" x14ac:dyDescent="0.35">
      <c r="E7835">
        <v>7832</v>
      </c>
      <c r="F7835">
        <f t="shared" ca="1" si="124"/>
        <v>-5.758782296228288E-3</v>
      </c>
    </row>
    <row r="7836" spans="5:6" x14ac:dyDescent="0.35">
      <c r="E7836">
        <v>7833</v>
      </c>
      <c r="F7836">
        <f t="shared" ca="1" si="124"/>
        <v>-5.5093929714496942E-3</v>
      </c>
    </row>
    <row r="7837" spans="5:6" x14ac:dyDescent="0.35">
      <c r="E7837">
        <v>7834</v>
      </c>
      <c r="F7837">
        <f t="shared" ca="1" si="124"/>
        <v>-1.6567529797043571E-2</v>
      </c>
    </row>
    <row r="7838" spans="5:6" x14ac:dyDescent="0.35">
      <c r="E7838">
        <v>7835</v>
      </c>
      <c r="F7838">
        <f t="shared" ca="1" si="124"/>
        <v>2.3944079485614393E-2</v>
      </c>
    </row>
    <row r="7839" spans="5:6" x14ac:dyDescent="0.35">
      <c r="E7839">
        <v>7836</v>
      </c>
      <c r="F7839">
        <f t="shared" ca="1" si="124"/>
        <v>-1.6267053575667142E-2</v>
      </c>
    </row>
    <row r="7840" spans="5:6" x14ac:dyDescent="0.35">
      <c r="E7840">
        <v>7837</v>
      </c>
      <c r="F7840">
        <f t="shared" ca="1" si="124"/>
        <v>2.3819503069204728E-3</v>
      </c>
    </row>
    <row r="7841" spans="5:6" x14ac:dyDescent="0.35">
      <c r="E7841">
        <v>7838</v>
      </c>
      <c r="F7841">
        <f t="shared" ca="1" si="124"/>
        <v>3.6656235519074213E-4</v>
      </c>
    </row>
    <row r="7842" spans="5:6" x14ac:dyDescent="0.35">
      <c r="E7842">
        <v>7839</v>
      </c>
      <c r="F7842">
        <f t="shared" ca="1" si="124"/>
        <v>7.2189407389914896E-3</v>
      </c>
    </row>
    <row r="7843" spans="5:6" x14ac:dyDescent="0.35">
      <c r="E7843">
        <v>7840</v>
      </c>
      <c r="F7843">
        <f t="shared" ca="1" si="124"/>
        <v>2.0812123950670416E-2</v>
      </c>
    </row>
    <row r="7844" spans="5:6" x14ac:dyDescent="0.35">
      <c r="E7844">
        <v>7841</v>
      </c>
      <c r="F7844">
        <f t="shared" ca="1" si="124"/>
        <v>6.8024343635980449E-4</v>
      </c>
    </row>
    <row r="7845" spans="5:6" x14ac:dyDescent="0.35">
      <c r="E7845">
        <v>7842</v>
      </c>
      <c r="F7845">
        <f t="shared" ca="1" si="124"/>
        <v>-1.5906783614015416E-2</v>
      </c>
    </row>
    <row r="7846" spans="5:6" x14ac:dyDescent="0.35">
      <c r="E7846">
        <v>7843</v>
      </c>
      <c r="F7846">
        <f t="shared" ca="1" si="124"/>
        <v>-1.349343910934727E-2</v>
      </c>
    </row>
    <row r="7847" spans="5:6" x14ac:dyDescent="0.35">
      <c r="E7847">
        <v>7844</v>
      </c>
      <c r="F7847">
        <f t="shared" ca="1" si="124"/>
        <v>1.5651748745443995E-2</v>
      </c>
    </row>
    <row r="7848" spans="5:6" x14ac:dyDescent="0.35">
      <c r="E7848">
        <v>7845</v>
      </c>
      <c r="F7848">
        <f t="shared" ca="1" si="124"/>
        <v>1.0776570445355698E-2</v>
      </c>
    </row>
    <row r="7849" spans="5:6" x14ac:dyDescent="0.35">
      <c r="E7849">
        <v>7846</v>
      </c>
      <c r="F7849">
        <f t="shared" ca="1" si="124"/>
        <v>-2.3817868078787406E-2</v>
      </c>
    </row>
    <row r="7850" spans="5:6" x14ac:dyDescent="0.35">
      <c r="E7850">
        <v>7847</v>
      </c>
      <c r="F7850">
        <f t="shared" ca="1" si="124"/>
        <v>8.3015049602143797E-3</v>
      </c>
    </row>
    <row r="7851" spans="5:6" x14ac:dyDescent="0.35">
      <c r="E7851">
        <v>7848</v>
      </c>
      <c r="F7851">
        <f t="shared" ca="1" si="124"/>
        <v>-2.4069173222016335E-2</v>
      </c>
    </row>
    <row r="7852" spans="5:6" x14ac:dyDescent="0.35">
      <c r="E7852">
        <v>7849</v>
      </c>
      <c r="F7852">
        <f t="shared" ca="1" si="124"/>
        <v>-2.5777764738600953E-2</v>
      </c>
    </row>
    <row r="7853" spans="5:6" x14ac:dyDescent="0.35">
      <c r="E7853">
        <v>7850</v>
      </c>
      <c r="F7853">
        <f t="shared" ca="1" si="124"/>
        <v>-1.8589741801870473E-2</v>
      </c>
    </row>
    <row r="7854" spans="5:6" x14ac:dyDescent="0.35">
      <c r="E7854">
        <v>7851</v>
      </c>
      <c r="F7854">
        <f t="shared" ca="1" si="124"/>
        <v>1.2502675691458352E-2</v>
      </c>
    </row>
    <row r="7855" spans="5:6" x14ac:dyDescent="0.35">
      <c r="E7855">
        <v>7852</v>
      </c>
      <c r="F7855">
        <f t="shared" ca="1" si="124"/>
        <v>-1.6428283445919085E-2</v>
      </c>
    </row>
    <row r="7856" spans="5:6" x14ac:dyDescent="0.35">
      <c r="E7856">
        <v>7853</v>
      </c>
      <c r="F7856">
        <f t="shared" ca="1" si="124"/>
        <v>6.0579768655839288E-3</v>
      </c>
    </row>
    <row r="7857" spans="5:6" x14ac:dyDescent="0.35">
      <c r="E7857">
        <v>7854</v>
      </c>
      <c r="F7857">
        <f t="shared" ca="1" si="124"/>
        <v>1.9366060144728945E-2</v>
      </c>
    </row>
    <row r="7858" spans="5:6" x14ac:dyDescent="0.35">
      <c r="E7858">
        <v>7855</v>
      </c>
      <c r="F7858">
        <f t="shared" ca="1" si="124"/>
        <v>-1.7199769454536034E-2</v>
      </c>
    </row>
    <row r="7859" spans="5:6" x14ac:dyDescent="0.35">
      <c r="E7859">
        <v>7856</v>
      </c>
      <c r="F7859">
        <f t="shared" ca="1" si="124"/>
        <v>1.9537061716298781E-4</v>
      </c>
    </row>
    <row r="7860" spans="5:6" x14ac:dyDescent="0.35">
      <c r="E7860">
        <v>7857</v>
      </c>
      <c r="F7860">
        <f t="shared" ca="1" si="124"/>
        <v>-3.5974318831385722E-2</v>
      </c>
    </row>
    <row r="7861" spans="5:6" x14ac:dyDescent="0.35">
      <c r="E7861">
        <v>7858</v>
      </c>
      <c r="F7861">
        <f t="shared" ca="1" si="124"/>
        <v>-6.0763421309346297E-3</v>
      </c>
    </row>
    <row r="7862" spans="5:6" x14ac:dyDescent="0.35">
      <c r="E7862">
        <v>7859</v>
      </c>
      <c r="F7862">
        <f t="shared" ca="1" si="124"/>
        <v>-2.652540577599407E-2</v>
      </c>
    </row>
    <row r="7863" spans="5:6" x14ac:dyDescent="0.35">
      <c r="E7863">
        <v>7860</v>
      </c>
      <c r="F7863">
        <f t="shared" ca="1" si="124"/>
        <v>-9.1006698580443045E-3</v>
      </c>
    </row>
    <row r="7864" spans="5:6" x14ac:dyDescent="0.35">
      <c r="E7864">
        <v>7861</v>
      </c>
      <c r="F7864">
        <f t="shared" ca="1" si="124"/>
        <v>-4.4198920559840888E-3</v>
      </c>
    </row>
    <row r="7865" spans="5:6" x14ac:dyDescent="0.35">
      <c r="E7865">
        <v>7862</v>
      </c>
      <c r="F7865">
        <f t="shared" ca="1" si="124"/>
        <v>-8.0819235321297409E-3</v>
      </c>
    </row>
    <row r="7866" spans="5:6" x14ac:dyDescent="0.35">
      <c r="E7866">
        <v>7863</v>
      </c>
      <c r="F7866">
        <f t="shared" ca="1" si="124"/>
        <v>-4.6166629856639252E-3</v>
      </c>
    </row>
    <row r="7867" spans="5:6" x14ac:dyDescent="0.35">
      <c r="E7867">
        <v>7864</v>
      </c>
      <c r="F7867">
        <f t="shared" ca="1" si="124"/>
        <v>2.5080037803016742E-4</v>
      </c>
    </row>
    <row r="7868" spans="5:6" x14ac:dyDescent="0.35">
      <c r="E7868">
        <v>7865</v>
      </c>
      <c r="F7868">
        <f t="shared" ca="1" si="124"/>
        <v>-1.7159739893657325E-3</v>
      </c>
    </row>
    <row r="7869" spans="5:6" x14ac:dyDescent="0.35">
      <c r="E7869">
        <v>7866</v>
      </c>
      <c r="F7869">
        <f t="shared" ca="1" si="124"/>
        <v>1.5413550998333744E-2</v>
      </c>
    </row>
    <row r="7870" spans="5:6" x14ac:dyDescent="0.35">
      <c r="E7870">
        <v>7867</v>
      </c>
      <c r="F7870">
        <f t="shared" ca="1" si="124"/>
        <v>-9.5966557292510562E-3</v>
      </c>
    </row>
    <row r="7871" spans="5:6" x14ac:dyDescent="0.35">
      <c r="E7871">
        <v>7868</v>
      </c>
      <c r="F7871">
        <f t="shared" ca="1" si="124"/>
        <v>2.8475341836618831E-2</v>
      </c>
    </row>
    <row r="7872" spans="5:6" x14ac:dyDescent="0.35">
      <c r="E7872">
        <v>7869</v>
      </c>
      <c r="F7872">
        <f t="shared" ca="1" si="124"/>
        <v>8.4645615569871428E-3</v>
      </c>
    </row>
    <row r="7873" spans="5:6" x14ac:dyDescent="0.35">
      <c r="E7873">
        <v>7870</v>
      </c>
      <c r="F7873">
        <f t="shared" ca="1" si="124"/>
        <v>-2.3098413061901683E-2</v>
      </c>
    </row>
    <row r="7874" spans="5:6" x14ac:dyDescent="0.35">
      <c r="E7874">
        <v>7871</v>
      </c>
      <c r="F7874">
        <f t="shared" ca="1" si="124"/>
        <v>-4.3850604092285681E-4</v>
      </c>
    </row>
    <row r="7875" spans="5:6" x14ac:dyDescent="0.35">
      <c r="E7875">
        <v>7872</v>
      </c>
      <c r="F7875">
        <f t="shared" ca="1" si="124"/>
        <v>-2.2024904746795082E-2</v>
      </c>
    </row>
    <row r="7876" spans="5:6" x14ac:dyDescent="0.35">
      <c r="E7876">
        <v>7873</v>
      </c>
      <c r="F7876">
        <f t="shared" ca="1" si="124"/>
        <v>-5.2793564760151811E-3</v>
      </c>
    </row>
    <row r="7877" spans="5:6" x14ac:dyDescent="0.35">
      <c r="E7877">
        <v>7874</v>
      </c>
      <c r="F7877">
        <f t="shared" ref="F7877:F7940" ca="1" si="125">_xlfn.NORM.INV(RAND(),M$6,M$7)</f>
        <v>-3.0035286454761258E-2</v>
      </c>
    </row>
    <row r="7878" spans="5:6" x14ac:dyDescent="0.35">
      <c r="E7878">
        <v>7875</v>
      </c>
      <c r="F7878">
        <f t="shared" ca="1" si="125"/>
        <v>2.2560686289259696E-2</v>
      </c>
    </row>
    <row r="7879" spans="5:6" x14ac:dyDescent="0.35">
      <c r="E7879">
        <v>7876</v>
      </c>
      <c r="F7879">
        <f t="shared" ca="1" si="125"/>
        <v>-6.6048474751524647E-3</v>
      </c>
    </row>
    <row r="7880" spans="5:6" x14ac:dyDescent="0.35">
      <c r="E7880">
        <v>7877</v>
      </c>
      <c r="F7880">
        <f t="shared" ca="1" si="125"/>
        <v>3.122582247148243E-2</v>
      </c>
    </row>
    <row r="7881" spans="5:6" x14ac:dyDescent="0.35">
      <c r="E7881">
        <v>7878</v>
      </c>
      <c r="F7881">
        <f t="shared" ca="1" si="125"/>
        <v>-1.3304444083324799E-3</v>
      </c>
    </row>
    <row r="7882" spans="5:6" x14ac:dyDescent="0.35">
      <c r="E7882">
        <v>7879</v>
      </c>
      <c r="F7882">
        <f t="shared" ca="1" si="125"/>
        <v>-3.7133820542493024E-3</v>
      </c>
    </row>
    <row r="7883" spans="5:6" x14ac:dyDescent="0.35">
      <c r="E7883">
        <v>7880</v>
      </c>
      <c r="F7883">
        <f t="shared" ca="1" si="125"/>
        <v>-1.8535824572230228E-2</v>
      </c>
    </row>
    <row r="7884" spans="5:6" x14ac:dyDescent="0.35">
      <c r="E7884">
        <v>7881</v>
      </c>
      <c r="F7884">
        <f t="shared" ca="1" si="125"/>
        <v>-5.3760630463740196E-3</v>
      </c>
    </row>
    <row r="7885" spans="5:6" x14ac:dyDescent="0.35">
      <c r="E7885">
        <v>7882</v>
      </c>
      <c r="F7885">
        <f t="shared" ca="1" si="125"/>
        <v>2.5849720757366215E-2</v>
      </c>
    </row>
    <row r="7886" spans="5:6" x14ac:dyDescent="0.35">
      <c r="E7886">
        <v>7883</v>
      </c>
      <c r="F7886">
        <f t="shared" ca="1" si="125"/>
        <v>-8.5948940896310032E-4</v>
      </c>
    </row>
    <row r="7887" spans="5:6" x14ac:dyDescent="0.35">
      <c r="E7887">
        <v>7884</v>
      </c>
      <c r="F7887">
        <f t="shared" ca="1" si="125"/>
        <v>2.9510319041457862E-2</v>
      </c>
    </row>
    <row r="7888" spans="5:6" x14ac:dyDescent="0.35">
      <c r="E7888">
        <v>7885</v>
      </c>
      <c r="F7888">
        <f t="shared" ca="1" si="125"/>
        <v>-2.9287405236513256E-5</v>
      </c>
    </row>
    <row r="7889" spans="5:6" x14ac:dyDescent="0.35">
      <c r="E7889">
        <v>7886</v>
      </c>
      <c r="F7889">
        <f t="shared" ca="1" si="125"/>
        <v>1.3237495195851878E-2</v>
      </c>
    </row>
    <row r="7890" spans="5:6" x14ac:dyDescent="0.35">
      <c r="E7890">
        <v>7887</v>
      </c>
      <c r="F7890">
        <f t="shared" ca="1" si="125"/>
        <v>-5.1216511546571626E-3</v>
      </c>
    </row>
    <row r="7891" spans="5:6" x14ac:dyDescent="0.35">
      <c r="E7891">
        <v>7888</v>
      </c>
      <c r="F7891">
        <f t="shared" ca="1" si="125"/>
        <v>-4.9005903078034692E-3</v>
      </c>
    </row>
    <row r="7892" spans="5:6" x14ac:dyDescent="0.35">
      <c r="E7892">
        <v>7889</v>
      </c>
      <c r="F7892">
        <f t="shared" ca="1" si="125"/>
        <v>1.621347707419693E-2</v>
      </c>
    </row>
    <row r="7893" spans="5:6" x14ac:dyDescent="0.35">
      <c r="E7893">
        <v>7890</v>
      </c>
      <c r="F7893">
        <f t="shared" ca="1" si="125"/>
        <v>-8.6166451863520926E-4</v>
      </c>
    </row>
    <row r="7894" spans="5:6" x14ac:dyDescent="0.35">
      <c r="E7894">
        <v>7891</v>
      </c>
      <c r="F7894">
        <f t="shared" ca="1" si="125"/>
        <v>-6.9721460088297297E-3</v>
      </c>
    </row>
    <row r="7895" spans="5:6" x14ac:dyDescent="0.35">
      <c r="E7895">
        <v>7892</v>
      </c>
      <c r="F7895">
        <f t="shared" ca="1" si="125"/>
        <v>1.4029615508045594E-2</v>
      </c>
    </row>
    <row r="7896" spans="5:6" x14ac:dyDescent="0.35">
      <c r="E7896">
        <v>7893</v>
      </c>
      <c r="F7896">
        <f t="shared" ca="1" si="125"/>
        <v>-1.3127776428305767E-3</v>
      </c>
    </row>
    <row r="7897" spans="5:6" x14ac:dyDescent="0.35">
      <c r="E7897">
        <v>7894</v>
      </c>
      <c r="F7897">
        <f t="shared" ca="1" si="125"/>
        <v>-8.3355203220105579E-3</v>
      </c>
    </row>
    <row r="7898" spans="5:6" x14ac:dyDescent="0.35">
      <c r="E7898">
        <v>7895</v>
      </c>
      <c r="F7898">
        <f t="shared" ca="1" si="125"/>
        <v>-1.4189177738053789E-2</v>
      </c>
    </row>
    <row r="7899" spans="5:6" x14ac:dyDescent="0.35">
      <c r="E7899">
        <v>7896</v>
      </c>
      <c r="F7899">
        <f t="shared" ca="1" si="125"/>
        <v>1.2242018309351194E-2</v>
      </c>
    </row>
    <row r="7900" spans="5:6" x14ac:dyDescent="0.35">
      <c r="E7900">
        <v>7897</v>
      </c>
      <c r="F7900">
        <f t="shared" ca="1" si="125"/>
        <v>-1.2781872743884619E-2</v>
      </c>
    </row>
    <row r="7901" spans="5:6" x14ac:dyDescent="0.35">
      <c r="E7901">
        <v>7898</v>
      </c>
      <c r="F7901">
        <f t="shared" ca="1" si="125"/>
        <v>7.6574103056470961E-3</v>
      </c>
    </row>
    <row r="7902" spans="5:6" x14ac:dyDescent="0.35">
      <c r="E7902">
        <v>7899</v>
      </c>
      <c r="F7902">
        <f t="shared" ca="1" si="125"/>
        <v>2.7841542268088246E-2</v>
      </c>
    </row>
    <row r="7903" spans="5:6" x14ac:dyDescent="0.35">
      <c r="E7903">
        <v>7900</v>
      </c>
      <c r="F7903">
        <f t="shared" ca="1" si="125"/>
        <v>-2.8459080225930234E-2</v>
      </c>
    </row>
    <row r="7904" spans="5:6" x14ac:dyDescent="0.35">
      <c r="E7904">
        <v>7901</v>
      </c>
      <c r="F7904">
        <f t="shared" ca="1" si="125"/>
        <v>-1.0106348753358146E-2</v>
      </c>
    </row>
    <row r="7905" spans="5:6" x14ac:dyDescent="0.35">
      <c r="E7905">
        <v>7902</v>
      </c>
      <c r="F7905">
        <f t="shared" ca="1" si="125"/>
        <v>-2.6422593698174887E-2</v>
      </c>
    </row>
    <row r="7906" spans="5:6" x14ac:dyDescent="0.35">
      <c r="E7906">
        <v>7903</v>
      </c>
      <c r="F7906">
        <f t="shared" ca="1" si="125"/>
        <v>1.814146595183562E-2</v>
      </c>
    </row>
    <row r="7907" spans="5:6" x14ac:dyDescent="0.35">
      <c r="E7907">
        <v>7904</v>
      </c>
      <c r="F7907">
        <f t="shared" ca="1" si="125"/>
        <v>-4.1504528401613535E-3</v>
      </c>
    </row>
    <row r="7908" spans="5:6" x14ac:dyDescent="0.35">
      <c r="E7908">
        <v>7905</v>
      </c>
      <c r="F7908">
        <f t="shared" ca="1" si="125"/>
        <v>4.0520766158681408E-2</v>
      </c>
    </row>
    <row r="7909" spans="5:6" x14ac:dyDescent="0.35">
      <c r="E7909">
        <v>7906</v>
      </c>
      <c r="F7909">
        <f t="shared" ca="1" si="125"/>
        <v>-9.3314228442863151E-3</v>
      </c>
    </row>
    <row r="7910" spans="5:6" x14ac:dyDescent="0.35">
      <c r="E7910">
        <v>7907</v>
      </c>
      <c r="F7910">
        <f t="shared" ca="1" si="125"/>
        <v>-3.290286888387061E-2</v>
      </c>
    </row>
    <row r="7911" spans="5:6" x14ac:dyDescent="0.35">
      <c r="E7911">
        <v>7908</v>
      </c>
      <c r="F7911">
        <f t="shared" ca="1" si="125"/>
        <v>4.7201015030750425E-3</v>
      </c>
    </row>
    <row r="7912" spans="5:6" x14ac:dyDescent="0.35">
      <c r="E7912">
        <v>7909</v>
      </c>
      <c r="F7912">
        <f t="shared" ca="1" si="125"/>
        <v>1.2929802323772633E-2</v>
      </c>
    </row>
    <row r="7913" spans="5:6" x14ac:dyDescent="0.35">
      <c r="E7913">
        <v>7910</v>
      </c>
      <c r="F7913">
        <f t="shared" ca="1" si="125"/>
        <v>-8.5176991303626097E-3</v>
      </c>
    </row>
    <row r="7914" spans="5:6" x14ac:dyDescent="0.35">
      <c r="E7914">
        <v>7911</v>
      </c>
      <c r="F7914">
        <f t="shared" ca="1" si="125"/>
        <v>-4.7681916246790471E-4</v>
      </c>
    </row>
    <row r="7915" spans="5:6" x14ac:dyDescent="0.35">
      <c r="E7915">
        <v>7912</v>
      </c>
      <c r="F7915">
        <f t="shared" ca="1" si="125"/>
        <v>3.4306330136508724E-2</v>
      </c>
    </row>
    <row r="7916" spans="5:6" x14ac:dyDescent="0.35">
      <c r="E7916">
        <v>7913</v>
      </c>
      <c r="F7916">
        <f t="shared" ca="1" si="125"/>
        <v>-3.042447282832399E-2</v>
      </c>
    </row>
    <row r="7917" spans="5:6" x14ac:dyDescent="0.35">
      <c r="E7917">
        <v>7914</v>
      </c>
      <c r="F7917">
        <f t="shared" ca="1" si="125"/>
        <v>1.0797331677710506E-2</v>
      </c>
    </row>
    <row r="7918" spans="5:6" x14ac:dyDescent="0.35">
      <c r="E7918">
        <v>7915</v>
      </c>
      <c r="F7918">
        <f t="shared" ca="1" si="125"/>
        <v>-2.0736711932687436E-2</v>
      </c>
    </row>
    <row r="7919" spans="5:6" x14ac:dyDescent="0.35">
      <c r="E7919">
        <v>7916</v>
      </c>
      <c r="F7919">
        <f t="shared" ca="1" si="125"/>
        <v>8.8258089332117796E-3</v>
      </c>
    </row>
    <row r="7920" spans="5:6" x14ac:dyDescent="0.35">
      <c r="E7920">
        <v>7917</v>
      </c>
      <c r="F7920">
        <f t="shared" ca="1" si="125"/>
        <v>-8.3608957250394331E-3</v>
      </c>
    </row>
    <row r="7921" spans="5:6" x14ac:dyDescent="0.35">
      <c r="E7921">
        <v>7918</v>
      </c>
      <c r="F7921">
        <f t="shared" ca="1" si="125"/>
        <v>-1.0495629844734058E-2</v>
      </c>
    </row>
    <row r="7922" spans="5:6" x14ac:dyDescent="0.35">
      <c r="E7922">
        <v>7919</v>
      </c>
      <c r="F7922">
        <f t="shared" ca="1" si="125"/>
        <v>-1.4798428293060265E-3</v>
      </c>
    </row>
    <row r="7923" spans="5:6" x14ac:dyDescent="0.35">
      <c r="E7923">
        <v>7920</v>
      </c>
      <c r="F7923">
        <f t="shared" ca="1" si="125"/>
        <v>5.0453009369011014E-4</v>
      </c>
    </row>
    <row r="7924" spans="5:6" x14ac:dyDescent="0.35">
      <c r="E7924">
        <v>7921</v>
      </c>
      <c r="F7924">
        <f t="shared" ca="1" si="125"/>
        <v>-3.4941831543105601E-3</v>
      </c>
    </row>
    <row r="7925" spans="5:6" x14ac:dyDescent="0.35">
      <c r="E7925">
        <v>7922</v>
      </c>
      <c r="F7925">
        <f t="shared" ca="1" si="125"/>
        <v>8.7191466103905303E-3</v>
      </c>
    </row>
    <row r="7926" spans="5:6" x14ac:dyDescent="0.35">
      <c r="E7926">
        <v>7923</v>
      </c>
      <c r="F7926">
        <f t="shared" ca="1" si="125"/>
        <v>3.5033484739074187E-2</v>
      </c>
    </row>
    <row r="7927" spans="5:6" x14ac:dyDescent="0.35">
      <c r="E7927">
        <v>7924</v>
      </c>
      <c r="F7927">
        <f t="shared" ca="1" si="125"/>
        <v>-2.5523009484148824E-2</v>
      </c>
    </row>
    <row r="7928" spans="5:6" x14ac:dyDescent="0.35">
      <c r="E7928">
        <v>7925</v>
      </c>
      <c r="F7928">
        <f t="shared" ca="1" si="125"/>
        <v>-1.6147401755784293E-3</v>
      </c>
    </row>
    <row r="7929" spans="5:6" x14ac:dyDescent="0.35">
      <c r="E7929">
        <v>7926</v>
      </c>
      <c r="F7929">
        <f t="shared" ca="1" si="125"/>
        <v>-2.9542089556323176E-2</v>
      </c>
    </row>
    <row r="7930" spans="5:6" x14ac:dyDescent="0.35">
      <c r="E7930">
        <v>7927</v>
      </c>
      <c r="F7930">
        <f t="shared" ca="1" si="125"/>
        <v>-3.9977958663891941E-3</v>
      </c>
    </row>
    <row r="7931" spans="5:6" x14ac:dyDescent="0.35">
      <c r="E7931">
        <v>7928</v>
      </c>
      <c r="F7931">
        <f t="shared" ca="1" si="125"/>
        <v>5.5246731771708803E-3</v>
      </c>
    </row>
    <row r="7932" spans="5:6" x14ac:dyDescent="0.35">
      <c r="E7932">
        <v>7929</v>
      </c>
      <c r="F7932">
        <f t="shared" ca="1" si="125"/>
        <v>-2.7820880507566176E-2</v>
      </c>
    </row>
    <row r="7933" spans="5:6" x14ac:dyDescent="0.35">
      <c r="E7933">
        <v>7930</v>
      </c>
      <c r="F7933">
        <f t="shared" ca="1" si="125"/>
        <v>-1.2337747573829714E-2</v>
      </c>
    </row>
    <row r="7934" spans="5:6" x14ac:dyDescent="0.35">
      <c r="E7934">
        <v>7931</v>
      </c>
      <c r="F7934">
        <f t="shared" ca="1" si="125"/>
        <v>-5.5310762363348451E-3</v>
      </c>
    </row>
    <row r="7935" spans="5:6" x14ac:dyDescent="0.35">
      <c r="E7935">
        <v>7932</v>
      </c>
      <c r="F7935">
        <f t="shared" ca="1" si="125"/>
        <v>1.0945089904539025E-2</v>
      </c>
    </row>
    <row r="7936" spans="5:6" x14ac:dyDescent="0.35">
      <c r="E7936">
        <v>7933</v>
      </c>
      <c r="F7936">
        <f t="shared" ca="1" si="125"/>
        <v>2.5223632520257173E-2</v>
      </c>
    </row>
    <row r="7937" spans="5:6" x14ac:dyDescent="0.35">
      <c r="E7937">
        <v>7934</v>
      </c>
      <c r="F7937">
        <f t="shared" ca="1" si="125"/>
        <v>-4.0294924170465873E-3</v>
      </c>
    </row>
    <row r="7938" spans="5:6" x14ac:dyDescent="0.35">
      <c r="E7938">
        <v>7935</v>
      </c>
      <c r="F7938">
        <f t="shared" ca="1" si="125"/>
        <v>1.0047846756869505E-2</v>
      </c>
    </row>
    <row r="7939" spans="5:6" x14ac:dyDescent="0.35">
      <c r="E7939">
        <v>7936</v>
      </c>
      <c r="F7939">
        <f t="shared" ca="1" si="125"/>
        <v>4.9690743126682068E-3</v>
      </c>
    </row>
    <row r="7940" spans="5:6" x14ac:dyDescent="0.35">
      <c r="E7940">
        <v>7937</v>
      </c>
      <c r="F7940">
        <f t="shared" ca="1" si="125"/>
        <v>4.5663338728595804E-4</v>
      </c>
    </row>
    <row r="7941" spans="5:6" x14ac:dyDescent="0.35">
      <c r="E7941">
        <v>7938</v>
      </c>
      <c r="F7941">
        <f t="shared" ref="F7941:F8004" ca="1" si="126">_xlfn.NORM.INV(RAND(),M$6,M$7)</f>
        <v>2.8408186114279727E-2</v>
      </c>
    </row>
    <row r="7942" spans="5:6" x14ac:dyDescent="0.35">
      <c r="E7942">
        <v>7939</v>
      </c>
      <c r="F7942">
        <f t="shared" ca="1" si="126"/>
        <v>9.9235033326433852E-3</v>
      </c>
    </row>
    <row r="7943" spans="5:6" x14ac:dyDescent="0.35">
      <c r="E7943">
        <v>7940</v>
      </c>
      <c r="F7943">
        <f t="shared" ca="1" si="126"/>
        <v>3.079251301643353E-3</v>
      </c>
    </row>
    <row r="7944" spans="5:6" x14ac:dyDescent="0.35">
      <c r="E7944">
        <v>7941</v>
      </c>
      <c r="F7944">
        <f t="shared" ca="1" si="126"/>
        <v>4.6406811312355153E-3</v>
      </c>
    </row>
    <row r="7945" spans="5:6" x14ac:dyDescent="0.35">
      <c r="E7945">
        <v>7942</v>
      </c>
      <c r="F7945">
        <f t="shared" ca="1" si="126"/>
        <v>-3.615984483250248E-3</v>
      </c>
    </row>
    <row r="7946" spans="5:6" x14ac:dyDescent="0.35">
      <c r="E7946">
        <v>7943</v>
      </c>
      <c r="F7946">
        <f t="shared" ca="1" si="126"/>
        <v>3.0734287962729267E-2</v>
      </c>
    </row>
    <row r="7947" spans="5:6" x14ac:dyDescent="0.35">
      <c r="E7947">
        <v>7944</v>
      </c>
      <c r="F7947">
        <f t="shared" ca="1" si="126"/>
        <v>9.1626599739589101E-3</v>
      </c>
    </row>
    <row r="7948" spans="5:6" x14ac:dyDescent="0.35">
      <c r="E7948">
        <v>7945</v>
      </c>
      <c r="F7948">
        <f t="shared" ca="1" si="126"/>
        <v>-3.0140518385737076E-2</v>
      </c>
    </row>
    <row r="7949" spans="5:6" x14ac:dyDescent="0.35">
      <c r="E7949">
        <v>7946</v>
      </c>
      <c r="F7949">
        <f t="shared" ca="1" si="126"/>
        <v>-5.3353791139807228E-3</v>
      </c>
    </row>
    <row r="7950" spans="5:6" x14ac:dyDescent="0.35">
      <c r="E7950">
        <v>7947</v>
      </c>
      <c r="F7950">
        <f t="shared" ca="1" si="126"/>
        <v>2.0580096928103031E-2</v>
      </c>
    </row>
    <row r="7951" spans="5:6" x14ac:dyDescent="0.35">
      <c r="E7951">
        <v>7948</v>
      </c>
      <c r="F7951">
        <f t="shared" ca="1" si="126"/>
        <v>1.5773153409383716E-2</v>
      </c>
    </row>
    <row r="7952" spans="5:6" x14ac:dyDescent="0.35">
      <c r="E7952">
        <v>7949</v>
      </c>
      <c r="F7952">
        <f t="shared" ca="1" si="126"/>
        <v>-1.4247203369900206E-2</v>
      </c>
    </row>
    <row r="7953" spans="5:6" x14ac:dyDescent="0.35">
      <c r="E7953">
        <v>7950</v>
      </c>
      <c r="F7953">
        <f t="shared" ca="1" si="126"/>
        <v>7.8484413997987872E-3</v>
      </c>
    </row>
    <row r="7954" spans="5:6" x14ac:dyDescent="0.35">
      <c r="E7954">
        <v>7951</v>
      </c>
      <c r="F7954">
        <f t="shared" ca="1" si="126"/>
        <v>2.1609090861122299E-2</v>
      </c>
    </row>
    <row r="7955" spans="5:6" x14ac:dyDescent="0.35">
      <c r="E7955">
        <v>7952</v>
      </c>
      <c r="F7955">
        <f t="shared" ca="1" si="126"/>
        <v>4.0112235850642214E-3</v>
      </c>
    </row>
    <row r="7956" spans="5:6" x14ac:dyDescent="0.35">
      <c r="E7956">
        <v>7953</v>
      </c>
      <c r="F7956">
        <f t="shared" ca="1" si="126"/>
        <v>3.3592889504263194E-3</v>
      </c>
    </row>
    <row r="7957" spans="5:6" x14ac:dyDescent="0.35">
      <c r="E7957">
        <v>7954</v>
      </c>
      <c r="F7957">
        <f t="shared" ca="1" si="126"/>
        <v>-1.581538172501416E-2</v>
      </c>
    </row>
    <row r="7958" spans="5:6" x14ac:dyDescent="0.35">
      <c r="E7958">
        <v>7955</v>
      </c>
      <c r="F7958">
        <f t="shared" ca="1" si="126"/>
        <v>1.3107007297218851E-2</v>
      </c>
    </row>
    <row r="7959" spans="5:6" x14ac:dyDescent="0.35">
      <c r="E7959">
        <v>7956</v>
      </c>
      <c r="F7959">
        <f t="shared" ca="1" si="126"/>
        <v>-2.9144181995768018E-2</v>
      </c>
    </row>
    <row r="7960" spans="5:6" x14ac:dyDescent="0.35">
      <c r="E7960">
        <v>7957</v>
      </c>
      <c r="F7960">
        <f t="shared" ca="1" si="126"/>
        <v>8.8448227622101618E-3</v>
      </c>
    </row>
    <row r="7961" spans="5:6" x14ac:dyDescent="0.35">
      <c r="E7961">
        <v>7958</v>
      </c>
      <c r="F7961">
        <f t="shared" ca="1" si="126"/>
        <v>6.8799123110704161E-3</v>
      </c>
    </row>
    <row r="7962" spans="5:6" x14ac:dyDescent="0.35">
      <c r="E7962">
        <v>7959</v>
      </c>
      <c r="F7962">
        <f t="shared" ca="1" si="126"/>
        <v>-2.8981947820635706E-2</v>
      </c>
    </row>
    <row r="7963" spans="5:6" x14ac:dyDescent="0.35">
      <c r="E7963">
        <v>7960</v>
      </c>
      <c r="F7963">
        <f t="shared" ca="1" si="126"/>
        <v>1.300324750765551E-2</v>
      </c>
    </row>
    <row r="7964" spans="5:6" x14ac:dyDescent="0.35">
      <c r="E7964">
        <v>7961</v>
      </c>
      <c r="F7964">
        <f t="shared" ca="1" si="126"/>
        <v>4.5087802344825779E-3</v>
      </c>
    </row>
    <row r="7965" spans="5:6" x14ac:dyDescent="0.35">
      <c r="E7965">
        <v>7962</v>
      </c>
      <c r="F7965">
        <f t="shared" ca="1" si="126"/>
        <v>8.0383115696931098E-3</v>
      </c>
    </row>
    <row r="7966" spans="5:6" x14ac:dyDescent="0.35">
      <c r="E7966">
        <v>7963</v>
      </c>
      <c r="F7966">
        <f t="shared" ca="1" si="126"/>
        <v>-1.3336951835715939E-3</v>
      </c>
    </row>
    <row r="7967" spans="5:6" x14ac:dyDescent="0.35">
      <c r="E7967">
        <v>7964</v>
      </c>
      <c r="F7967">
        <f t="shared" ca="1" si="126"/>
        <v>-2.1132682780904733E-2</v>
      </c>
    </row>
    <row r="7968" spans="5:6" x14ac:dyDescent="0.35">
      <c r="E7968">
        <v>7965</v>
      </c>
      <c r="F7968">
        <f t="shared" ca="1" si="126"/>
        <v>-2.7749603427277298E-2</v>
      </c>
    </row>
    <row r="7969" spans="5:6" x14ac:dyDescent="0.35">
      <c r="E7969">
        <v>7966</v>
      </c>
      <c r="F7969">
        <f t="shared" ca="1" si="126"/>
        <v>-1.5978817865943101E-2</v>
      </c>
    </row>
    <row r="7970" spans="5:6" x14ac:dyDescent="0.35">
      <c r="E7970">
        <v>7967</v>
      </c>
      <c r="F7970">
        <f t="shared" ca="1" si="126"/>
        <v>3.8570061449323583E-3</v>
      </c>
    </row>
    <row r="7971" spans="5:6" x14ac:dyDescent="0.35">
      <c r="E7971">
        <v>7968</v>
      </c>
      <c r="F7971">
        <f t="shared" ca="1" si="126"/>
        <v>-1.8120433300474286E-2</v>
      </c>
    </row>
    <row r="7972" spans="5:6" x14ac:dyDescent="0.35">
      <c r="E7972">
        <v>7969</v>
      </c>
      <c r="F7972">
        <f t="shared" ca="1" si="126"/>
        <v>-1.5399257173490666E-2</v>
      </c>
    </row>
    <row r="7973" spans="5:6" x14ac:dyDescent="0.35">
      <c r="E7973">
        <v>7970</v>
      </c>
      <c r="F7973">
        <f t="shared" ca="1" si="126"/>
        <v>-1.3918471675668833E-2</v>
      </c>
    </row>
    <row r="7974" spans="5:6" x14ac:dyDescent="0.35">
      <c r="E7974">
        <v>7971</v>
      </c>
      <c r="F7974">
        <f t="shared" ca="1" si="126"/>
        <v>-8.6584866536566643E-4</v>
      </c>
    </row>
    <row r="7975" spans="5:6" x14ac:dyDescent="0.35">
      <c r="E7975">
        <v>7972</v>
      </c>
      <c r="F7975">
        <f t="shared" ca="1" si="126"/>
        <v>3.5748457814461392E-3</v>
      </c>
    </row>
    <row r="7976" spans="5:6" x14ac:dyDescent="0.35">
      <c r="E7976">
        <v>7973</v>
      </c>
      <c r="F7976">
        <f t="shared" ca="1" si="126"/>
        <v>-1.2443586488310593E-3</v>
      </c>
    </row>
    <row r="7977" spans="5:6" x14ac:dyDescent="0.35">
      <c r="E7977">
        <v>7974</v>
      </c>
      <c r="F7977">
        <f t="shared" ca="1" si="126"/>
        <v>1.0646562084359958E-2</v>
      </c>
    </row>
    <row r="7978" spans="5:6" x14ac:dyDescent="0.35">
      <c r="E7978">
        <v>7975</v>
      </c>
      <c r="F7978">
        <f t="shared" ca="1" si="126"/>
        <v>1.3964009085223675E-2</v>
      </c>
    </row>
    <row r="7979" spans="5:6" x14ac:dyDescent="0.35">
      <c r="E7979">
        <v>7976</v>
      </c>
      <c r="F7979">
        <f t="shared" ca="1" si="126"/>
        <v>-1.1900671720797534E-2</v>
      </c>
    </row>
    <row r="7980" spans="5:6" x14ac:dyDescent="0.35">
      <c r="E7980">
        <v>7977</v>
      </c>
      <c r="F7980">
        <f t="shared" ca="1" si="126"/>
        <v>-2.313470031337336E-2</v>
      </c>
    </row>
    <row r="7981" spans="5:6" x14ac:dyDescent="0.35">
      <c r="E7981">
        <v>7978</v>
      </c>
      <c r="F7981">
        <f t="shared" ca="1" si="126"/>
        <v>1.5064142159312937E-2</v>
      </c>
    </row>
    <row r="7982" spans="5:6" x14ac:dyDescent="0.35">
      <c r="E7982">
        <v>7979</v>
      </c>
      <c r="F7982">
        <f t="shared" ca="1" si="126"/>
        <v>2.1788979161208824E-2</v>
      </c>
    </row>
    <row r="7983" spans="5:6" x14ac:dyDescent="0.35">
      <c r="E7983">
        <v>7980</v>
      </c>
      <c r="F7983">
        <f t="shared" ca="1" si="126"/>
        <v>-1.8956257739287313E-2</v>
      </c>
    </row>
    <row r="7984" spans="5:6" x14ac:dyDescent="0.35">
      <c r="E7984">
        <v>7981</v>
      </c>
      <c r="F7984">
        <f t="shared" ca="1" si="126"/>
        <v>-5.4660314033858669E-3</v>
      </c>
    </row>
    <row r="7985" spans="5:6" x14ac:dyDescent="0.35">
      <c r="E7985">
        <v>7982</v>
      </c>
      <c r="F7985">
        <f t="shared" ca="1" si="126"/>
        <v>1.5759408114283575E-2</v>
      </c>
    </row>
    <row r="7986" spans="5:6" x14ac:dyDescent="0.35">
      <c r="E7986">
        <v>7983</v>
      </c>
      <c r="F7986">
        <f t="shared" ca="1" si="126"/>
        <v>1.2070111419240528E-3</v>
      </c>
    </row>
    <row r="7987" spans="5:6" x14ac:dyDescent="0.35">
      <c r="E7987">
        <v>7984</v>
      </c>
      <c r="F7987">
        <f t="shared" ca="1" si="126"/>
        <v>-1.241146516783548E-2</v>
      </c>
    </row>
    <row r="7988" spans="5:6" x14ac:dyDescent="0.35">
      <c r="E7988">
        <v>7985</v>
      </c>
      <c r="F7988">
        <f t="shared" ca="1" si="126"/>
        <v>-8.812577554403879E-3</v>
      </c>
    </row>
    <row r="7989" spans="5:6" x14ac:dyDescent="0.35">
      <c r="E7989">
        <v>7986</v>
      </c>
      <c r="F7989">
        <f t="shared" ca="1" si="126"/>
        <v>7.2388083245224014E-3</v>
      </c>
    </row>
    <row r="7990" spans="5:6" x14ac:dyDescent="0.35">
      <c r="E7990">
        <v>7987</v>
      </c>
      <c r="F7990">
        <f t="shared" ca="1" si="126"/>
        <v>1.6792287903234799E-2</v>
      </c>
    </row>
    <row r="7991" spans="5:6" x14ac:dyDescent="0.35">
      <c r="E7991">
        <v>7988</v>
      </c>
      <c r="F7991">
        <f t="shared" ca="1" si="126"/>
        <v>1.5998824538712098E-2</v>
      </c>
    </row>
    <row r="7992" spans="5:6" x14ac:dyDescent="0.35">
      <c r="E7992">
        <v>7989</v>
      </c>
      <c r="F7992">
        <f t="shared" ca="1" si="126"/>
        <v>1.1076747860874167E-2</v>
      </c>
    </row>
    <row r="7993" spans="5:6" x14ac:dyDescent="0.35">
      <c r="E7993">
        <v>7990</v>
      </c>
      <c r="F7993">
        <f t="shared" ca="1" si="126"/>
        <v>-2.4553410378164858E-3</v>
      </c>
    </row>
    <row r="7994" spans="5:6" x14ac:dyDescent="0.35">
      <c r="E7994">
        <v>7991</v>
      </c>
      <c r="F7994">
        <f t="shared" ca="1" si="126"/>
        <v>1.5034156444273266E-2</v>
      </c>
    </row>
    <row r="7995" spans="5:6" x14ac:dyDescent="0.35">
      <c r="E7995">
        <v>7992</v>
      </c>
      <c r="F7995">
        <f t="shared" ca="1" si="126"/>
        <v>3.0300055071256454E-3</v>
      </c>
    </row>
    <row r="7996" spans="5:6" x14ac:dyDescent="0.35">
      <c r="E7996">
        <v>7993</v>
      </c>
      <c r="F7996">
        <f t="shared" ca="1" si="126"/>
        <v>2.4197762291347928E-4</v>
      </c>
    </row>
    <row r="7997" spans="5:6" x14ac:dyDescent="0.35">
      <c r="E7997">
        <v>7994</v>
      </c>
      <c r="F7997">
        <f t="shared" ca="1" si="126"/>
        <v>-2.401515989477649E-3</v>
      </c>
    </row>
    <row r="7998" spans="5:6" x14ac:dyDescent="0.35">
      <c r="E7998">
        <v>7995</v>
      </c>
      <c r="F7998">
        <f t="shared" ca="1" si="126"/>
        <v>3.9393315691072818E-5</v>
      </c>
    </row>
    <row r="7999" spans="5:6" x14ac:dyDescent="0.35">
      <c r="E7999">
        <v>7996</v>
      </c>
      <c r="F7999">
        <f t="shared" ca="1" si="126"/>
        <v>-6.5873582709611101E-3</v>
      </c>
    </row>
    <row r="8000" spans="5:6" x14ac:dyDescent="0.35">
      <c r="E8000">
        <v>7997</v>
      </c>
      <c r="F8000">
        <f t="shared" ca="1" si="126"/>
        <v>1.3953422989835122E-2</v>
      </c>
    </row>
    <row r="8001" spans="5:6" x14ac:dyDescent="0.35">
      <c r="E8001">
        <v>7998</v>
      </c>
      <c r="F8001">
        <f t="shared" ca="1" si="126"/>
        <v>-2.8222771007374099E-2</v>
      </c>
    </row>
    <row r="8002" spans="5:6" x14ac:dyDescent="0.35">
      <c r="E8002">
        <v>7999</v>
      </c>
      <c r="F8002">
        <f t="shared" ca="1" si="126"/>
        <v>7.0213386542883329E-3</v>
      </c>
    </row>
    <row r="8003" spans="5:6" x14ac:dyDescent="0.35">
      <c r="E8003">
        <v>8000</v>
      </c>
      <c r="F8003">
        <f t="shared" ca="1" si="126"/>
        <v>-2.1512108536351274E-2</v>
      </c>
    </row>
    <row r="8004" spans="5:6" x14ac:dyDescent="0.35">
      <c r="E8004">
        <v>8001</v>
      </c>
      <c r="F8004">
        <f t="shared" ca="1" si="126"/>
        <v>-2.0721927010983215E-2</v>
      </c>
    </row>
    <row r="8005" spans="5:6" x14ac:dyDescent="0.35">
      <c r="E8005">
        <v>8002</v>
      </c>
      <c r="F8005">
        <f t="shared" ref="F8005:F8068" ca="1" si="127">_xlfn.NORM.INV(RAND(),M$6,M$7)</f>
        <v>-1.8134954225742749E-2</v>
      </c>
    </row>
    <row r="8006" spans="5:6" x14ac:dyDescent="0.35">
      <c r="E8006">
        <v>8003</v>
      </c>
      <c r="F8006">
        <f t="shared" ca="1" si="127"/>
        <v>-9.2631834568744787E-3</v>
      </c>
    </row>
    <row r="8007" spans="5:6" x14ac:dyDescent="0.35">
      <c r="E8007">
        <v>8004</v>
      </c>
      <c r="F8007">
        <f t="shared" ca="1" si="127"/>
        <v>2.5220275426885878E-2</v>
      </c>
    </row>
    <row r="8008" spans="5:6" x14ac:dyDescent="0.35">
      <c r="E8008">
        <v>8005</v>
      </c>
      <c r="F8008">
        <f t="shared" ca="1" si="127"/>
        <v>2.7403429076281677E-3</v>
      </c>
    </row>
    <row r="8009" spans="5:6" x14ac:dyDescent="0.35">
      <c r="E8009">
        <v>8006</v>
      </c>
      <c r="F8009">
        <f t="shared" ca="1" si="127"/>
        <v>1.0936446147969744E-3</v>
      </c>
    </row>
    <row r="8010" spans="5:6" x14ac:dyDescent="0.35">
      <c r="E8010">
        <v>8007</v>
      </c>
      <c r="F8010">
        <f t="shared" ca="1" si="127"/>
        <v>1.0521776198005321E-2</v>
      </c>
    </row>
    <row r="8011" spans="5:6" x14ac:dyDescent="0.35">
      <c r="E8011">
        <v>8008</v>
      </c>
      <c r="F8011">
        <f t="shared" ca="1" si="127"/>
        <v>2.9114375988782148E-2</v>
      </c>
    </row>
    <row r="8012" spans="5:6" x14ac:dyDescent="0.35">
      <c r="E8012">
        <v>8009</v>
      </c>
      <c r="F8012">
        <f t="shared" ca="1" si="127"/>
        <v>-7.7584200646852626E-3</v>
      </c>
    </row>
    <row r="8013" spans="5:6" x14ac:dyDescent="0.35">
      <c r="E8013">
        <v>8010</v>
      </c>
      <c r="F8013">
        <f t="shared" ca="1" si="127"/>
        <v>9.8041530698739394E-3</v>
      </c>
    </row>
    <row r="8014" spans="5:6" x14ac:dyDescent="0.35">
      <c r="E8014">
        <v>8011</v>
      </c>
      <c r="F8014">
        <f t="shared" ca="1" si="127"/>
        <v>1.4528017406582784E-2</v>
      </c>
    </row>
    <row r="8015" spans="5:6" x14ac:dyDescent="0.35">
      <c r="E8015">
        <v>8012</v>
      </c>
      <c r="F8015">
        <f t="shared" ca="1" si="127"/>
        <v>-7.9600963684131679E-3</v>
      </c>
    </row>
    <row r="8016" spans="5:6" x14ac:dyDescent="0.35">
      <c r="E8016">
        <v>8013</v>
      </c>
      <c r="F8016">
        <f t="shared" ca="1" si="127"/>
        <v>2.8400117549414579E-2</v>
      </c>
    </row>
    <row r="8017" spans="5:6" x14ac:dyDescent="0.35">
      <c r="E8017">
        <v>8014</v>
      </c>
      <c r="F8017">
        <f t="shared" ca="1" si="127"/>
        <v>1.6605301968118297E-2</v>
      </c>
    </row>
    <row r="8018" spans="5:6" x14ac:dyDescent="0.35">
      <c r="E8018">
        <v>8015</v>
      </c>
      <c r="F8018">
        <f t="shared" ca="1" si="127"/>
        <v>2.0484218526237662E-3</v>
      </c>
    </row>
    <row r="8019" spans="5:6" x14ac:dyDescent="0.35">
      <c r="E8019">
        <v>8016</v>
      </c>
      <c r="F8019">
        <f t="shared" ca="1" si="127"/>
        <v>1.1975736689728697E-2</v>
      </c>
    </row>
    <row r="8020" spans="5:6" x14ac:dyDescent="0.35">
      <c r="E8020">
        <v>8017</v>
      </c>
      <c r="F8020">
        <f t="shared" ca="1" si="127"/>
        <v>-1.6682144729246451E-2</v>
      </c>
    </row>
    <row r="8021" spans="5:6" x14ac:dyDescent="0.35">
      <c r="E8021">
        <v>8018</v>
      </c>
      <c r="F8021">
        <f t="shared" ca="1" si="127"/>
        <v>-3.1831059772777109E-3</v>
      </c>
    </row>
    <row r="8022" spans="5:6" x14ac:dyDescent="0.35">
      <c r="E8022">
        <v>8019</v>
      </c>
      <c r="F8022">
        <f t="shared" ca="1" si="127"/>
        <v>-1.6473769721168166E-2</v>
      </c>
    </row>
    <row r="8023" spans="5:6" x14ac:dyDescent="0.35">
      <c r="E8023">
        <v>8020</v>
      </c>
      <c r="F8023">
        <f t="shared" ca="1" si="127"/>
        <v>-2.0748160183144404E-2</v>
      </c>
    </row>
    <row r="8024" spans="5:6" x14ac:dyDescent="0.35">
      <c r="E8024">
        <v>8021</v>
      </c>
      <c r="F8024">
        <f t="shared" ca="1" si="127"/>
        <v>4.9896332178715657E-3</v>
      </c>
    </row>
    <row r="8025" spans="5:6" x14ac:dyDescent="0.35">
      <c r="E8025">
        <v>8022</v>
      </c>
      <c r="F8025">
        <f t="shared" ca="1" si="127"/>
        <v>1.0495823972954671E-2</v>
      </c>
    </row>
    <row r="8026" spans="5:6" x14ac:dyDescent="0.35">
      <c r="E8026">
        <v>8023</v>
      </c>
      <c r="F8026">
        <f t="shared" ca="1" si="127"/>
        <v>7.3396466126606184E-3</v>
      </c>
    </row>
    <row r="8027" spans="5:6" x14ac:dyDescent="0.35">
      <c r="E8027">
        <v>8024</v>
      </c>
      <c r="F8027">
        <f t="shared" ca="1" si="127"/>
        <v>-1.0482136845838772E-2</v>
      </c>
    </row>
    <row r="8028" spans="5:6" x14ac:dyDescent="0.35">
      <c r="E8028">
        <v>8025</v>
      </c>
      <c r="F8028">
        <f t="shared" ca="1" si="127"/>
        <v>-4.1712852470208407E-3</v>
      </c>
    </row>
    <row r="8029" spans="5:6" x14ac:dyDescent="0.35">
      <c r="E8029">
        <v>8026</v>
      </c>
      <c r="F8029">
        <f t="shared" ca="1" si="127"/>
        <v>-8.3883440289332157E-5</v>
      </c>
    </row>
    <row r="8030" spans="5:6" x14ac:dyDescent="0.35">
      <c r="E8030">
        <v>8027</v>
      </c>
      <c r="F8030">
        <f t="shared" ca="1" si="127"/>
        <v>-1.8758128351368695E-3</v>
      </c>
    </row>
    <row r="8031" spans="5:6" x14ac:dyDescent="0.35">
      <c r="E8031">
        <v>8028</v>
      </c>
      <c r="F8031">
        <f t="shared" ca="1" si="127"/>
        <v>3.3580688020098354E-3</v>
      </c>
    </row>
    <row r="8032" spans="5:6" x14ac:dyDescent="0.35">
      <c r="E8032">
        <v>8029</v>
      </c>
      <c r="F8032">
        <f t="shared" ca="1" si="127"/>
        <v>1.3086065312913344E-2</v>
      </c>
    </row>
    <row r="8033" spans="5:6" x14ac:dyDescent="0.35">
      <c r="E8033">
        <v>8030</v>
      </c>
      <c r="F8033">
        <f t="shared" ca="1" si="127"/>
        <v>4.6549918634659774E-3</v>
      </c>
    </row>
    <row r="8034" spans="5:6" x14ac:dyDescent="0.35">
      <c r="E8034">
        <v>8031</v>
      </c>
      <c r="F8034">
        <f t="shared" ca="1" si="127"/>
        <v>1.3215362837483667E-2</v>
      </c>
    </row>
    <row r="8035" spans="5:6" x14ac:dyDescent="0.35">
      <c r="E8035">
        <v>8032</v>
      </c>
      <c r="F8035">
        <f t="shared" ca="1" si="127"/>
        <v>5.2340793636413271E-3</v>
      </c>
    </row>
    <row r="8036" spans="5:6" x14ac:dyDescent="0.35">
      <c r="E8036">
        <v>8033</v>
      </c>
      <c r="F8036">
        <f t="shared" ca="1" si="127"/>
        <v>-5.2591699413998324E-3</v>
      </c>
    </row>
    <row r="8037" spans="5:6" x14ac:dyDescent="0.35">
      <c r="E8037">
        <v>8034</v>
      </c>
      <c r="F8037">
        <f t="shared" ca="1" si="127"/>
        <v>-9.1643749215193655E-3</v>
      </c>
    </row>
    <row r="8038" spans="5:6" x14ac:dyDescent="0.35">
      <c r="E8038">
        <v>8035</v>
      </c>
      <c r="F8038">
        <f t="shared" ca="1" si="127"/>
        <v>6.5544677484034386E-3</v>
      </c>
    </row>
    <row r="8039" spans="5:6" x14ac:dyDescent="0.35">
      <c r="E8039">
        <v>8036</v>
      </c>
      <c r="F8039">
        <f t="shared" ca="1" si="127"/>
        <v>6.8891898443354466E-3</v>
      </c>
    </row>
    <row r="8040" spans="5:6" x14ac:dyDescent="0.35">
      <c r="E8040">
        <v>8037</v>
      </c>
      <c r="F8040">
        <f t="shared" ca="1" si="127"/>
        <v>-2.255998085050049E-2</v>
      </c>
    </row>
    <row r="8041" spans="5:6" x14ac:dyDescent="0.35">
      <c r="E8041">
        <v>8038</v>
      </c>
      <c r="F8041">
        <f t="shared" ca="1" si="127"/>
        <v>1.9845635449370406E-2</v>
      </c>
    </row>
    <row r="8042" spans="5:6" x14ac:dyDescent="0.35">
      <c r="E8042">
        <v>8039</v>
      </c>
      <c r="F8042">
        <f t="shared" ca="1" si="127"/>
        <v>5.288663369616705E-4</v>
      </c>
    </row>
    <row r="8043" spans="5:6" x14ac:dyDescent="0.35">
      <c r="E8043">
        <v>8040</v>
      </c>
      <c r="F8043">
        <f t="shared" ca="1" si="127"/>
        <v>6.4544569240489857E-3</v>
      </c>
    </row>
    <row r="8044" spans="5:6" x14ac:dyDescent="0.35">
      <c r="E8044">
        <v>8041</v>
      </c>
      <c r="F8044">
        <f t="shared" ca="1" si="127"/>
        <v>-9.0865659129415865E-3</v>
      </c>
    </row>
    <row r="8045" spans="5:6" x14ac:dyDescent="0.35">
      <c r="E8045">
        <v>8042</v>
      </c>
      <c r="F8045">
        <f t="shared" ca="1" si="127"/>
        <v>5.3312910801667762E-3</v>
      </c>
    </row>
    <row r="8046" spans="5:6" x14ac:dyDescent="0.35">
      <c r="E8046">
        <v>8043</v>
      </c>
      <c r="F8046">
        <f t="shared" ca="1" si="127"/>
        <v>1.6144346920046143E-3</v>
      </c>
    </row>
    <row r="8047" spans="5:6" x14ac:dyDescent="0.35">
      <c r="E8047">
        <v>8044</v>
      </c>
      <c r="F8047">
        <f t="shared" ca="1" si="127"/>
        <v>-1.093262757486874E-2</v>
      </c>
    </row>
    <row r="8048" spans="5:6" x14ac:dyDescent="0.35">
      <c r="E8048">
        <v>8045</v>
      </c>
      <c r="F8048">
        <f t="shared" ca="1" si="127"/>
        <v>-3.0167761297500455E-4</v>
      </c>
    </row>
    <row r="8049" spans="5:6" x14ac:dyDescent="0.35">
      <c r="E8049">
        <v>8046</v>
      </c>
      <c r="F8049">
        <f t="shared" ca="1" si="127"/>
        <v>-2.6927591740223546E-2</v>
      </c>
    </row>
    <row r="8050" spans="5:6" x14ac:dyDescent="0.35">
      <c r="E8050">
        <v>8047</v>
      </c>
      <c r="F8050">
        <f t="shared" ca="1" si="127"/>
        <v>-4.7110657819050853E-3</v>
      </c>
    </row>
    <row r="8051" spans="5:6" x14ac:dyDescent="0.35">
      <c r="E8051">
        <v>8048</v>
      </c>
      <c r="F8051">
        <f t="shared" ca="1" si="127"/>
        <v>-1.5960458632783277E-2</v>
      </c>
    </row>
    <row r="8052" spans="5:6" x14ac:dyDescent="0.35">
      <c r="E8052">
        <v>8049</v>
      </c>
      <c r="F8052">
        <f t="shared" ca="1" si="127"/>
        <v>-1.3352702296545848E-3</v>
      </c>
    </row>
    <row r="8053" spans="5:6" x14ac:dyDescent="0.35">
      <c r="E8053">
        <v>8050</v>
      </c>
      <c r="F8053">
        <f t="shared" ca="1" si="127"/>
        <v>-1.8371066479872085E-2</v>
      </c>
    </row>
    <row r="8054" spans="5:6" x14ac:dyDescent="0.35">
      <c r="E8054">
        <v>8051</v>
      </c>
      <c r="F8054">
        <f t="shared" ca="1" si="127"/>
        <v>-6.9276207490177105E-3</v>
      </c>
    </row>
    <row r="8055" spans="5:6" x14ac:dyDescent="0.35">
      <c r="E8055">
        <v>8052</v>
      </c>
      <c r="F8055">
        <f t="shared" ca="1" si="127"/>
        <v>3.515627217626909E-3</v>
      </c>
    </row>
    <row r="8056" spans="5:6" x14ac:dyDescent="0.35">
      <c r="E8056">
        <v>8053</v>
      </c>
      <c r="F8056">
        <f t="shared" ca="1" si="127"/>
        <v>1.867401341475398E-3</v>
      </c>
    </row>
    <row r="8057" spans="5:6" x14ac:dyDescent="0.35">
      <c r="E8057">
        <v>8054</v>
      </c>
      <c r="F8057">
        <f t="shared" ca="1" si="127"/>
        <v>-8.1331010300513722E-4</v>
      </c>
    </row>
    <row r="8058" spans="5:6" x14ac:dyDescent="0.35">
      <c r="E8058">
        <v>8055</v>
      </c>
      <c r="F8058">
        <f t="shared" ca="1" si="127"/>
        <v>5.3731812245044397E-3</v>
      </c>
    </row>
    <row r="8059" spans="5:6" x14ac:dyDescent="0.35">
      <c r="E8059">
        <v>8056</v>
      </c>
      <c r="F8059">
        <f t="shared" ca="1" si="127"/>
        <v>2.0283468405772633E-2</v>
      </c>
    </row>
    <row r="8060" spans="5:6" x14ac:dyDescent="0.35">
      <c r="E8060">
        <v>8057</v>
      </c>
      <c r="F8060">
        <f t="shared" ca="1" si="127"/>
        <v>1.0495889138087973E-2</v>
      </c>
    </row>
    <row r="8061" spans="5:6" x14ac:dyDescent="0.35">
      <c r="E8061">
        <v>8058</v>
      </c>
      <c r="F8061">
        <f t="shared" ca="1" si="127"/>
        <v>2.044479604039889E-2</v>
      </c>
    </row>
    <row r="8062" spans="5:6" x14ac:dyDescent="0.35">
      <c r="E8062">
        <v>8059</v>
      </c>
      <c r="F8062">
        <f t="shared" ca="1" si="127"/>
        <v>-1.3728759011123835E-2</v>
      </c>
    </row>
    <row r="8063" spans="5:6" x14ac:dyDescent="0.35">
      <c r="E8063">
        <v>8060</v>
      </c>
      <c r="F8063">
        <f t="shared" ca="1" si="127"/>
        <v>-1.8695444679807816E-2</v>
      </c>
    </row>
    <row r="8064" spans="5:6" x14ac:dyDescent="0.35">
      <c r="E8064">
        <v>8061</v>
      </c>
      <c r="F8064">
        <f t="shared" ca="1" si="127"/>
        <v>1.644531745187364E-2</v>
      </c>
    </row>
    <row r="8065" spans="5:6" x14ac:dyDescent="0.35">
      <c r="E8065">
        <v>8062</v>
      </c>
      <c r="F8065">
        <f t="shared" ca="1" si="127"/>
        <v>-1.1088890672715263E-2</v>
      </c>
    </row>
    <row r="8066" spans="5:6" x14ac:dyDescent="0.35">
      <c r="E8066">
        <v>8063</v>
      </c>
      <c r="F8066">
        <f t="shared" ca="1" si="127"/>
        <v>3.1288741679354296E-4</v>
      </c>
    </row>
    <row r="8067" spans="5:6" x14ac:dyDescent="0.35">
      <c r="E8067">
        <v>8064</v>
      </c>
      <c r="F8067">
        <f t="shared" ca="1" si="127"/>
        <v>2.02246526594813E-3</v>
      </c>
    </row>
    <row r="8068" spans="5:6" x14ac:dyDescent="0.35">
      <c r="E8068">
        <v>8065</v>
      </c>
      <c r="F8068">
        <f t="shared" ca="1" si="127"/>
        <v>8.6913695105682136E-3</v>
      </c>
    </row>
    <row r="8069" spans="5:6" x14ac:dyDescent="0.35">
      <c r="E8069">
        <v>8066</v>
      </c>
      <c r="F8069">
        <f t="shared" ref="F8069:F8132" ca="1" si="128">_xlfn.NORM.INV(RAND(),M$6,M$7)</f>
        <v>7.4027973973647893E-4</v>
      </c>
    </row>
    <row r="8070" spans="5:6" x14ac:dyDescent="0.35">
      <c r="E8070">
        <v>8067</v>
      </c>
      <c r="F8070">
        <f t="shared" ca="1" si="128"/>
        <v>1.5470762531915301E-3</v>
      </c>
    </row>
    <row r="8071" spans="5:6" x14ac:dyDescent="0.35">
      <c r="E8071">
        <v>8068</v>
      </c>
      <c r="F8071">
        <f t="shared" ca="1" si="128"/>
        <v>-1.3549480481881013E-2</v>
      </c>
    </row>
    <row r="8072" spans="5:6" x14ac:dyDescent="0.35">
      <c r="E8072">
        <v>8069</v>
      </c>
      <c r="F8072">
        <f t="shared" ca="1" si="128"/>
        <v>-1.6053562034915217E-2</v>
      </c>
    </row>
    <row r="8073" spans="5:6" x14ac:dyDescent="0.35">
      <c r="E8073">
        <v>8070</v>
      </c>
      <c r="F8073">
        <f t="shared" ca="1" si="128"/>
        <v>-1.8436819020662119E-3</v>
      </c>
    </row>
    <row r="8074" spans="5:6" x14ac:dyDescent="0.35">
      <c r="E8074">
        <v>8071</v>
      </c>
      <c r="F8074">
        <f t="shared" ca="1" si="128"/>
        <v>-6.2231687066989679E-4</v>
      </c>
    </row>
    <row r="8075" spans="5:6" x14ac:dyDescent="0.35">
      <c r="E8075">
        <v>8072</v>
      </c>
      <c r="F8075">
        <f t="shared" ca="1" si="128"/>
        <v>1.2766208819774933E-2</v>
      </c>
    </row>
    <row r="8076" spans="5:6" x14ac:dyDescent="0.35">
      <c r="E8076">
        <v>8073</v>
      </c>
      <c r="F8076">
        <f t="shared" ca="1" si="128"/>
        <v>7.8957116324862159E-3</v>
      </c>
    </row>
    <row r="8077" spans="5:6" x14ac:dyDescent="0.35">
      <c r="E8077">
        <v>8074</v>
      </c>
      <c r="F8077">
        <f t="shared" ca="1" si="128"/>
        <v>-5.0234217747733394E-3</v>
      </c>
    </row>
    <row r="8078" spans="5:6" x14ac:dyDescent="0.35">
      <c r="E8078">
        <v>8075</v>
      </c>
      <c r="F8078">
        <f t="shared" ca="1" si="128"/>
        <v>2.4300498466333687E-2</v>
      </c>
    </row>
    <row r="8079" spans="5:6" x14ac:dyDescent="0.35">
      <c r="E8079">
        <v>8076</v>
      </c>
      <c r="F8079">
        <f t="shared" ca="1" si="128"/>
        <v>1.6620232868114319E-2</v>
      </c>
    </row>
    <row r="8080" spans="5:6" x14ac:dyDescent="0.35">
      <c r="E8080">
        <v>8077</v>
      </c>
      <c r="F8080">
        <f t="shared" ca="1" si="128"/>
        <v>1.4680425307964566E-3</v>
      </c>
    </row>
    <row r="8081" spans="5:6" x14ac:dyDescent="0.35">
      <c r="E8081">
        <v>8078</v>
      </c>
      <c r="F8081">
        <f t="shared" ca="1" si="128"/>
        <v>1.4246530994677343E-2</v>
      </c>
    </row>
    <row r="8082" spans="5:6" x14ac:dyDescent="0.35">
      <c r="E8082">
        <v>8079</v>
      </c>
      <c r="F8082">
        <f t="shared" ca="1" si="128"/>
        <v>3.4377859940028732E-2</v>
      </c>
    </row>
    <row r="8083" spans="5:6" x14ac:dyDescent="0.35">
      <c r="E8083">
        <v>8080</v>
      </c>
      <c r="F8083">
        <f t="shared" ca="1" si="128"/>
        <v>-1.0803637919122401E-2</v>
      </c>
    </row>
    <row r="8084" spans="5:6" x14ac:dyDescent="0.35">
      <c r="E8084">
        <v>8081</v>
      </c>
      <c r="F8084">
        <f t="shared" ca="1" si="128"/>
        <v>-4.4975004881919632E-3</v>
      </c>
    </row>
    <row r="8085" spans="5:6" x14ac:dyDescent="0.35">
      <c r="E8085">
        <v>8082</v>
      </c>
      <c r="F8085">
        <f t="shared" ca="1" si="128"/>
        <v>1.8918243586652443E-2</v>
      </c>
    </row>
    <row r="8086" spans="5:6" x14ac:dyDescent="0.35">
      <c r="E8086">
        <v>8083</v>
      </c>
      <c r="F8086">
        <f t="shared" ca="1" si="128"/>
        <v>1.4997871326073513E-2</v>
      </c>
    </row>
    <row r="8087" spans="5:6" x14ac:dyDescent="0.35">
      <c r="E8087">
        <v>8084</v>
      </c>
      <c r="F8087">
        <f t="shared" ca="1" si="128"/>
        <v>-1.801727152272032E-2</v>
      </c>
    </row>
    <row r="8088" spans="5:6" x14ac:dyDescent="0.35">
      <c r="E8088">
        <v>8085</v>
      </c>
      <c r="F8088">
        <f t="shared" ca="1" si="128"/>
        <v>-1.7506864318409419E-3</v>
      </c>
    </row>
    <row r="8089" spans="5:6" x14ac:dyDescent="0.35">
      <c r="E8089">
        <v>8086</v>
      </c>
      <c r="F8089">
        <f t="shared" ca="1" si="128"/>
        <v>1.4190583681685701E-2</v>
      </c>
    </row>
    <row r="8090" spans="5:6" x14ac:dyDescent="0.35">
      <c r="E8090">
        <v>8087</v>
      </c>
      <c r="F8090">
        <f t="shared" ca="1" si="128"/>
        <v>1.5822324368415026E-2</v>
      </c>
    </row>
    <row r="8091" spans="5:6" x14ac:dyDescent="0.35">
      <c r="E8091">
        <v>8088</v>
      </c>
      <c r="F8091">
        <f t="shared" ca="1" si="128"/>
        <v>2.300068314484589E-2</v>
      </c>
    </row>
    <row r="8092" spans="5:6" x14ac:dyDescent="0.35">
      <c r="E8092">
        <v>8089</v>
      </c>
      <c r="F8092">
        <f t="shared" ca="1" si="128"/>
        <v>-4.0669398010674637E-2</v>
      </c>
    </row>
    <row r="8093" spans="5:6" x14ac:dyDescent="0.35">
      <c r="E8093">
        <v>8090</v>
      </c>
      <c r="F8093">
        <f t="shared" ca="1" si="128"/>
        <v>-1.9919802992395041E-2</v>
      </c>
    </row>
    <row r="8094" spans="5:6" x14ac:dyDescent="0.35">
      <c r="E8094">
        <v>8091</v>
      </c>
      <c r="F8094">
        <f t="shared" ca="1" si="128"/>
        <v>-3.6757160709993807E-3</v>
      </c>
    </row>
    <row r="8095" spans="5:6" x14ac:dyDescent="0.35">
      <c r="E8095">
        <v>8092</v>
      </c>
      <c r="F8095">
        <f t="shared" ca="1" si="128"/>
        <v>-2.112913821530352E-2</v>
      </c>
    </row>
    <row r="8096" spans="5:6" x14ac:dyDescent="0.35">
      <c r="E8096">
        <v>8093</v>
      </c>
      <c r="F8096">
        <f t="shared" ca="1" si="128"/>
        <v>-1.6061449090163007E-2</v>
      </c>
    </row>
    <row r="8097" spans="5:6" x14ac:dyDescent="0.35">
      <c r="E8097">
        <v>8094</v>
      </c>
      <c r="F8097">
        <f t="shared" ca="1" si="128"/>
        <v>7.9871275516823059E-3</v>
      </c>
    </row>
    <row r="8098" spans="5:6" x14ac:dyDescent="0.35">
      <c r="E8098">
        <v>8095</v>
      </c>
      <c r="F8098">
        <f t="shared" ca="1" si="128"/>
        <v>-5.6030792618496465E-3</v>
      </c>
    </row>
    <row r="8099" spans="5:6" x14ac:dyDescent="0.35">
      <c r="E8099">
        <v>8096</v>
      </c>
      <c r="F8099">
        <f t="shared" ca="1" si="128"/>
        <v>5.7808555740488802E-3</v>
      </c>
    </row>
    <row r="8100" spans="5:6" x14ac:dyDescent="0.35">
      <c r="E8100">
        <v>8097</v>
      </c>
      <c r="F8100">
        <f t="shared" ca="1" si="128"/>
        <v>1.2342041014297235E-2</v>
      </c>
    </row>
    <row r="8101" spans="5:6" x14ac:dyDescent="0.35">
      <c r="E8101">
        <v>8098</v>
      </c>
      <c r="F8101">
        <f t="shared" ca="1" si="128"/>
        <v>-1.0909568538678957E-2</v>
      </c>
    </row>
    <row r="8102" spans="5:6" x14ac:dyDescent="0.35">
      <c r="E8102">
        <v>8099</v>
      </c>
      <c r="F8102">
        <f t="shared" ca="1" si="128"/>
        <v>6.1836885071205102E-3</v>
      </c>
    </row>
    <row r="8103" spans="5:6" x14ac:dyDescent="0.35">
      <c r="E8103">
        <v>8100</v>
      </c>
      <c r="F8103">
        <f t="shared" ca="1" si="128"/>
        <v>1.0654938000993994E-2</v>
      </c>
    </row>
    <row r="8104" spans="5:6" x14ac:dyDescent="0.35">
      <c r="E8104">
        <v>8101</v>
      </c>
      <c r="F8104">
        <f t="shared" ca="1" si="128"/>
        <v>6.5039025187687213E-3</v>
      </c>
    </row>
    <row r="8105" spans="5:6" x14ac:dyDescent="0.35">
      <c r="E8105">
        <v>8102</v>
      </c>
      <c r="F8105">
        <f t="shared" ca="1" si="128"/>
        <v>1.6223931910996341E-2</v>
      </c>
    </row>
    <row r="8106" spans="5:6" x14ac:dyDescent="0.35">
      <c r="E8106">
        <v>8103</v>
      </c>
      <c r="F8106">
        <f t="shared" ca="1" si="128"/>
        <v>8.9128211984286954E-4</v>
      </c>
    </row>
    <row r="8107" spans="5:6" x14ac:dyDescent="0.35">
      <c r="E8107">
        <v>8104</v>
      </c>
      <c r="F8107">
        <f t="shared" ca="1" si="128"/>
        <v>-3.7799660959423649E-4</v>
      </c>
    </row>
    <row r="8108" spans="5:6" x14ac:dyDescent="0.35">
      <c r="E8108">
        <v>8105</v>
      </c>
      <c r="F8108">
        <f t="shared" ca="1" si="128"/>
        <v>-6.3516022318493952E-3</v>
      </c>
    </row>
    <row r="8109" spans="5:6" x14ac:dyDescent="0.35">
      <c r="E8109">
        <v>8106</v>
      </c>
      <c r="F8109">
        <f t="shared" ca="1" si="128"/>
        <v>3.9714048830340404E-3</v>
      </c>
    </row>
    <row r="8110" spans="5:6" x14ac:dyDescent="0.35">
      <c r="E8110">
        <v>8107</v>
      </c>
      <c r="F8110">
        <f t="shared" ca="1" si="128"/>
        <v>-9.8387892272205017E-3</v>
      </c>
    </row>
    <row r="8111" spans="5:6" x14ac:dyDescent="0.35">
      <c r="E8111">
        <v>8108</v>
      </c>
      <c r="F8111">
        <f t="shared" ca="1" si="128"/>
        <v>7.7783704331435459E-3</v>
      </c>
    </row>
    <row r="8112" spans="5:6" x14ac:dyDescent="0.35">
      <c r="E8112">
        <v>8109</v>
      </c>
      <c r="F8112">
        <f t="shared" ca="1" si="128"/>
        <v>1.3394753125672674E-2</v>
      </c>
    </row>
    <row r="8113" spans="5:6" x14ac:dyDescent="0.35">
      <c r="E8113">
        <v>8110</v>
      </c>
      <c r="F8113">
        <f t="shared" ca="1" si="128"/>
        <v>2.9672008820809696E-3</v>
      </c>
    </row>
    <row r="8114" spans="5:6" x14ac:dyDescent="0.35">
      <c r="E8114">
        <v>8111</v>
      </c>
      <c r="F8114">
        <f t="shared" ca="1" si="128"/>
        <v>8.8832860745302125E-3</v>
      </c>
    </row>
    <row r="8115" spans="5:6" x14ac:dyDescent="0.35">
      <c r="E8115">
        <v>8112</v>
      </c>
      <c r="F8115">
        <f t="shared" ca="1" si="128"/>
        <v>1.2406326686960118E-2</v>
      </c>
    </row>
    <row r="8116" spans="5:6" x14ac:dyDescent="0.35">
      <c r="E8116">
        <v>8113</v>
      </c>
      <c r="F8116">
        <f t="shared" ca="1" si="128"/>
        <v>-1.1328076465428544E-2</v>
      </c>
    </row>
    <row r="8117" spans="5:6" x14ac:dyDescent="0.35">
      <c r="E8117">
        <v>8114</v>
      </c>
      <c r="F8117">
        <f t="shared" ca="1" si="128"/>
        <v>6.9284119945543397E-3</v>
      </c>
    </row>
    <row r="8118" spans="5:6" x14ac:dyDescent="0.35">
      <c r="E8118">
        <v>8115</v>
      </c>
      <c r="F8118">
        <f t="shared" ca="1" si="128"/>
        <v>1.2373094390913867E-2</v>
      </c>
    </row>
    <row r="8119" spans="5:6" x14ac:dyDescent="0.35">
      <c r="E8119">
        <v>8116</v>
      </c>
      <c r="F8119">
        <f t="shared" ca="1" si="128"/>
        <v>3.2354863246092888E-3</v>
      </c>
    </row>
    <row r="8120" spans="5:6" x14ac:dyDescent="0.35">
      <c r="E8120">
        <v>8117</v>
      </c>
      <c r="F8120">
        <f t="shared" ca="1" si="128"/>
        <v>2.9245620747735054E-2</v>
      </c>
    </row>
    <row r="8121" spans="5:6" x14ac:dyDescent="0.35">
      <c r="E8121">
        <v>8118</v>
      </c>
      <c r="F8121">
        <f t="shared" ca="1" si="128"/>
        <v>-1.5785026211902326E-2</v>
      </c>
    </row>
    <row r="8122" spans="5:6" x14ac:dyDescent="0.35">
      <c r="E8122">
        <v>8119</v>
      </c>
      <c r="F8122">
        <f t="shared" ca="1" si="128"/>
        <v>-3.5086272644379135E-2</v>
      </c>
    </row>
    <row r="8123" spans="5:6" x14ac:dyDescent="0.35">
      <c r="E8123">
        <v>8120</v>
      </c>
      <c r="F8123">
        <f t="shared" ca="1" si="128"/>
        <v>6.9360922878756786E-3</v>
      </c>
    </row>
    <row r="8124" spans="5:6" x14ac:dyDescent="0.35">
      <c r="E8124">
        <v>8121</v>
      </c>
      <c r="F8124">
        <f t="shared" ca="1" si="128"/>
        <v>6.3259972805485443E-3</v>
      </c>
    </row>
    <row r="8125" spans="5:6" x14ac:dyDescent="0.35">
      <c r="E8125">
        <v>8122</v>
      </c>
      <c r="F8125">
        <f t="shared" ca="1" si="128"/>
        <v>-7.3919688852735694E-3</v>
      </c>
    </row>
    <row r="8126" spans="5:6" x14ac:dyDescent="0.35">
      <c r="E8126">
        <v>8123</v>
      </c>
      <c r="F8126">
        <f t="shared" ca="1" si="128"/>
        <v>-2.8972639304148529E-4</v>
      </c>
    </row>
    <row r="8127" spans="5:6" x14ac:dyDescent="0.35">
      <c r="E8127">
        <v>8124</v>
      </c>
      <c r="F8127">
        <f t="shared" ca="1" si="128"/>
        <v>-3.1626938059580854E-2</v>
      </c>
    </row>
    <row r="8128" spans="5:6" x14ac:dyDescent="0.35">
      <c r="E8128">
        <v>8125</v>
      </c>
      <c r="F8128">
        <f t="shared" ca="1" si="128"/>
        <v>1.4976982095416633E-2</v>
      </c>
    </row>
    <row r="8129" spans="5:6" x14ac:dyDescent="0.35">
      <c r="E8129">
        <v>8126</v>
      </c>
      <c r="F8129">
        <f t="shared" ca="1" si="128"/>
        <v>3.1681131197290296E-2</v>
      </c>
    </row>
    <row r="8130" spans="5:6" x14ac:dyDescent="0.35">
      <c r="E8130">
        <v>8127</v>
      </c>
      <c r="F8130">
        <f t="shared" ca="1" si="128"/>
        <v>-7.8319714605148243E-3</v>
      </c>
    </row>
    <row r="8131" spans="5:6" x14ac:dyDescent="0.35">
      <c r="E8131">
        <v>8128</v>
      </c>
      <c r="F8131">
        <f t="shared" ca="1" si="128"/>
        <v>2.8266242997982444E-2</v>
      </c>
    </row>
    <row r="8132" spans="5:6" x14ac:dyDescent="0.35">
      <c r="E8132">
        <v>8129</v>
      </c>
      <c r="F8132">
        <f t="shared" ca="1" si="128"/>
        <v>-1.7697966068551393E-2</v>
      </c>
    </row>
    <row r="8133" spans="5:6" x14ac:dyDescent="0.35">
      <c r="E8133">
        <v>8130</v>
      </c>
      <c r="F8133">
        <f t="shared" ref="F8133:F8196" ca="1" si="129">_xlfn.NORM.INV(RAND(),M$6,M$7)</f>
        <v>4.9044330939874493E-4</v>
      </c>
    </row>
    <row r="8134" spans="5:6" x14ac:dyDescent="0.35">
      <c r="E8134">
        <v>8131</v>
      </c>
      <c r="F8134">
        <f t="shared" ca="1" si="129"/>
        <v>7.9841926912566172E-3</v>
      </c>
    </row>
    <row r="8135" spans="5:6" x14ac:dyDescent="0.35">
      <c r="E8135">
        <v>8132</v>
      </c>
      <c r="F8135">
        <f t="shared" ca="1" si="129"/>
        <v>3.6577160160610042E-3</v>
      </c>
    </row>
    <row r="8136" spans="5:6" x14ac:dyDescent="0.35">
      <c r="E8136">
        <v>8133</v>
      </c>
      <c r="F8136">
        <f t="shared" ca="1" si="129"/>
        <v>-2.2170962563640328E-2</v>
      </c>
    </row>
    <row r="8137" spans="5:6" x14ac:dyDescent="0.35">
      <c r="E8137">
        <v>8134</v>
      </c>
      <c r="F8137">
        <f t="shared" ca="1" si="129"/>
        <v>8.0686146670238862E-4</v>
      </c>
    </row>
    <row r="8138" spans="5:6" x14ac:dyDescent="0.35">
      <c r="E8138">
        <v>8135</v>
      </c>
      <c r="F8138">
        <f t="shared" ca="1" si="129"/>
        <v>5.4328271651647667E-3</v>
      </c>
    </row>
    <row r="8139" spans="5:6" x14ac:dyDescent="0.35">
      <c r="E8139">
        <v>8136</v>
      </c>
      <c r="F8139">
        <f t="shared" ca="1" si="129"/>
        <v>8.9096117157582665E-3</v>
      </c>
    </row>
    <row r="8140" spans="5:6" x14ac:dyDescent="0.35">
      <c r="E8140">
        <v>8137</v>
      </c>
      <c r="F8140">
        <f t="shared" ca="1" si="129"/>
        <v>-1.2385782580005639E-2</v>
      </c>
    </row>
    <row r="8141" spans="5:6" x14ac:dyDescent="0.35">
      <c r="E8141">
        <v>8138</v>
      </c>
      <c r="F8141">
        <f t="shared" ca="1" si="129"/>
        <v>-1.3313415547976853E-2</v>
      </c>
    </row>
    <row r="8142" spans="5:6" x14ac:dyDescent="0.35">
      <c r="E8142">
        <v>8139</v>
      </c>
      <c r="F8142">
        <f t="shared" ca="1" si="129"/>
        <v>-2.1394383153651018E-2</v>
      </c>
    </row>
    <row r="8143" spans="5:6" x14ac:dyDescent="0.35">
      <c r="E8143">
        <v>8140</v>
      </c>
      <c r="F8143">
        <f t="shared" ca="1" si="129"/>
        <v>2.8776011266337834E-2</v>
      </c>
    </row>
    <row r="8144" spans="5:6" x14ac:dyDescent="0.35">
      <c r="E8144">
        <v>8141</v>
      </c>
      <c r="F8144">
        <f t="shared" ca="1" si="129"/>
        <v>-1.4212118602233441E-2</v>
      </c>
    </row>
    <row r="8145" spans="5:6" x14ac:dyDescent="0.35">
      <c r="E8145">
        <v>8142</v>
      </c>
      <c r="F8145">
        <f t="shared" ca="1" si="129"/>
        <v>-1.5580615497965633E-2</v>
      </c>
    </row>
    <row r="8146" spans="5:6" x14ac:dyDescent="0.35">
      <c r="E8146">
        <v>8143</v>
      </c>
      <c r="F8146">
        <f t="shared" ca="1" si="129"/>
        <v>9.2762761807917062E-3</v>
      </c>
    </row>
    <row r="8147" spans="5:6" x14ac:dyDescent="0.35">
      <c r="E8147">
        <v>8144</v>
      </c>
      <c r="F8147">
        <f t="shared" ca="1" si="129"/>
        <v>-2.9038306541094683E-2</v>
      </c>
    </row>
    <row r="8148" spans="5:6" x14ac:dyDescent="0.35">
      <c r="E8148">
        <v>8145</v>
      </c>
      <c r="F8148">
        <f t="shared" ca="1" si="129"/>
        <v>2.0191706195688979E-2</v>
      </c>
    </row>
    <row r="8149" spans="5:6" x14ac:dyDescent="0.35">
      <c r="E8149">
        <v>8146</v>
      </c>
      <c r="F8149">
        <f t="shared" ca="1" si="129"/>
        <v>2.8208267067243772E-3</v>
      </c>
    </row>
    <row r="8150" spans="5:6" x14ac:dyDescent="0.35">
      <c r="E8150">
        <v>8147</v>
      </c>
      <c r="F8150">
        <f t="shared" ca="1" si="129"/>
        <v>-2.9560869509614132E-2</v>
      </c>
    </row>
    <row r="8151" spans="5:6" x14ac:dyDescent="0.35">
      <c r="E8151">
        <v>8148</v>
      </c>
      <c r="F8151">
        <f t="shared" ca="1" si="129"/>
        <v>9.5250172240526963E-4</v>
      </c>
    </row>
    <row r="8152" spans="5:6" x14ac:dyDescent="0.35">
      <c r="E8152">
        <v>8149</v>
      </c>
      <c r="F8152">
        <f t="shared" ca="1" si="129"/>
        <v>4.2256560766563023E-3</v>
      </c>
    </row>
    <row r="8153" spans="5:6" x14ac:dyDescent="0.35">
      <c r="E8153">
        <v>8150</v>
      </c>
      <c r="F8153">
        <f t="shared" ca="1" si="129"/>
        <v>-1.1802564921758844E-2</v>
      </c>
    </row>
    <row r="8154" spans="5:6" x14ac:dyDescent="0.35">
      <c r="E8154">
        <v>8151</v>
      </c>
      <c r="F8154">
        <f t="shared" ca="1" si="129"/>
        <v>-1.9822943739824975E-2</v>
      </c>
    </row>
    <row r="8155" spans="5:6" x14ac:dyDescent="0.35">
      <c r="E8155">
        <v>8152</v>
      </c>
      <c r="F8155">
        <f t="shared" ca="1" si="129"/>
        <v>5.0937827216619436E-3</v>
      </c>
    </row>
    <row r="8156" spans="5:6" x14ac:dyDescent="0.35">
      <c r="E8156">
        <v>8153</v>
      </c>
      <c r="F8156">
        <f t="shared" ca="1" si="129"/>
        <v>-1.6141097131315695E-2</v>
      </c>
    </row>
    <row r="8157" spans="5:6" x14ac:dyDescent="0.35">
      <c r="E8157">
        <v>8154</v>
      </c>
      <c r="F8157">
        <f t="shared" ca="1" si="129"/>
        <v>1.7989472203255644E-2</v>
      </c>
    </row>
    <row r="8158" spans="5:6" x14ac:dyDescent="0.35">
      <c r="E8158">
        <v>8155</v>
      </c>
      <c r="F8158">
        <f t="shared" ca="1" si="129"/>
        <v>-1.0507645519249872E-2</v>
      </c>
    </row>
    <row r="8159" spans="5:6" x14ac:dyDescent="0.35">
      <c r="E8159">
        <v>8156</v>
      </c>
      <c r="F8159">
        <f t="shared" ca="1" si="129"/>
        <v>2.0714303154473476E-2</v>
      </c>
    </row>
    <row r="8160" spans="5:6" x14ac:dyDescent="0.35">
      <c r="E8160">
        <v>8157</v>
      </c>
      <c r="F8160">
        <f t="shared" ca="1" si="129"/>
        <v>-1.1432730913333721E-2</v>
      </c>
    </row>
    <row r="8161" spans="5:6" x14ac:dyDescent="0.35">
      <c r="E8161">
        <v>8158</v>
      </c>
      <c r="F8161">
        <f t="shared" ca="1" si="129"/>
        <v>-2.4603013694203969E-5</v>
      </c>
    </row>
    <row r="8162" spans="5:6" x14ac:dyDescent="0.35">
      <c r="E8162">
        <v>8159</v>
      </c>
      <c r="F8162">
        <f t="shared" ca="1" si="129"/>
        <v>1.7390345839751555E-2</v>
      </c>
    </row>
    <row r="8163" spans="5:6" x14ac:dyDescent="0.35">
      <c r="E8163">
        <v>8160</v>
      </c>
      <c r="F8163">
        <f t="shared" ca="1" si="129"/>
        <v>-9.5509570841296881E-3</v>
      </c>
    </row>
    <row r="8164" spans="5:6" x14ac:dyDescent="0.35">
      <c r="E8164">
        <v>8161</v>
      </c>
      <c r="F8164">
        <f t="shared" ca="1" si="129"/>
        <v>2.6026211568267555E-2</v>
      </c>
    </row>
    <row r="8165" spans="5:6" x14ac:dyDescent="0.35">
      <c r="E8165">
        <v>8162</v>
      </c>
      <c r="F8165">
        <f t="shared" ca="1" si="129"/>
        <v>-2.9525809677070449E-3</v>
      </c>
    </row>
    <row r="8166" spans="5:6" x14ac:dyDescent="0.35">
      <c r="E8166">
        <v>8163</v>
      </c>
      <c r="F8166">
        <f t="shared" ca="1" si="129"/>
        <v>-2.1521524052806933E-2</v>
      </c>
    </row>
    <row r="8167" spans="5:6" x14ac:dyDescent="0.35">
      <c r="E8167">
        <v>8164</v>
      </c>
      <c r="F8167">
        <f t="shared" ca="1" si="129"/>
        <v>-1.243850778351081E-2</v>
      </c>
    </row>
    <row r="8168" spans="5:6" x14ac:dyDescent="0.35">
      <c r="E8168">
        <v>8165</v>
      </c>
      <c r="F8168">
        <f t="shared" ca="1" si="129"/>
        <v>-2.0748840388013827E-2</v>
      </c>
    </row>
    <row r="8169" spans="5:6" x14ac:dyDescent="0.35">
      <c r="E8169">
        <v>8166</v>
      </c>
      <c r="F8169">
        <f t="shared" ca="1" si="129"/>
        <v>-4.9984593557939536E-3</v>
      </c>
    </row>
    <row r="8170" spans="5:6" x14ac:dyDescent="0.35">
      <c r="E8170">
        <v>8167</v>
      </c>
      <c r="F8170">
        <f t="shared" ca="1" si="129"/>
        <v>-3.6393494363740536E-2</v>
      </c>
    </row>
    <row r="8171" spans="5:6" x14ac:dyDescent="0.35">
      <c r="E8171">
        <v>8168</v>
      </c>
      <c r="F8171">
        <f t="shared" ca="1" si="129"/>
        <v>-1.1037788229159508E-3</v>
      </c>
    </row>
    <row r="8172" spans="5:6" x14ac:dyDescent="0.35">
      <c r="E8172">
        <v>8169</v>
      </c>
      <c r="F8172">
        <f t="shared" ca="1" si="129"/>
        <v>-5.8865543164746004E-3</v>
      </c>
    </row>
    <row r="8173" spans="5:6" x14ac:dyDescent="0.35">
      <c r="E8173">
        <v>8170</v>
      </c>
      <c r="F8173">
        <f t="shared" ca="1" si="129"/>
        <v>-1.6767856502852016E-3</v>
      </c>
    </row>
    <row r="8174" spans="5:6" x14ac:dyDescent="0.35">
      <c r="E8174">
        <v>8171</v>
      </c>
      <c r="F8174">
        <f t="shared" ca="1" si="129"/>
        <v>-6.4095159845718296E-3</v>
      </c>
    </row>
    <row r="8175" spans="5:6" x14ac:dyDescent="0.35">
      <c r="E8175">
        <v>8172</v>
      </c>
      <c r="F8175">
        <f t="shared" ca="1" si="129"/>
        <v>-1.013483887633293E-2</v>
      </c>
    </row>
    <row r="8176" spans="5:6" x14ac:dyDescent="0.35">
      <c r="E8176">
        <v>8173</v>
      </c>
      <c r="F8176">
        <f t="shared" ca="1" si="129"/>
        <v>1.3097992264809621E-2</v>
      </c>
    </row>
    <row r="8177" spans="5:6" x14ac:dyDescent="0.35">
      <c r="E8177">
        <v>8174</v>
      </c>
      <c r="F8177">
        <f t="shared" ca="1" si="129"/>
        <v>-1.5793492975205714E-2</v>
      </c>
    </row>
    <row r="8178" spans="5:6" x14ac:dyDescent="0.35">
      <c r="E8178">
        <v>8175</v>
      </c>
      <c r="F8178">
        <f t="shared" ca="1" si="129"/>
        <v>-5.4591242472541331E-3</v>
      </c>
    </row>
    <row r="8179" spans="5:6" x14ac:dyDescent="0.35">
      <c r="E8179">
        <v>8176</v>
      </c>
      <c r="F8179">
        <f t="shared" ca="1" si="129"/>
        <v>2.7585649394364278E-3</v>
      </c>
    </row>
    <row r="8180" spans="5:6" x14ac:dyDescent="0.35">
      <c r="E8180">
        <v>8177</v>
      </c>
      <c r="F8180">
        <f t="shared" ca="1" si="129"/>
        <v>-8.8890557131591653E-3</v>
      </c>
    </row>
    <row r="8181" spans="5:6" x14ac:dyDescent="0.35">
      <c r="E8181">
        <v>8178</v>
      </c>
      <c r="F8181">
        <f t="shared" ca="1" si="129"/>
        <v>5.5845277726926405E-3</v>
      </c>
    </row>
    <row r="8182" spans="5:6" x14ac:dyDescent="0.35">
      <c r="E8182">
        <v>8179</v>
      </c>
      <c r="F8182">
        <f t="shared" ca="1" si="129"/>
        <v>-2.415485975824436E-2</v>
      </c>
    </row>
    <row r="8183" spans="5:6" x14ac:dyDescent="0.35">
      <c r="E8183">
        <v>8180</v>
      </c>
      <c r="F8183">
        <f t="shared" ca="1" si="129"/>
        <v>-7.4333445450785098E-3</v>
      </c>
    </row>
    <row r="8184" spans="5:6" x14ac:dyDescent="0.35">
      <c r="E8184">
        <v>8181</v>
      </c>
      <c r="F8184">
        <f t="shared" ca="1" si="129"/>
        <v>-2.4439160011590043E-2</v>
      </c>
    </row>
    <row r="8185" spans="5:6" x14ac:dyDescent="0.35">
      <c r="E8185">
        <v>8182</v>
      </c>
      <c r="F8185">
        <f t="shared" ca="1" si="129"/>
        <v>3.3090574679912214E-2</v>
      </c>
    </row>
    <row r="8186" spans="5:6" x14ac:dyDescent="0.35">
      <c r="E8186">
        <v>8183</v>
      </c>
      <c r="F8186">
        <f t="shared" ca="1" si="129"/>
        <v>7.1990737948087278E-3</v>
      </c>
    </row>
    <row r="8187" spans="5:6" x14ac:dyDescent="0.35">
      <c r="E8187">
        <v>8184</v>
      </c>
      <c r="F8187">
        <f t="shared" ca="1" si="129"/>
        <v>-1.0710767989309138E-2</v>
      </c>
    </row>
    <row r="8188" spans="5:6" x14ac:dyDescent="0.35">
      <c r="E8188">
        <v>8185</v>
      </c>
      <c r="F8188">
        <f t="shared" ca="1" si="129"/>
        <v>4.0523847349151149E-3</v>
      </c>
    </row>
    <row r="8189" spans="5:6" x14ac:dyDescent="0.35">
      <c r="E8189">
        <v>8186</v>
      </c>
      <c r="F8189">
        <f t="shared" ca="1" si="129"/>
        <v>8.7100443314462811E-4</v>
      </c>
    </row>
    <row r="8190" spans="5:6" x14ac:dyDescent="0.35">
      <c r="E8190">
        <v>8187</v>
      </c>
      <c r="F8190">
        <f t="shared" ca="1" si="129"/>
        <v>2.6206228473030616E-2</v>
      </c>
    </row>
    <row r="8191" spans="5:6" x14ac:dyDescent="0.35">
      <c r="E8191">
        <v>8188</v>
      </c>
      <c r="F8191">
        <f t="shared" ca="1" si="129"/>
        <v>1.4214348699766089E-2</v>
      </c>
    </row>
    <row r="8192" spans="5:6" x14ac:dyDescent="0.35">
      <c r="E8192">
        <v>8189</v>
      </c>
      <c r="F8192">
        <f t="shared" ca="1" si="129"/>
        <v>-1.2111605640848535E-2</v>
      </c>
    </row>
    <row r="8193" spans="5:6" x14ac:dyDescent="0.35">
      <c r="E8193">
        <v>8190</v>
      </c>
      <c r="F8193">
        <f t="shared" ca="1" si="129"/>
        <v>2.0618504992979049E-2</v>
      </c>
    </row>
    <row r="8194" spans="5:6" x14ac:dyDescent="0.35">
      <c r="E8194">
        <v>8191</v>
      </c>
      <c r="F8194">
        <f t="shared" ca="1" si="129"/>
        <v>-4.4163654782389462E-4</v>
      </c>
    </row>
    <row r="8195" spans="5:6" x14ac:dyDescent="0.35">
      <c r="E8195">
        <v>8192</v>
      </c>
      <c r="F8195">
        <f t="shared" ca="1" si="129"/>
        <v>-1.3906152042879297E-2</v>
      </c>
    </row>
    <row r="8196" spans="5:6" x14ac:dyDescent="0.35">
      <c r="E8196">
        <v>8193</v>
      </c>
      <c r="F8196">
        <f t="shared" ca="1" si="129"/>
        <v>2.7234988878759047E-5</v>
      </c>
    </row>
    <row r="8197" spans="5:6" x14ac:dyDescent="0.35">
      <c r="E8197">
        <v>8194</v>
      </c>
      <c r="F8197">
        <f t="shared" ref="F8197:F8260" ca="1" si="130">_xlfn.NORM.INV(RAND(),M$6,M$7)</f>
        <v>-2.0829373669453945E-2</v>
      </c>
    </row>
    <row r="8198" spans="5:6" x14ac:dyDescent="0.35">
      <c r="E8198">
        <v>8195</v>
      </c>
      <c r="F8198">
        <f t="shared" ca="1" si="130"/>
        <v>2.1051518705658932E-2</v>
      </c>
    </row>
    <row r="8199" spans="5:6" x14ac:dyDescent="0.35">
      <c r="E8199">
        <v>8196</v>
      </c>
      <c r="F8199">
        <f t="shared" ca="1" si="130"/>
        <v>4.1633153553027984E-3</v>
      </c>
    </row>
    <row r="8200" spans="5:6" x14ac:dyDescent="0.35">
      <c r="E8200">
        <v>8197</v>
      </c>
      <c r="F8200">
        <f t="shared" ca="1" si="130"/>
        <v>5.9459666727711769E-3</v>
      </c>
    </row>
    <row r="8201" spans="5:6" x14ac:dyDescent="0.35">
      <c r="E8201">
        <v>8198</v>
      </c>
      <c r="F8201">
        <f t="shared" ca="1" si="130"/>
        <v>1.0110668039329768E-2</v>
      </c>
    </row>
    <row r="8202" spans="5:6" x14ac:dyDescent="0.35">
      <c r="E8202">
        <v>8199</v>
      </c>
      <c r="F8202">
        <f t="shared" ca="1" si="130"/>
        <v>1.7287841650240315E-2</v>
      </c>
    </row>
    <row r="8203" spans="5:6" x14ac:dyDescent="0.35">
      <c r="E8203">
        <v>8200</v>
      </c>
      <c r="F8203">
        <f t="shared" ca="1" si="130"/>
        <v>2.6600556564193616E-2</v>
      </c>
    </row>
    <row r="8204" spans="5:6" x14ac:dyDescent="0.35">
      <c r="E8204">
        <v>8201</v>
      </c>
      <c r="F8204">
        <f t="shared" ca="1" si="130"/>
        <v>-5.1763968283667751E-3</v>
      </c>
    </row>
    <row r="8205" spans="5:6" x14ac:dyDescent="0.35">
      <c r="E8205">
        <v>8202</v>
      </c>
      <c r="F8205">
        <f t="shared" ca="1" si="130"/>
        <v>8.3118354111211008E-3</v>
      </c>
    </row>
    <row r="8206" spans="5:6" x14ac:dyDescent="0.35">
      <c r="E8206">
        <v>8203</v>
      </c>
      <c r="F8206">
        <f t="shared" ca="1" si="130"/>
        <v>2.6269562497791766E-2</v>
      </c>
    </row>
    <row r="8207" spans="5:6" x14ac:dyDescent="0.35">
      <c r="E8207">
        <v>8204</v>
      </c>
      <c r="F8207">
        <f t="shared" ca="1" si="130"/>
        <v>-2.3870177144024855E-3</v>
      </c>
    </row>
    <row r="8208" spans="5:6" x14ac:dyDescent="0.35">
      <c r="E8208">
        <v>8205</v>
      </c>
      <c r="F8208">
        <f t="shared" ca="1" si="130"/>
        <v>-1.3381093191143924E-2</v>
      </c>
    </row>
    <row r="8209" spans="5:6" x14ac:dyDescent="0.35">
      <c r="E8209">
        <v>8206</v>
      </c>
      <c r="F8209">
        <f t="shared" ca="1" si="130"/>
        <v>6.6534690281865577E-3</v>
      </c>
    </row>
    <row r="8210" spans="5:6" x14ac:dyDescent="0.35">
      <c r="E8210">
        <v>8207</v>
      </c>
      <c r="F8210">
        <f t="shared" ca="1" si="130"/>
        <v>3.0170091786067586E-2</v>
      </c>
    </row>
    <row r="8211" spans="5:6" x14ac:dyDescent="0.35">
      <c r="E8211">
        <v>8208</v>
      </c>
      <c r="F8211">
        <f t="shared" ca="1" si="130"/>
        <v>1.5196546124320719E-2</v>
      </c>
    </row>
    <row r="8212" spans="5:6" x14ac:dyDescent="0.35">
      <c r="E8212">
        <v>8209</v>
      </c>
      <c r="F8212">
        <f t="shared" ca="1" si="130"/>
        <v>-2.6108100577837814E-2</v>
      </c>
    </row>
    <row r="8213" spans="5:6" x14ac:dyDescent="0.35">
      <c r="E8213">
        <v>8210</v>
      </c>
      <c r="F8213">
        <f t="shared" ca="1" si="130"/>
        <v>9.1356365022559238E-4</v>
      </c>
    </row>
    <row r="8214" spans="5:6" x14ac:dyDescent="0.35">
      <c r="E8214">
        <v>8211</v>
      </c>
      <c r="F8214">
        <f t="shared" ca="1" si="130"/>
        <v>-2.4726793477178599E-2</v>
      </c>
    </row>
    <row r="8215" spans="5:6" x14ac:dyDescent="0.35">
      <c r="E8215">
        <v>8212</v>
      </c>
      <c r="F8215">
        <f t="shared" ca="1" si="130"/>
        <v>1.1639364815294741E-2</v>
      </c>
    </row>
    <row r="8216" spans="5:6" x14ac:dyDescent="0.35">
      <c r="E8216">
        <v>8213</v>
      </c>
      <c r="F8216">
        <f t="shared" ca="1" si="130"/>
        <v>3.6765685557170269E-3</v>
      </c>
    </row>
    <row r="8217" spans="5:6" x14ac:dyDescent="0.35">
      <c r="E8217">
        <v>8214</v>
      </c>
      <c r="F8217">
        <f t="shared" ca="1" si="130"/>
        <v>4.9052118055635382E-3</v>
      </c>
    </row>
    <row r="8218" spans="5:6" x14ac:dyDescent="0.35">
      <c r="E8218">
        <v>8215</v>
      </c>
      <c r="F8218">
        <f t="shared" ca="1" si="130"/>
        <v>2.7349502164163476E-2</v>
      </c>
    </row>
    <row r="8219" spans="5:6" x14ac:dyDescent="0.35">
      <c r="E8219">
        <v>8216</v>
      </c>
      <c r="F8219">
        <f t="shared" ca="1" si="130"/>
        <v>-1.3294150448084744E-2</v>
      </c>
    </row>
    <row r="8220" spans="5:6" x14ac:dyDescent="0.35">
      <c r="E8220">
        <v>8217</v>
      </c>
      <c r="F8220">
        <f t="shared" ca="1" si="130"/>
        <v>-3.8145358610834233E-3</v>
      </c>
    </row>
    <row r="8221" spans="5:6" x14ac:dyDescent="0.35">
      <c r="E8221">
        <v>8218</v>
      </c>
      <c r="F8221">
        <f t="shared" ca="1" si="130"/>
        <v>-3.7207209174396454E-2</v>
      </c>
    </row>
    <row r="8222" spans="5:6" x14ac:dyDescent="0.35">
      <c r="E8222">
        <v>8219</v>
      </c>
      <c r="F8222">
        <f t="shared" ca="1" si="130"/>
        <v>1.6785492003972863E-2</v>
      </c>
    </row>
    <row r="8223" spans="5:6" x14ac:dyDescent="0.35">
      <c r="E8223">
        <v>8220</v>
      </c>
      <c r="F8223">
        <f t="shared" ca="1" si="130"/>
        <v>9.224292299758163E-3</v>
      </c>
    </row>
    <row r="8224" spans="5:6" x14ac:dyDescent="0.35">
      <c r="E8224">
        <v>8221</v>
      </c>
      <c r="F8224">
        <f t="shared" ca="1" si="130"/>
        <v>-1.6126197593592767E-2</v>
      </c>
    </row>
    <row r="8225" spans="5:6" x14ac:dyDescent="0.35">
      <c r="E8225">
        <v>8222</v>
      </c>
      <c r="F8225">
        <f t="shared" ca="1" si="130"/>
        <v>7.0926521583752726E-3</v>
      </c>
    </row>
    <row r="8226" spans="5:6" x14ac:dyDescent="0.35">
      <c r="E8226">
        <v>8223</v>
      </c>
      <c r="F8226">
        <f t="shared" ca="1" si="130"/>
        <v>6.8153989135887761E-3</v>
      </c>
    </row>
    <row r="8227" spans="5:6" x14ac:dyDescent="0.35">
      <c r="E8227">
        <v>8224</v>
      </c>
      <c r="F8227">
        <f t="shared" ca="1" si="130"/>
        <v>5.7817217747875658E-3</v>
      </c>
    </row>
    <row r="8228" spans="5:6" x14ac:dyDescent="0.35">
      <c r="E8228">
        <v>8225</v>
      </c>
      <c r="F8228">
        <f t="shared" ca="1" si="130"/>
        <v>1.8552423593128288E-2</v>
      </c>
    </row>
    <row r="8229" spans="5:6" x14ac:dyDescent="0.35">
      <c r="E8229">
        <v>8226</v>
      </c>
      <c r="F8229">
        <f t="shared" ca="1" si="130"/>
        <v>1.2360561991771768E-2</v>
      </c>
    </row>
    <row r="8230" spans="5:6" x14ac:dyDescent="0.35">
      <c r="E8230">
        <v>8227</v>
      </c>
      <c r="F8230">
        <f t="shared" ca="1" si="130"/>
        <v>-9.4374892128062937E-3</v>
      </c>
    </row>
    <row r="8231" spans="5:6" x14ac:dyDescent="0.35">
      <c r="E8231">
        <v>8228</v>
      </c>
      <c r="F8231">
        <f t="shared" ca="1" si="130"/>
        <v>-3.9861151745636831E-3</v>
      </c>
    </row>
    <row r="8232" spans="5:6" x14ac:dyDescent="0.35">
      <c r="E8232">
        <v>8229</v>
      </c>
      <c r="F8232">
        <f t="shared" ca="1" si="130"/>
        <v>2.6682047421034069E-2</v>
      </c>
    </row>
    <row r="8233" spans="5:6" x14ac:dyDescent="0.35">
      <c r="E8233">
        <v>8230</v>
      </c>
      <c r="F8233">
        <f t="shared" ca="1" si="130"/>
        <v>4.0992579553780261E-3</v>
      </c>
    </row>
    <row r="8234" spans="5:6" x14ac:dyDescent="0.35">
      <c r="E8234">
        <v>8231</v>
      </c>
      <c r="F8234">
        <f t="shared" ca="1" si="130"/>
        <v>-1.3940559732544263E-2</v>
      </c>
    </row>
    <row r="8235" spans="5:6" x14ac:dyDescent="0.35">
      <c r="E8235">
        <v>8232</v>
      </c>
      <c r="F8235">
        <f t="shared" ca="1" si="130"/>
        <v>3.1463583115425679E-3</v>
      </c>
    </row>
    <row r="8236" spans="5:6" x14ac:dyDescent="0.35">
      <c r="E8236">
        <v>8233</v>
      </c>
      <c r="F8236">
        <f t="shared" ca="1" si="130"/>
        <v>1.302620834205717E-2</v>
      </c>
    </row>
    <row r="8237" spans="5:6" x14ac:dyDescent="0.35">
      <c r="E8237">
        <v>8234</v>
      </c>
      <c r="F8237">
        <f t="shared" ca="1" si="130"/>
        <v>-8.7432864266658705E-3</v>
      </c>
    </row>
    <row r="8238" spans="5:6" x14ac:dyDescent="0.35">
      <c r="E8238">
        <v>8235</v>
      </c>
      <c r="F8238">
        <f t="shared" ca="1" si="130"/>
        <v>-2.7297562812961834E-2</v>
      </c>
    </row>
    <row r="8239" spans="5:6" x14ac:dyDescent="0.35">
      <c r="E8239">
        <v>8236</v>
      </c>
      <c r="F8239">
        <f t="shared" ca="1" si="130"/>
        <v>-1.3299257370722555E-3</v>
      </c>
    </row>
    <row r="8240" spans="5:6" x14ac:dyDescent="0.35">
      <c r="E8240">
        <v>8237</v>
      </c>
      <c r="F8240">
        <f t="shared" ca="1" si="130"/>
        <v>1.4196026714344239E-2</v>
      </c>
    </row>
    <row r="8241" spans="5:6" x14ac:dyDescent="0.35">
      <c r="E8241">
        <v>8238</v>
      </c>
      <c r="F8241">
        <f t="shared" ca="1" si="130"/>
        <v>-1.9363918651501411E-4</v>
      </c>
    </row>
    <row r="8242" spans="5:6" x14ac:dyDescent="0.35">
      <c r="E8242">
        <v>8239</v>
      </c>
      <c r="F8242">
        <f t="shared" ca="1" si="130"/>
        <v>1.7840489090428763E-2</v>
      </c>
    </row>
    <row r="8243" spans="5:6" x14ac:dyDescent="0.35">
      <c r="E8243">
        <v>8240</v>
      </c>
      <c r="F8243">
        <f t="shared" ca="1" si="130"/>
        <v>1.9291823738481657E-2</v>
      </c>
    </row>
    <row r="8244" spans="5:6" x14ac:dyDescent="0.35">
      <c r="E8244">
        <v>8241</v>
      </c>
      <c r="F8244">
        <f t="shared" ca="1" si="130"/>
        <v>-9.8580960204108369E-4</v>
      </c>
    </row>
    <row r="8245" spans="5:6" x14ac:dyDescent="0.35">
      <c r="E8245">
        <v>8242</v>
      </c>
      <c r="F8245">
        <f t="shared" ca="1" si="130"/>
        <v>-1.3990456880752225E-2</v>
      </c>
    </row>
    <row r="8246" spans="5:6" x14ac:dyDescent="0.35">
      <c r="E8246">
        <v>8243</v>
      </c>
      <c r="F8246">
        <f t="shared" ca="1" si="130"/>
        <v>-2.5021617434705073E-2</v>
      </c>
    </row>
    <row r="8247" spans="5:6" x14ac:dyDescent="0.35">
      <c r="E8247">
        <v>8244</v>
      </c>
      <c r="F8247">
        <f t="shared" ca="1" si="130"/>
        <v>-9.7357892818963152E-3</v>
      </c>
    </row>
    <row r="8248" spans="5:6" x14ac:dyDescent="0.35">
      <c r="E8248">
        <v>8245</v>
      </c>
      <c r="F8248">
        <f t="shared" ca="1" si="130"/>
        <v>-5.8009812763712273E-3</v>
      </c>
    </row>
    <row r="8249" spans="5:6" x14ac:dyDescent="0.35">
      <c r="E8249">
        <v>8246</v>
      </c>
      <c r="F8249">
        <f t="shared" ca="1" si="130"/>
        <v>-7.9508043195256374E-3</v>
      </c>
    </row>
    <row r="8250" spans="5:6" x14ac:dyDescent="0.35">
      <c r="E8250">
        <v>8247</v>
      </c>
      <c r="F8250">
        <f t="shared" ca="1" si="130"/>
        <v>-2.7289062074993292E-2</v>
      </c>
    </row>
    <row r="8251" spans="5:6" x14ac:dyDescent="0.35">
      <c r="E8251">
        <v>8248</v>
      </c>
      <c r="F8251">
        <f t="shared" ca="1" si="130"/>
        <v>-1.8615591986790136E-2</v>
      </c>
    </row>
    <row r="8252" spans="5:6" x14ac:dyDescent="0.35">
      <c r="E8252">
        <v>8249</v>
      </c>
      <c r="F8252">
        <f t="shared" ca="1" si="130"/>
        <v>3.7875632868010121E-3</v>
      </c>
    </row>
    <row r="8253" spans="5:6" x14ac:dyDescent="0.35">
      <c r="E8253">
        <v>8250</v>
      </c>
      <c r="F8253">
        <f t="shared" ca="1" si="130"/>
        <v>-1.0202804600102668E-2</v>
      </c>
    </row>
    <row r="8254" spans="5:6" x14ac:dyDescent="0.35">
      <c r="E8254">
        <v>8251</v>
      </c>
      <c r="F8254">
        <f t="shared" ca="1" si="130"/>
        <v>1.657206968515014E-2</v>
      </c>
    </row>
    <row r="8255" spans="5:6" x14ac:dyDescent="0.35">
      <c r="E8255">
        <v>8252</v>
      </c>
      <c r="F8255">
        <f t="shared" ca="1" si="130"/>
        <v>-6.4340097827777862E-3</v>
      </c>
    </row>
    <row r="8256" spans="5:6" x14ac:dyDescent="0.35">
      <c r="E8256">
        <v>8253</v>
      </c>
      <c r="F8256">
        <f t="shared" ca="1" si="130"/>
        <v>-4.8488230160120818E-3</v>
      </c>
    </row>
    <row r="8257" spans="5:6" x14ac:dyDescent="0.35">
      <c r="E8257">
        <v>8254</v>
      </c>
      <c r="F8257">
        <f t="shared" ca="1" si="130"/>
        <v>2.3568708983538095E-2</v>
      </c>
    </row>
    <row r="8258" spans="5:6" x14ac:dyDescent="0.35">
      <c r="E8258">
        <v>8255</v>
      </c>
      <c r="F8258">
        <f t="shared" ca="1" si="130"/>
        <v>1.4806052119938688E-2</v>
      </c>
    </row>
    <row r="8259" spans="5:6" x14ac:dyDescent="0.35">
      <c r="E8259">
        <v>8256</v>
      </c>
      <c r="F8259">
        <f t="shared" ca="1" si="130"/>
        <v>-7.6083909008706225E-3</v>
      </c>
    </row>
    <row r="8260" spans="5:6" x14ac:dyDescent="0.35">
      <c r="E8260">
        <v>8257</v>
      </c>
      <c r="F8260">
        <f t="shared" ca="1" si="130"/>
        <v>-4.7637252124142328E-3</v>
      </c>
    </row>
    <row r="8261" spans="5:6" x14ac:dyDescent="0.35">
      <c r="E8261">
        <v>8258</v>
      </c>
      <c r="F8261">
        <f t="shared" ref="F8261:F8324" ca="1" si="131">_xlfn.NORM.INV(RAND(),M$6,M$7)</f>
        <v>4.7423910589671839E-3</v>
      </c>
    </row>
    <row r="8262" spans="5:6" x14ac:dyDescent="0.35">
      <c r="E8262">
        <v>8259</v>
      </c>
      <c r="F8262">
        <f t="shared" ca="1" si="131"/>
        <v>3.3167215778559787E-3</v>
      </c>
    </row>
    <row r="8263" spans="5:6" x14ac:dyDescent="0.35">
      <c r="E8263">
        <v>8260</v>
      </c>
      <c r="F8263">
        <f t="shared" ca="1" si="131"/>
        <v>-8.2410624899244903E-3</v>
      </c>
    </row>
    <row r="8264" spans="5:6" x14ac:dyDescent="0.35">
      <c r="E8264">
        <v>8261</v>
      </c>
      <c r="F8264">
        <f t="shared" ca="1" si="131"/>
        <v>-2.3598050726770653E-2</v>
      </c>
    </row>
    <row r="8265" spans="5:6" x14ac:dyDescent="0.35">
      <c r="E8265">
        <v>8262</v>
      </c>
      <c r="F8265">
        <f t="shared" ca="1" si="131"/>
        <v>-1.2203550228883249E-3</v>
      </c>
    </row>
    <row r="8266" spans="5:6" x14ac:dyDescent="0.35">
      <c r="E8266">
        <v>8263</v>
      </c>
      <c r="F8266">
        <f t="shared" ca="1" si="131"/>
        <v>-1.1936926833821889E-2</v>
      </c>
    </row>
    <row r="8267" spans="5:6" x14ac:dyDescent="0.35">
      <c r="E8267">
        <v>8264</v>
      </c>
      <c r="F8267">
        <f t="shared" ca="1" si="131"/>
        <v>9.6543576567270379E-4</v>
      </c>
    </row>
    <row r="8268" spans="5:6" x14ac:dyDescent="0.35">
      <c r="E8268">
        <v>8265</v>
      </c>
      <c r="F8268">
        <f t="shared" ca="1" si="131"/>
        <v>-1.7286465487220997E-2</v>
      </c>
    </row>
    <row r="8269" spans="5:6" x14ac:dyDescent="0.35">
      <c r="E8269">
        <v>8266</v>
      </c>
      <c r="F8269">
        <f t="shared" ca="1" si="131"/>
        <v>-2.031922268997801E-2</v>
      </c>
    </row>
    <row r="8270" spans="5:6" x14ac:dyDescent="0.35">
      <c r="E8270">
        <v>8267</v>
      </c>
      <c r="F8270">
        <f t="shared" ca="1" si="131"/>
        <v>8.141179516056014E-3</v>
      </c>
    </row>
    <row r="8271" spans="5:6" x14ac:dyDescent="0.35">
      <c r="E8271">
        <v>8268</v>
      </c>
      <c r="F8271">
        <f t="shared" ca="1" si="131"/>
        <v>2.2156028937023882E-3</v>
      </c>
    </row>
    <row r="8272" spans="5:6" x14ac:dyDescent="0.35">
      <c r="E8272">
        <v>8269</v>
      </c>
      <c r="F8272">
        <f t="shared" ca="1" si="131"/>
        <v>2.1933610174736062E-2</v>
      </c>
    </row>
    <row r="8273" spans="5:6" x14ac:dyDescent="0.35">
      <c r="E8273">
        <v>8270</v>
      </c>
      <c r="F8273">
        <f t="shared" ca="1" si="131"/>
        <v>-4.9009178763979189E-3</v>
      </c>
    </row>
    <row r="8274" spans="5:6" x14ac:dyDescent="0.35">
      <c r="E8274">
        <v>8271</v>
      </c>
      <c r="F8274">
        <f t="shared" ca="1" si="131"/>
        <v>1.0730087876185911E-2</v>
      </c>
    </row>
    <row r="8275" spans="5:6" x14ac:dyDescent="0.35">
      <c r="E8275">
        <v>8272</v>
      </c>
      <c r="F8275">
        <f t="shared" ca="1" si="131"/>
        <v>-4.4661531016113275E-3</v>
      </c>
    </row>
    <row r="8276" spans="5:6" x14ac:dyDescent="0.35">
      <c r="E8276">
        <v>8273</v>
      </c>
      <c r="F8276">
        <f t="shared" ca="1" si="131"/>
        <v>-1.4117113026997731E-2</v>
      </c>
    </row>
    <row r="8277" spans="5:6" x14ac:dyDescent="0.35">
      <c r="E8277">
        <v>8274</v>
      </c>
      <c r="F8277">
        <f t="shared" ca="1" si="131"/>
        <v>5.7880363039903094E-3</v>
      </c>
    </row>
    <row r="8278" spans="5:6" x14ac:dyDescent="0.35">
      <c r="E8278">
        <v>8275</v>
      </c>
      <c r="F8278">
        <f t="shared" ca="1" si="131"/>
        <v>-5.6031156062677154E-3</v>
      </c>
    </row>
    <row r="8279" spans="5:6" x14ac:dyDescent="0.35">
      <c r="E8279">
        <v>8276</v>
      </c>
      <c r="F8279">
        <f t="shared" ca="1" si="131"/>
        <v>-1.0027337112485971E-2</v>
      </c>
    </row>
    <row r="8280" spans="5:6" x14ac:dyDescent="0.35">
      <c r="E8280">
        <v>8277</v>
      </c>
      <c r="F8280">
        <f t="shared" ca="1" si="131"/>
        <v>-8.0617941445582132E-3</v>
      </c>
    </row>
    <row r="8281" spans="5:6" x14ac:dyDescent="0.35">
      <c r="E8281">
        <v>8278</v>
      </c>
      <c r="F8281">
        <f t="shared" ca="1" si="131"/>
        <v>5.318648847598792E-3</v>
      </c>
    </row>
    <row r="8282" spans="5:6" x14ac:dyDescent="0.35">
      <c r="E8282">
        <v>8279</v>
      </c>
      <c r="F8282">
        <f t="shared" ca="1" si="131"/>
        <v>1.4035101289093138E-2</v>
      </c>
    </row>
    <row r="8283" spans="5:6" x14ac:dyDescent="0.35">
      <c r="E8283">
        <v>8280</v>
      </c>
      <c r="F8283">
        <f t="shared" ca="1" si="131"/>
        <v>9.4694281727191725E-3</v>
      </c>
    </row>
    <row r="8284" spans="5:6" x14ac:dyDescent="0.35">
      <c r="E8284">
        <v>8281</v>
      </c>
      <c r="F8284">
        <f t="shared" ca="1" si="131"/>
        <v>-9.7694561176919614E-3</v>
      </c>
    </row>
    <row r="8285" spans="5:6" x14ac:dyDescent="0.35">
      <c r="E8285">
        <v>8282</v>
      </c>
      <c r="F8285">
        <f t="shared" ca="1" si="131"/>
        <v>1.3591833785179842E-2</v>
      </c>
    </row>
    <row r="8286" spans="5:6" x14ac:dyDescent="0.35">
      <c r="E8286">
        <v>8283</v>
      </c>
      <c r="F8286">
        <f t="shared" ca="1" si="131"/>
        <v>-6.7054674185726909E-3</v>
      </c>
    </row>
    <row r="8287" spans="5:6" x14ac:dyDescent="0.35">
      <c r="E8287">
        <v>8284</v>
      </c>
      <c r="F8287">
        <f t="shared" ca="1" si="131"/>
        <v>-9.5438006919177729E-3</v>
      </c>
    </row>
    <row r="8288" spans="5:6" x14ac:dyDescent="0.35">
      <c r="E8288">
        <v>8285</v>
      </c>
      <c r="F8288">
        <f t="shared" ca="1" si="131"/>
        <v>1.2670161781039141E-2</v>
      </c>
    </row>
    <row r="8289" spans="5:6" x14ac:dyDescent="0.35">
      <c r="E8289">
        <v>8286</v>
      </c>
      <c r="F8289">
        <f t="shared" ca="1" si="131"/>
        <v>-1.170982011333291E-2</v>
      </c>
    </row>
    <row r="8290" spans="5:6" x14ac:dyDescent="0.35">
      <c r="E8290">
        <v>8287</v>
      </c>
      <c r="F8290">
        <f t="shared" ca="1" si="131"/>
        <v>-3.3417133413322329E-2</v>
      </c>
    </row>
    <row r="8291" spans="5:6" x14ac:dyDescent="0.35">
      <c r="E8291">
        <v>8288</v>
      </c>
      <c r="F8291">
        <f t="shared" ca="1" si="131"/>
        <v>2.8496920866458407E-3</v>
      </c>
    </row>
    <row r="8292" spans="5:6" x14ac:dyDescent="0.35">
      <c r="E8292">
        <v>8289</v>
      </c>
      <c r="F8292">
        <f t="shared" ca="1" si="131"/>
        <v>8.9842412025854159E-3</v>
      </c>
    </row>
    <row r="8293" spans="5:6" x14ac:dyDescent="0.35">
      <c r="E8293">
        <v>8290</v>
      </c>
      <c r="F8293">
        <f t="shared" ca="1" si="131"/>
        <v>8.8520362494623472E-3</v>
      </c>
    </row>
    <row r="8294" spans="5:6" x14ac:dyDescent="0.35">
      <c r="E8294">
        <v>8291</v>
      </c>
      <c r="F8294">
        <f t="shared" ca="1" si="131"/>
        <v>4.9255512801219849E-4</v>
      </c>
    </row>
    <row r="8295" spans="5:6" x14ac:dyDescent="0.35">
      <c r="E8295">
        <v>8292</v>
      </c>
      <c r="F8295">
        <f t="shared" ca="1" si="131"/>
        <v>-1.4756179267766557E-3</v>
      </c>
    </row>
    <row r="8296" spans="5:6" x14ac:dyDescent="0.35">
      <c r="E8296">
        <v>8293</v>
      </c>
      <c r="F8296">
        <f t="shared" ca="1" si="131"/>
        <v>1.2272541818318559E-3</v>
      </c>
    </row>
    <row r="8297" spans="5:6" x14ac:dyDescent="0.35">
      <c r="E8297">
        <v>8294</v>
      </c>
      <c r="F8297">
        <f t="shared" ca="1" si="131"/>
        <v>2.5172051205468383E-2</v>
      </c>
    </row>
    <row r="8298" spans="5:6" x14ac:dyDescent="0.35">
      <c r="E8298">
        <v>8295</v>
      </c>
      <c r="F8298">
        <f t="shared" ca="1" si="131"/>
        <v>-1.6902443721484688E-2</v>
      </c>
    </row>
    <row r="8299" spans="5:6" x14ac:dyDescent="0.35">
      <c r="E8299">
        <v>8296</v>
      </c>
      <c r="F8299">
        <f t="shared" ca="1" si="131"/>
        <v>4.2905500908904382E-3</v>
      </c>
    </row>
    <row r="8300" spans="5:6" x14ac:dyDescent="0.35">
      <c r="E8300">
        <v>8297</v>
      </c>
      <c r="F8300">
        <f t="shared" ca="1" si="131"/>
        <v>-8.6979118155702338E-3</v>
      </c>
    </row>
    <row r="8301" spans="5:6" x14ac:dyDescent="0.35">
      <c r="E8301">
        <v>8298</v>
      </c>
      <c r="F8301">
        <f t="shared" ca="1" si="131"/>
        <v>1.7932602715295416E-2</v>
      </c>
    </row>
    <row r="8302" spans="5:6" x14ac:dyDescent="0.35">
      <c r="E8302">
        <v>8299</v>
      </c>
      <c r="F8302">
        <f t="shared" ca="1" si="131"/>
        <v>3.5683994027076479E-3</v>
      </c>
    </row>
    <row r="8303" spans="5:6" x14ac:dyDescent="0.35">
      <c r="E8303">
        <v>8300</v>
      </c>
      <c r="F8303">
        <f t="shared" ca="1" si="131"/>
        <v>2.5465037624615435E-2</v>
      </c>
    </row>
    <row r="8304" spans="5:6" x14ac:dyDescent="0.35">
      <c r="E8304">
        <v>8301</v>
      </c>
      <c r="F8304">
        <f t="shared" ca="1" si="131"/>
        <v>5.2297816684316548E-3</v>
      </c>
    </row>
    <row r="8305" spans="5:6" x14ac:dyDescent="0.35">
      <c r="E8305">
        <v>8302</v>
      </c>
      <c r="F8305">
        <f t="shared" ca="1" si="131"/>
        <v>2.2129944456987141E-2</v>
      </c>
    </row>
    <row r="8306" spans="5:6" x14ac:dyDescent="0.35">
      <c r="E8306">
        <v>8303</v>
      </c>
      <c r="F8306">
        <f t="shared" ca="1" si="131"/>
        <v>1.0226185358745921E-2</v>
      </c>
    </row>
    <row r="8307" spans="5:6" x14ac:dyDescent="0.35">
      <c r="E8307">
        <v>8304</v>
      </c>
      <c r="F8307">
        <f t="shared" ca="1" si="131"/>
        <v>-1.2128738375813424E-2</v>
      </c>
    </row>
    <row r="8308" spans="5:6" x14ac:dyDescent="0.35">
      <c r="E8308">
        <v>8305</v>
      </c>
      <c r="F8308">
        <f t="shared" ca="1" si="131"/>
        <v>1.5912124263306078E-2</v>
      </c>
    </row>
    <row r="8309" spans="5:6" x14ac:dyDescent="0.35">
      <c r="E8309">
        <v>8306</v>
      </c>
      <c r="F8309">
        <f t="shared" ca="1" si="131"/>
        <v>-1.0296504879001094E-2</v>
      </c>
    </row>
    <row r="8310" spans="5:6" x14ac:dyDescent="0.35">
      <c r="E8310">
        <v>8307</v>
      </c>
      <c r="F8310">
        <f t="shared" ca="1" si="131"/>
        <v>2.0321231304202759E-2</v>
      </c>
    </row>
    <row r="8311" spans="5:6" x14ac:dyDescent="0.35">
      <c r="E8311">
        <v>8308</v>
      </c>
      <c r="F8311">
        <f t="shared" ca="1" si="131"/>
        <v>2.4024719475808365E-3</v>
      </c>
    </row>
    <row r="8312" spans="5:6" x14ac:dyDescent="0.35">
      <c r="E8312">
        <v>8309</v>
      </c>
      <c r="F8312">
        <f t="shared" ca="1" si="131"/>
        <v>-1.7477296875760478E-2</v>
      </c>
    </row>
    <row r="8313" spans="5:6" x14ac:dyDescent="0.35">
      <c r="E8313">
        <v>8310</v>
      </c>
      <c r="F8313">
        <f t="shared" ca="1" si="131"/>
        <v>5.5877825785904554E-3</v>
      </c>
    </row>
    <row r="8314" spans="5:6" x14ac:dyDescent="0.35">
      <c r="E8314">
        <v>8311</v>
      </c>
      <c r="F8314">
        <f t="shared" ca="1" si="131"/>
        <v>-2.4726060268866101E-3</v>
      </c>
    </row>
    <row r="8315" spans="5:6" x14ac:dyDescent="0.35">
      <c r="E8315">
        <v>8312</v>
      </c>
      <c r="F8315">
        <f t="shared" ca="1" si="131"/>
        <v>-1.2352716438187441E-2</v>
      </c>
    </row>
    <row r="8316" spans="5:6" x14ac:dyDescent="0.35">
      <c r="E8316">
        <v>8313</v>
      </c>
      <c r="F8316">
        <f t="shared" ca="1" si="131"/>
        <v>2.5275410665553062E-2</v>
      </c>
    </row>
    <row r="8317" spans="5:6" x14ac:dyDescent="0.35">
      <c r="E8317">
        <v>8314</v>
      </c>
      <c r="F8317">
        <f t="shared" ca="1" si="131"/>
        <v>7.8946029868880978E-3</v>
      </c>
    </row>
    <row r="8318" spans="5:6" x14ac:dyDescent="0.35">
      <c r="E8318">
        <v>8315</v>
      </c>
      <c r="F8318">
        <f t="shared" ca="1" si="131"/>
        <v>2.3239625529773277E-2</v>
      </c>
    </row>
    <row r="8319" spans="5:6" x14ac:dyDescent="0.35">
      <c r="E8319">
        <v>8316</v>
      </c>
      <c r="F8319">
        <f t="shared" ca="1" si="131"/>
        <v>5.9183479164855984E-3</v>
      </c>
    </row>
    <row r="8320" spans="5:6" x14ac:dyDescent="0.35">
      <c r="E8320">
        <v>8317</v>
      </c>
      <c r="F8320">
        <f t="shared" ca="1" si="131"/>
        <v>1.394771340511469E-3</v>
      </c>
    </row>
    <row r="8321" spans="5:6" x14ac:dyDescent="0.35">
      <c r="E8321">
        <v>8318</v>
      </c>
      <c r="F8321">
        <f t="shared" ca="1" si="131"/>
        <v>-2.2973510899011723E-4</v>
      </c>
    </row>
    <row r="8322" spans="5:6" x14ac:dyDescent="0.35">
      <c r="E8322">
        <v>8319</v>
      </c>
      <c r="F8322">
        <f t="shared" ca="1" si="131"/>
        <v>1.7093517052184856E-2</v>
      </c>
    </row>
    <row r="8323" spans="5:6" x14ac:dyDescent="0.35">
      <c r="E8323">
        <v>8320</v>
      </c>
      <c r="F8323">
        <f t="shared" ca="1" si="131"/>
        <v>4.9168618989352784E-3</v>
      </c>
    </row>
    <row r="8324" spans="5:6" x14ac:dyDescent="0.35">
      <c r="E8324">
        <v>8321</v>
      </c>
      <c r="F8324">
        <f t="shared" ca="1" si="131"/>
        <v>8.4628392539870759E-3</v>
      </c>
    </row>
    <row r="8325" spans="5:6" x14ac:dyDescent="0.35">
      <c r="E8325">
        <v>8322</v>
      </c>
      <c r="F8325">
        <f t="shared" ref="F8325:F8388" ca="1" si="132">_xlfn.NORM.INV(RAND(),M$6,M$7)</f>
        <v>3.0387194493078893E-2</v>
      </c>
    </row>
    <row r="8326" spans="5:6" x14ac:dyDescent="0.35">
      <c r="E8326">
        <v>8323</v>
      </c>
      <c r="F8326">
        <f t="shared" ca="1" si="132"/>
        <v>-7.3618501759817098E-3</v>
      </c>
    </row>
    <row r="8327" spans="5:6" x14ac:dyDescent="0.35">
      <c r="E8327">
        <v>8324</v>
      </c>
      <c r="F8327">
        <f t="shared" ca="1" si="132"/>
        <v>-8.4232694528722889E-3</v>
      </c>
    </row>
    <row r="8328" spans="5:6" x14ac:dyDescent="0.35">
      <c r="E8328">
        <v>8325</v>
      </c>
      <c r="F8328">
        <f t="shared" ca="1" si="132"/>
        <v>-4.7691571470831516E-3</v>
      </c>
    </row>
    <row r="8329" spans="5:6" x14ac:dyDescent="0.35">
      <c r="E8329">
        <v>8326</v>
      </c>
      <c r="F8329">
        <f t="shared" ca="1" si="132"/>
        <v>1.1381260778099284E-2</v>
      </c>
    </row>
    <row r="8330" spans="5:6" x14ac:dyDescent="0.35">
      <c r="E8330">
        <v>8327</v>
      </c>
      <c r="F8330">
        <f t="shared" ca="1" si="132"/>
        <v>-1.0584985815351231E-2</v>
      </c>
    </row>
    <row r="8331" spans="5:6" x14ac:dyDescent="0.35">
      <c r="E8331">
        <v>8328</v>
      </c>
      <c r="F8331">
        <f t="shared" ca="1" si="132"/>
        <v>-8.310145918613239E-3</v>
      </c>
    </row>
    <row r="8332" spans="5:6" x14ac:dyDescent="0.35">
      <c r="E8332">
        <v>8329</v>
      </c>
      <c r="F8332">
        <f t="shared" ca="1" si="132"/>
        <v>-2.4260402574808829E-2</v>
      </c>
    </row>
    <row r="8333" spans="5:6" x14ac:dyDescent="0.35">
      <c r="E8333">
        <v>8330</v>
      </c>
      <c r="F8333">
        <f t="shared" ca="1" si="132"/>
        <v>1.8737723541658025E-2</v>
      </c>
    </row>
    <row r="8334" spans="5:6" x14ac:dyDescent="0.35">
      <c r="E8334">
        <v>8331</v>
      </c>
      <c r="F8334">
        <f t="shared" ca="1" si="132"/>
        <v>-1.3089984206142442E-2</v>
      </c>
    </row>
    <row r="8335" spans="5:6" x14ac:dyDescent="0.35">
      <c r="E8335">
        <v>8332</v>
      </c>
      <c r="F8335">
        <f t="shared" ca="1" si="132"/>
        <v>-6.0258685717584567E-3</v>
      </c>
    </row>
    <row r="8336" spans="5:6" x14ac:dyDescent="0.35">
      <c r="E8336">
        <v>8333</v>
      </c>
      <c r="F8336">
        <f t="shared" ca="1" si="132"/>
        <v>6.6744868918407682E-3</v>
      </c>
    </row>
    <row r="8337" spans="5:6" x14ac:dyDescent="0.35">
      <c r="E8337">
        <v>8334</v>
      </c>
      <c r="F8337">
        <f t="shared" ca="1" si="132"/>
        <v>2.1641871472347418E-2</v>
      </c>
    </row>
    <row r="8338" spans="5:6" x14ac:dyDescent="0.35">
      <c r="E8338">
        <v>8335</v>
      </c>
      <c r="F8338">
        <f t="shared" ca="1" si="132"/>
        <v>1.4735684032540049E-2</v>
      </c>
    </row>
    <row r="8339" spans="5:6" x14ac:dyDescent="0.35">
      <c r="E8339">
        <v>8336</v>
      </c>
      <c r="F8339">
        <f t="shared" ca="1" si="132"/>
        <v>2.417219313006131E-3</v>
      </c>
    </row>
    <row r="8340" spans="5:6" x14ac:dyDescent="0.35">
      <c r="E8340">
        <v>8337</v>
      </c>
      <c r="F8340">
        <f t="shared" ca="1" si="132"/>
        <v>2.8623832173879284E-3</v>
      </c>
    </row>
    <row r="8341" spans="5:6" x14ac:dyDescent="0.35">
      <c r="E8341">
        <v>8338</v>
      </c>
      <c r="F8341">
        <f t="shared" ca="1" si="132"/>
        <v>-5.2888625597164564E-3</v>
      </c>
    </row>
    <row r="8342" spans="5:6" x14ac:dyDescent="0.35">
      <c r="E8342">
        <v>8339</v>
      </c>
      <c r="F8342">
        <f t="shared" ca="1" si="132"/>
        <v>-1.1724997298565248E-2</v>
      </c>
    </row>
    <row r="8343" spans="5:6" x14ac:dyDescent="0.35">
      <c r="E8343">
        <v>8340</v>
      </c>
      <c r="F8343">
        <f t="shared" ca="1" si="132"/>
        <v>3.8934732109545143E-2</v>
      </c>
    </row>
    <row r="8344" spans="5:6" x14ac:dyDescent="0.35">
      <c r="E8344">
        <v>8341</v>
      </c>
      <c r="F8344">
        <f t="shared" ca="1" si="132"/>
        <v>1.844946419493966E-2</v>
      </c>
    </row>
    <row r="8345" spans="5:6" x14ac:dyDescent="0.35">
      <c r="E8345">
        <v>8342</v>
      </c>
      <c r="F8345">
        <f t="shared" ca="1" si="132"/>
        <v>-1.1016529288918235E-2</v>
      </c>
    </row>
    <row r="8346" spans="5:6" x14ac:dyDescent="0.35">
      <c r="E8346">
        <v>8343</v>
      </c>
      <c r="F8346">
        <f t="shared" ca="1" si="132"/>
        <v>-1.2559882393090006E-2</v>
      </c>
    </row>
    <row r="8347" spans="5:6" x14ac:dyDescent="0.35">
      <c r="E8347">
        <v>8344</v>
      </c>
      <c r="F8347">
        <f t="shared" ca="1" si="132"/>
        <v>6.8960103734649987E-3</v>
      </c>
    </row>
    <row r="8348" spans="5:6" x14ac:dyDescent="0.35">
      <c r="E8348">
        <v>8345</v>
      </c>
      <c r="F8348">
        <f t="shared" ca="1" si="132"/>
        <v>1.0308079886187836E-2</v>
      </c>
    </row>
    <row r="8349" spans="5:6" x14ac:dyDescent="0.35">
      <c r="E8349">
        <v>8346</v>
      </c>
      <c r="F8349">
        <f t="shared" ca="1" si="132"/>
        <v>-2.1301225791605194E-3</v>
      </c>
    </row>
    <row r="8350" spans="5:6" x14ac:dyDescent="0.35">
      <c r="E8350">
        <v>8347</v>
      </c>
      <c r="F8350">
        <f t="shared" ca="1" si="132"/>
        <v>4.6644227845287767E-3</v>
      </c>
    </row>
    <row r="8351" spans="5:6" x14ac:dyDescent="0.35">
      <c r="E8351">
        <v>8348</v>
      </c>
      <c r="F8351">
        <f t="shared" ca="1" si="132"/>
        <v>1.4508187160940695E-2</v>
      </c>
    </row>
    <row r="8352" spans="5:6" x14ac:dyDescent="0.35">
      <c r="E8352">
        <v>8349</v>
      </c>
      <c r="F8352">
        <f t="shared" ca="1" si="132"/>
        <v>1.5759502910522513E-2</v>
      </c>
    </row>
    <row r="8353" spans="5:6" x14ac:dyDescent="0.35">
      <c r="E8353">
        <v>8350</v>
      </c>
      <c r="F8353">
        <f t="shared" ca="1" si="132"/>
        <v>-6.7640263046480501E-3</v>
      </c>
    </row>
    <row r="8354" spans="5:6" x14ac:dyDescent="0.35">
      <c r="E8354">
        <v>8351</v>
      </c>
      <c r="F8354">
        <f t="shared" ca="1" si="132"/>
        <v>-1.0079369863440755E-3</v>
      </c>
    </row>
    <row r="8355" spans="5:6" x14ac:dyDescent="0.35">
      <c r="E8355">
        <v>8352</v>
      </c>
      <c r="F8355">
        <f t="shared" ca="1" si="132"/>
        <v>1.7131735835524971E-2</v>
      </c>
    </row>
    <row r="8356" spans="5:6" x14ac:dyDescent="0.35">
      <c r="E8356">
        <v>8353</v>
      </c>
      <c r="F8356">
        <f t="shared" ca="1" si="132"/>
        <v>3.5550852490310966E-2</v>
      </c>
    </row>
    <row r="8357" spans="5:6" x14ac:dyDescent="0.35">
      <c r="E8357">
        <v>8354</v>
      </c>
      <c r="F8357">
        <f t="shared" ca="1" si="132"/>
        <v>1.7001343738423373E-2</v>
      </c>
    </row>
    <row r="8358" spans="5:6" x14ac:dyDescent="0.35">
      <c r="E8358">
        <v>8355</v>
      </c>
      <c r="F8358">
        <f t="shared" ca="1" si="132"/>
        <v>-1.9647457803884744E-2</v>
      </c>
    </row>
    <row r="8359" spans="5:6" x14ac:dyDescent="0.35">
      <c r="E8359">
        <v>8356</v>
      </c>
      <c r="F8359">
        <f t="shared" ca="1" si="132"/>
        <v>-3.7741411010689785E-2</v>
      </c>
    </row>
    <row r="8360" spans="5:6" x14ac:dyDescent="0.35">
      <c r="E8360">
        <v>8357</v>
      </c>
      <c r="F8360">
        <f t="shared" ca="1" si="132"/>
        <v>3.1561278078157784E-2</v>
      </c>
    </row>
    <row r="8361" spans="5:6" x14ac:dyDescent="0.35">
      <c r="E8361">
        <v>8358</v>
      </c>
      <c r="F8361">
        <f t="shared" ca="1" si="132"/>
        <v>2.5030860929457822E-2</v>
      </c>
    </row>
    <row r="8362" spans="5:6" x14ac:dyDescent="0.35">
      <c r="E8362">
        <v>8359</v>
      </c>
      <c r="F8362">
        <f t="shared" ca="1" si="132"/>
        <v>4.4525328478850615E-2</v>
      </c>
    </row>
    <row r="8363" spans="5:6" x14ac:dyDescent="0.35">
      <c r="E8363">
        <v>8360</v>
      </c>
      <c r="F8363">
        <f t="shared" ca="1" si="132"/>
        <v>-2.3988530041573379E-3</v>
      </c>
    </row>
    <row r="8364" spans="5:6" x14ac:dyDescent="0.35">
      <c r="E8364">
        <v>8361</v>
      </c>
      <c r="F8364">
        <f t="shared" ca="1" si="132"/>
        <v>1.5044026593122876E-2</v>
      </c>
    </row>
    <row r="8365" spans="5:6" x14ac:dyDescent="0.35">
      <c r="E8365">
        <v>8362</v>
      </c>
      <c r="F8365">
        <f t="shared" ca="1" si="132"/>
        <v>-5.6984925322640847E-4</v>
      </c>
    </row>
    <row r="8366" spans="5:6" x14ac:dyDescent="0.35">
      <c r="E8366">
        <v>8363</v>
      </c>
      <c r="F8366">
        <f t="shared" ca="1" si="132"/>
        <v>-1.0001207248766571E-2</v>
      </c>
    </row>
    <row r="8367" spans="5:6" x14ac:dyDescent="0.35">
      <c r="E8367">
        <v>8364</v>
      </c>
      <c r="F8367">
        <f t="shared" ca="1" si="132"/>
        <v>1.4704777966825372E-2</v>
      </c>
    </row>
    <row r="8368" spans="5:6" x14ac:dyDescent="0.35">
      <c r="E8368">
        <v>8365</v>
      </c>
      <c r="F8368">
        <f t="shared" ca="1" si="132"/>
        <v>1.6832478313664034E-2</v>
      </c>
    </row>
    <row r="8369" spans="5:6" x14ac:dyDescent="0.35">
      <c r="E8369">
        <v>8366</v>
      </c>
      <c r="F8369">
        <f t="shared" ca="1" si="132"/>
        <v>-1.1152546394235971E-2</v>
      </c>
    </row>
    <row r="8370" spans="5:6" x14ac:dyDescent="0.35">
      <c r="E8370">
        <v>8367</v>
      </c>
      <c r="F8370">
        <f t="shared" ca="1" si="132"/>
        <v>-1.4957261217863872E-4</v>
      </c>
    </row>
    <row r="8371" spans="5:6" x14ac:dyDescent="0.35">
      <c r="E8371">
        <v>8368</v>
      </c>
      <c r="F8371">
        <f t="shared" ca="1" si="132"/>
        <v>-9.0432393923276771E-3</v>
      </c>
    </row>
    <row r="8372" spans="5:6" x14ac:dyDescent="0.35">
      <c r="E8372">
        <v>8369</v>
      </c>
      <c r="F8372">
        <f t="shared" ca="1" si="132"/>
        <v>-1.0889976428416047E-2</v>
      </c>
    </row>
    <row r="8373" spans="5:6" x14ac:dyDescent="0.35">
      <c r="E8373">
        <v>8370</v>
      </c>
      <c r="F8373">
        <f t="shared" ca="1" si="132"/>
        <v>-2.2455844508015545E-2</v>
      </c>
    </row>
    <row r="8374" spans="5:6" x14ac:dyDescent="0.35">
      <c r="E8374">
        <v>8371</v>
      </c>
      <c r="F8374">
        <f t="shared" ca="1" si="132"/>
        <v>1.0741904549023174E-2</v>
      </c>
    </row>
    <row r="8375" spans="5:6" x14ac:dyDescent="0.35">
      <c r="E8375">
        <v>8372</v>
      </c>
      <c r="F8375">
        <f t="shared" ca="1" si="132"/>
        <v>-1.9803555213642972E-2</v>
      </c>
    </row>
    <row r="8376" spans="5:6" x14ac:dyDescent="0.35">
      <c r="E8376">
        <v>8373</v>
      </c>
      <c r="F8376">
        <f t="shared" ca="1" si="132"/>
        <v>-1.3534745910820791E-2</v>
      </c>
    </row>
    <row r="8377" spans="5:6" x14ac:dyDescent="0.35">
      <c r="E8377">
        <v>8374</v>
      </c>
      <c r="F8377">
        <f t="shared" ca="1" si="132"/>
        <v>-8.8943486590033777E-3</v>
      </c>
    </row>
    <row r="8378" spans="5:6" x14ac:dyDescent="0.35">
      <c r="E8378">
        <v>8375</v>
      </c>
      <c r="F8378">
        <f t="shared" ca="1" si="132"/>
        <v>-8.3448266667358918E-3</v>
      </c>
    </row>
    <row r="8379" spans="5:6" x14ac:dyDescent="0.35">
      <c r="E8379">
        <v>8376</v>
      </c>
      <c r="F8379">
        <f t="shared" ca="1" si="132"/>
        <v>-2.0563162164220071E-2</v>
      </c>
    </row>
    <row r="8380" spans="5:6" x14ac:dyDescent="0.35">
      <c r="E8380">
        <v>8377</v>
      </c>
      <c r="F8380">
        <f t="shared" ca="1" si="132"/>
        <v>1.87740668998413E-3</v>
      </c>
    </row>
    <row r="8381" spans="5:6" x14ac:dyDescent="0.35">
      <c r="E8381">
        <v>8378</v>
      </c>
      <c r="F8381">
        <f t="shared" ca="1" si="132"/>
        <v>-3.318957289935167E-2</v>
      </c>
    </row>
    <row r="8382" spans="5:6" x14ac:dyDescent="0.35">
      <c r="E8382">
        <v>8379</v>
      </c>
      <c r="F8382">
        <f t="shared" ca="1" si="132"/>
        <v>-4.2643315678423449E-3</v>
      </c>
    </row>
    <row r="8383" spans="5:6" x14ac:dyDescent="0.35">
      <c r="E8383">
        <v>8380</v>
      </c>
      <c r="F8383">
        <f t="shared" ca="1" si="132"/>
        <v>-1.4576939226644202E-2</v>
      </c>
    </row>
    <row r="8384" spans="5:6" x14ac:dyDescent="0.35">
      <c r="E8384">
        <v>8381</v>
      </c>
      <c r="F8384">
        <f t="shared" ca="1" si="132"/>
        <v>-2.9575980298989561E-2</v>
      </c>
    </row>
    <row r="8385" spans="5:6" x14ac:dyDescent="0.35">
      <c r="E8385">
        <v>8382</v>
      </c>
      <c r="F8385">
        <f t="shared" ca="1" si="132"/>
        <v>6.957753873507483E-3</v>
      </c>
    </row>
    <row r="8386" spans="5:6" x14ac:dyDescent="0.35">
      <c r="E8386">
        <v>8383</v>
      </c>
      <c r="F8386">
        <f t="shared" ca="1" si="132"/>
        <v>1.3145632635568947E-2</v>
      </c>
    </row>
    <row r="8387" spans="5:6" x14ac:dyDescent="0.35">
      <c r="E8387">
        <v>8384</v>
      </c>
      <c r="F8387">
        <f t="shared" ca="1" si="132"/>
        <v>-8.7998114041793894E-4</v>
      </c>
    </row>
    <row r="8388" spans="5:6" x14ac:dyDescent="0.35">
      <c r="E8388">
        <v>8385</v>
      </c>
      <c r="F8388">
        <f t="shared" ca="1" si="132"/>
        <v>-1.3117223917800151E-2</v>
      </c>
    </row>
    <row r="8389" spans="5:6" x14ac:dyDescent="0.35">
      <c r="E8389">
        <v>8386</v>
      </c>
      <c r="F8389">
        <f t="shared" ref="F8389:F8452" ca="1" si="133">_xlfn.NORM.INV(RAND(),M$6,M$7)</f>
        <v>-1.4325285843635342E-2</v>
      </c>
    </row>
    <row r="8390" spans="5:6" x14ac:dyDescent="0.35">
      <c r="E8390">
        <v>8387</v>
      </c>
      <c r="F8390">
        <f t="shared" ca="1" si="133"/>
        <v>8.4657523545739084E-3</v>
      </c>
    </row>
    <row r="8391" spans="5:6" x14ac:dyDescent="0.35">
      <c r="E8391">
        <v>8388</v>
      </c>
      <c r="F8391">
        <f t="shared" ca="1" si="133"/>
        <v>-1.7678493123130849E-2</v>
      </c>
    </row>
    <row r="8392" spans="5:6" x14ac:dyDescent="0.35">
      <c r="E8392">
        <v>8389</v>
      </c>
      <c r="F8392">
        <f t="shared" ca="1" si="133"/>
        <v>1.1874880032689475E-2</v>
      </c>
    </row>
    <row r="8393" spans="5:6" x14ac:dyDescent="0.35">
      <c r="E8393">
        <v>8390</v>
      </c>
      <c r="F8393">
        <f t="shared" ca="1" si="133"/>
        <v>9.4092141943868304E-3</v>
      </c>
    </row>
    <row r="8394" spans="5:6" x14ac:dyDescent="0.35">
      <c r="E8394">
        <v>8391</v>
      </c>
      <c r="F8394">
        <f t="shared" ca="1" si="133"/>
        <v>-2.3507147144276801E-3</v>
      </c>
    </row>
    <row r="8395" spans="5:6" x14ac:dyDescent="0.35">
      <c r="E8395">
        <v>8392</v>
      </c>
      <c r="F8395">
        <f t="shared" ca="1" si="133"/>
        <v>-8.4953440546353676E-3</v>
      </c>
    </row>
    <row r="8396" spans="5:6" x14ac:dyDescent="0.35">
      <c r="E8396">
        <v>8393</v>
      </c>
      <c r="F8396">
        <f t="shared" ca="1" si="133"/>
        <v>-3.4244061896742381E-2</v>
      </c>
    </row>
    <row r="8397" spans="5:6" x14ac:dyDescent="0.35">
      <c r="E8397">
        <v>8394</v>
      </c>
      <c r="F8397">
        <f t="shared" ca="1" si="133"/>
        <v>1.3249556622746846E-2</v>
      </c>
    </row>
    <row r="8398" spans="5:6" x14ac:dyDescent="0.35">
      <c r="E8398">
        <v>8395</v>
      </c>
      <c r="F8398">
        <f t="shared" ca="1" si="133"/>
        <v>8.5815092919331332E-3</v>
      </c>
    </row>
    <row r="8399" spans="5:6" x14ac:dyDescent="0.35">
      <c r="E8399">
        <v>8396</v>
      </c>
      <c r="F8399">
        <f t="shared" ca="1" si="133"/>
        <v>1.3557468779756739E-4</v>
      </c>
    </row>
    <row r="8400" spans="5:6" x14ac:dyDescent="0.35">
      <c r="E8400">
        <v>8397</v>
      </c>
      <c r="F8400">
        <f t="shared" ca="1" si="133"/>
        <v>-3.9523492032826554E-3</v>
      </c>
    </row>
    <row r="8401" spans="5:6" x14ac:dyDescent="0.35">
      <c r="E8401">
        <v>8398</v>
      </c>
      <c r="F8401">
        <f t="shared" ca="1" si="133"/>
        <v>1.3089716868426688E-2</v>
      </c>
    </row>
    <row r="8402" spans="5:6" x14ac:dyDescent="0.35">
      <c r="E8402">
        <v>8399</v>
      </c>
      <c r="F8402">
        <f t="shared" ca="1" si="133"/>
        <v>-9.2107662030878144E-3</v>
      </c>
    </row>
    <row r="8403" spans="5:6" x14ac:dyDescent="0.35">
      <c r="E8403">
        <v>8400</v>
      </c>
      <c r="F8403">
        <f t="shared" ca="1" si="133"/>
        <v>-1.3872401795452533E-3</v>
      </c>
    </row>
    <row r="8404" spans="5:6" x14ac:dyDescent="0.35">
      <c r="E8404">
        <v>8401</v>
      </c>
      <c r="F8404">
        <f t="shared" ca="1" si="133"/>
        <v>-1.0038025049618142E-3</v>
      </c>
    </row>
    <row r="8405" spans="5:6" x14ac:dyDescent="0.35">
      <c r="E8405">
        <v>8402</v>
      </c>
      <c r="F8405">
        <f t="shared" ca="1" si="133"/>
        <v>-1.8070431955293932E-2</v>
      </c>
    </row>
    <row r="8406" spans="5:6" x14ac:dyDescent="0.35">
      <c r="E8406">
        <v>8403</v>
      </c>
      <c r="F8406">
        <f t="shared" ca="1" si="133"/>
        <v>8.8833389139920463E-3</v>
      </c>
    </row>
    <row r="8407" spans="5:6" x14ac:dyDescent="0.35">
      <c r="E8407">
        <v>8404</v>
      </c>
      <c r="F8407">
        <f t="shared" ca="1" si="133"/>
        <v>3.5671722296415705E-3</v>
      </c>
    </row>
    <row r="8408" spans="5:6" x14ac:dyDescent="0.35">
      <c r="E8408">
        <v>8405</v>
      </c>
      <c r="F8408">
        <f t="shared" ca="1" si="133"/>
        <v>3.3315918655266986E-3</v>
      </c>
    </row>
    <row r="8409" spans="5:6" x14ac:dyDescent="0.35">
      <c r="E8409">
        <v>8406</v>
      </c>
      <c r="F8409">
        <f t="shared" ca="1" si="133"/>
        <v>-6.6353492003980684E-4</v>
      </c>
    </row>
    <row r="8410" spans="5:6" x14ac:dyDescent="0.35">
      <c r="E8410">
        <v>8407</v>
      </c>
      <c r="F8410">
        <f t="shared" ca="1" si="133"/>
        <v>-3.4340317246159886E-2</v>
      </c>
    </row>
    <row r="8411" spans="5:6" x14ac:dyDescent="0.35">
      <c r="E8411">
        <v>8408</v>
      </c>
      <c r="F8411">
        <f t="shared" ca="1" si="133"/>
        <v>2.8951797101711432E-2</v>
      </c>
    </row>
    <row r="8412" spans="5:6" x14ac:dyDescent="0.35">
      <c r="E8412">
        <v>8409</v>
      </c>
      <c r="F8412">
        <f t="shared" ca="1" si="133"/>
        <v>-1.5104891046071371E-2</v>
      </c>
    </row>
    <row r="8413" spans="5:6" x14ac:dyDescent="0.35">
      <c r="E8413">
        <v>8410</v>
      </c>
      <c r="F8413">
        <f t="shared" ca="1" si="133"/>
        <v>4.3306734670761375E-3</v>
      </c>
    </row>
    <row r="8414" spans="5:6" x14ac:dyDescent="0.35">
      <c r="E8414">
        <v>8411</v>
      </c>
      <c r="F8414">
        <f t="shared" ca="1" si="133"/>
        <v>2.3043843054094547E-3</v>
      </c>
    </row>
    <row r="8415" spans="5:6" x14ac:dyDescent="0.35">
      <c r="E8415">
        <v>8412</v>
      </c>
      <c r="F8415">
        <f t="shared" ca="1" si="133"/>
        <v>-2.0259344332858188E-2</v>
      </c>
    </row>
    <row r="8416" spans="5:6" x14ac:dyDescent="0.35">
      <c r="E8416">
        <v>8413</v>
      </c>
      <c r="F8416">
        <f t="shared" ca="1" si="133"/>
        <v>-1.2207142657648848E-2</v>
      </c>
    </row>
    <row r="8417" spans="5:6" x14ac:dyDescent="0.35">
      <c r="E8417">
        <v>8414</v>
      </c>
      <c r="F8417">
        <f t="shared" ca="1" si="133"/>
        <v>-8.6082411772648183E-3</v>
      </c>
    </row>
    <row r="8418" spans="5:6" x14ac:dyDescent="0.35">
      <c r="E8418">
        <v>8415</v>
      </c>
      <c r="F8418">
        <f t="shared" ca="1" si="133"/>
        <v>-1.1783362094994561E-2</v>
      </c>
    </row>
    <row r="8419" spans="5:6" x14ac:dyDescent="0.35">
      <c r="E8419">
        <v>8416</v>
      </c>
      <c r="F8419">
        <f t="shared" ca="1" si="133"/>
        <v>-1.9785518179492107E-2</v>
      </c>
    </row>
    <row r="8420" spans="5:6" x14ac:dyDescent="0.35">
      <c r="E8420">
        <v>8417</v>
      </c>
      <c r="F8420">
        <f t="shared" ca="1" si="133"/>
        <v>-1.0064586687816622E-2</v>
      </c>
    </row>
    <row r="8421" spans="5:6" x14ac:dyDescent="0.35">
      <c r="E8421">
        <v>8418</v>
      </c>
      <c r="F8421">
        <f t="shared" ca="1" si="133"/>
        <v>-2.3873207980680954E-2</v>
      </c>
    </row>
    <row r="8422" spans="5:6" x14ac:dyDescent="0.35">
      <c r="E8422">
        <v>8419</v>
      </c>
      <c r="F8422">
        <f t="shared" ca="1" si="133"/>
        <v>9.0251639000130438E-4</v>
      </c>
    </row>
    <row r="8423" spans="5:6" x14ac:dyDescent="0.35">
      <c r="E8423">
        <v>8420</v>
      </c>
      <c r="F8423">
        <f t="shared" ca="1" si="133"/>
        <v>1.0643975529827229E-2</v>
      </c>
    </row>
    <row r="8424" spans="5:6" x14ac:dyDescent="0.35">
      <c r="E8424">
        <v>8421</v>
      </c>
      <c r="F8424">
        <f t="shared" ca="1" si="133"/>
        <v>4.0537230381063657E-3</v>
      </c>
    </row>
    <row r="8425" spans="5:6" x14ac:dyDescent="0.35">
      <c r="E8425">
        <v>8422</v>
      </c>
      <c r="F8425">
        <f t="shared" ca="1" si="133"/>
        <v>-4.4832191192924089E-5</v>
      </c>
    </row>
    <row r="8426" spans="5:6" x14ac:dyDescent="0.35">
      <c r="E8426">
        <v>8423</v>
      </c>
      <c r="F8426">
        <f t="shared" ca="1" si="133"/>
        <v>-2.4304918387235406E-3</v>
      </c>
    </row>
    <row r="8427" spans="5:6" x14ac:dyDescent="0.35">
      <c r="E8427">
        <v>8424</v>
      </c>
      <c r="F8427">
        <f t="shared" ca="1" si="133"/>
        <v>1.2520253289960957E-3</v>
      </c>
    </row>
    <row r="8428" spans="5:6" x14ac:dyDescent="0.35">
      <c r="E8428">
        <v>8425</v>
      </c>
      <c r="F8428">
        <f t="shared" ca="1" si="133"/>
        <v>-1.6261927761148012E-2</v>
      </c>
    </row>
    <row r="8429" spans="5:6" x14ac:dyDescent="0.35">
      <c r="E8429">
        <v>8426</v>
      </c>
      <c r="F8429">
        <f t="shared" ca="1" si="133"/>
        <v>-1.364587980886044E-2</v>
      </c>
    </row>
    <row r="8430" spans="5:6" x14ac:dyDescent="0.35">
      <c r="E8430">
        <v>8427</v>
      </c>
      <c r="F8430">
        <f t="shared" ca="1" si="133"/>
        <v>-1.7855569909136709E-2</v>
      </c>
    </row>
    <row r="8431" spans="5:6" x14ac:dyDescent="0.35">
      <c r="E8431">
        <v>8428</v>
      </c>
      <c r="F8431">
        <f t="shared" ca="1" si="133"/>
        <v>-1.4234010093958168E-2</v>
      </c>
    </row>
    <row r="8432" spans="5:6" x14ac:dyDescent="0.35">
      <c r="E8432">
        <v>8429</v>
      </c>
      <c r="F8432">
        <f t="shared" ca="1" si="133"/>
        <v>4.089509458481121E-3</v>
      </c>
    </row>
    <row r="8433" spans="5:6" x14ac:dyDescent="0.35">
      <c r="E8433">
        <v>8430</v>
      </c>
      <c r="F8433">
        <f t="shared" ca="1" si="133"/>
        <v>5.4630326184505903E-4</v>
      </c>
    </row>
    <row r="8434" spans="5:6" x14ac:dyDescent="0.35">
      <c r="E8434">
        <v>8431</v>
      </c>
      <c r="F8434">
        <f t="shared" ca="1" si="133"/>
        <v>3.3123132877284078E-2</v>
      </c>
    </row>
    <row r="8435" spans="5:6" x14ac:dyDescent="0.35">
      <c r="E8435">
        <v>8432</v>
      </c>
      <c r="F8435">
        <f t="shared" ca="1" si="133"/>
        <v>-1.0654064171063033E-2</v>
      </c>
    </row>
    <row r="8436" spans="5:6" x14ac:dyDescent="0.35">
      <c r="E8436">
        <v>8433</v>
      </c>
      <c r="F8436">
        <f t="shared" ca="1" si="133"/>
        <v>-2.3440857608681198E-2</v>
      </c>
    </row>
    <row r="8437" spans="5:6" x14ac:dyDescent="0.35">
      <c r="E8437">
        <v>8434</v>
      </c>
      <c r="F8437">
        <f t="shared" ca="1" si="133"/>
        <v>-1.1074184149778751E-2</v>
      </c>
    </row>
    <row r="8438" spans="5:6" x14ac:dyDescent="0.35">
      <c r="E8438">
        <v>8435</v>
      </c>
      <c r="F8438">
        <f t="shared" ca="1" si="133"/>
        <v>2.3229649032005594E-2</v>
      </c>
    </row>
    <row r="8439" spans="5:6" x14ac:dyDescent="0.35">
      <c r="E8439">
        <v>8436</v>
      </c>
      <c r="F8439">
        <f t="shared" ca="1" si="133"/>
        <v>2.4861502446813667E-3</v>
      </c>
    </row>
    <row r="8440" spans="5:6" x14ac:dyDescent="0.35">
      <c r="E8440">
        <v>8437</v>
      </c>
      <c r="F8440">
        <f t="shared" ca="1" si="133"/>
        <v>7.7293004149359525E-3</v>
      </c>
    </row>
    <row r="8441" spans="5:6" x14ac:dyDescent="0.35">
      <c r="E8441">
        <v>8438</v>
      </c>
      <c r="F8441">
        <f t="shared" ca="1" si="133"/>
        <v>-2.2255549475093794E-2</v>
      </c>
    </row>
    <row r="8442" spans="5:6" x14ac:dyDescent="0.35">
      <c r="E8442">
        <v>8439</v>
      </c>
      <c r="F8442">
        <f t="shared" ca="1" si="133"/>
        <v>1.5374200884368356E-3</v>
      </c>
    </row>
    <row r="8443" spans="5:6" x14ac:dyDescent="0.35">
      <c r="E8443">
        <v>8440</v>
      </c>
      <c r="F8443">
        <f t="shared" ca="1" si="133"/>
        <v>-2.1005176554893873E-3</v>
      </c>
    </row>
    <row r="8444" spans="5:6" x14ac:dyDescent="0.35">
      <c r="E8444">
        <v>8441</v>
      </c>
      <c r="F8444">
        <f t="shared" ca="1" si="133"/>
        <v>-8.7405071095600952E-3</v>
      </c>
    </row>
    <row r="8445" spans="5:6" x14ac:dyDescent="0.35">
      <c r="E8445">
        <v>8442</v>
      </c>
      <c r="F8445">
        <f t="shared" ca="1" si="133"/>
        <v>-1.5123487434878935E-2</v>
      </c>
    </row>
    <row r="8446" spans="5:6" x14ac:dyDescent="0.35">
      <c r="E8446">
        <v>8443</v>
      </c>
      <c r="F8446">
        <f t="shared" ca="1" si="133"/>
        <v>-9.4661945395996218E-4</v>
      </c>
    </row>
    <row r="8447" spans="5:6" x14ac:dyDescent="0.35">
      <c r="E8447">
        <v>8444</v>
      </c>
      <c r="F8447">
        <f t="shared" ca="1" si="133"/>
        <v>6.2582350981160283E-3</v>
      </c>
    </row>
    <row r="8448" spans="5:6" x14ac:dyDescent="0.35">
      <c r="E8448">
        <v>8445</v>
      </c>
      <c r="F8448">
        <f t="shared" ca="1" si="133"/>
        <v>1.1711183132936545E-2</v>
      </c>
    </row>
    <row r="8449" spans="5:6" x14ac:dyDescent="0.35">
      <c r="E8449">
        <v>8446</v>
      </c>
      <c r="F8449">
        <f t="shared" ca="1" si="133"/>
        <v>7.8926425091953144E-3</v>
      </c>
    </row>
    <row r="8450" spans="5:6" x14ac:dyDescent="0.35">
      <c r="E8450">
        <v>8447</v>
      </c>
      <c r="F8450">
        <f t="shared" ca="1" si="133"/>
        <v>-6.9087259660800164E-3</v>
      </c>
    </row>
    <row r="8451" spans="5:6" x14ac:dyDescent="0.35">
      <c r="E8451">
        <v>8448</v>
      </c>
      <c r="F8451">
        <f t="shared" ca="1" si="133"/>
        <v>2.1882519606613443E-2</v>
      </c>
    </row>
    <row r="8452" spans="5:6" x14ac:dyDescent="0.35">
      <c r="E8452">
        <v>8449</v>
      </c>
      <c r="F8452">
        <f t="shared" ca="1" si="133"/>
        <v>-3.1901104125255111E-2</v>
      </c>
    </row>
    <row r="8453" spans="5:6" x14ac:dyDescent="0.35">
      <c r="E8453">
        <v>8450</v>
      </c>
      <c r="F8453">
        <f t="shared" ref="F8453:F8516" ca="1" si="134">_xlfn.NORM.INV(RAND(),M$6,M$7)</f>
        <v>-9.8205532618911035E-3</v>
      </c>
    </row>
    <row r="8454" spans="5:6" x14ac:dyDescent="0.35">
      <c r="E8454">
        <v>8451</v>
      </c>
      <c r="F8454">
        <f t="shared" ca="1" si="134"/>
        <v>8.7560762867591405E-3</v>
      </c>
    </row>
    <row r="8455" spans="5:6" x14ac:dyDescent="0.35">
      <c r="E8455">
        <v>8452</v>
      </c>
      <c r="F8455">
        <f t="shared" ca="1" si="134"/>
        <v>2.2229315050876896E-2</v>
      </c>
    </row>
    <row r="8456" spans="5:6" x14ac:dyDescent="0.35">
      <c r="E8456">
        <v>8453</v>
      </c>
      <c r="F8456">
        <f t="shared" ca="1" si="134"/>
        <v>-4.4399372495528347E-3</v>
      </c>
    </row>
    <row r="8457" spans="5:6" x14ac:dyDescent="0.35">
      <c r="E8457">
        <v>8454</v>
      </c>
      <c r="F8457">
        <f t="shared" ca="1" si="134"/>
        <v>1.3490274913996946E-2</v>
      </c>
    </row>
    <row r="8458" spans="5:6" x14ac:dyDescent="0.35">
      <c r="E8458">
        <v>8455</v>
      </c>
      <c r="F8458">
        <f t="shared" ca="1" si="134"/>
        <v>-1.7176641587222179E-3</v>
      </c>
    </row>
    <row r="8459" spans="5:6" x14ac:dyDescent="0.35">
      <c r="E8459">
        <v>8456</v>
      </c>
      <c r="F8459">
        <f t="shared" ca="1" si="134"/>
        <v>-1.5131998404507251E-2</v>
      </c>
    </row>
    <row r="8460" spans="5:6" x14ac:dyDescent="0.35">
      <c r="E8460">
        <v>8457</v>
      </c>
      <c r="F8460">
        <f t="shared" ca="1" si="134"/>
        <v>-8.9012562410756128E-4</v>
      </c>
    </row>
    <row r="8461" spans="5:6" x14ac:dyDescent="0.35">
      <c r="E8461">
        <v>8458</v>
      </c>
      <c r="F8461">
        <f t="shared" ca="1" si="134"/>
        <v>-1.1515830142923374E-2</v>
      </c>
    </row>
    <row r="8462" spans="5:6" x14ac:dyDescent="0.35">
      <c r="E8462">
        <v>8459</v>
      </c>
      <c r="F8462">
        <f t="shared" ca="1" si="134"/>
        <v>2.158812430417845E-2</v>
      </c>
    </row>
    <row r="8463" spans="5:6" x14ac:dyDescent="0.35">
      <c r="E8463">
        <v>8460</v>
      </c>
      <c r="F8463">
        <f t="shared" ca="1" si="134"/>
        <v>1.1483792115838979E-2</v>
      </c>
    </row>
    <row r="8464" spans="5:6" x14ac:dyDescent="0.35">
      <c r="E8464">
        <v>8461</v>
      </c>
      <c r="F8464">
        <f t="shared" ca="1" si="134"/>
        <v>2.2939918980037995E-2</v>
      </c>
    </row>
    <row r="8465" spans="5:6" x14ac:dyDescent="0.35">
      <c r="E8465">
        <v>8462</v>
      </c>
      <c r="F8465">
        <f t="shared" ca="1" si="134"/>
        <v>1.0179913259373808E-2</v>
      </c>
    </row>
    <row r="8466" spans="5:6" x14ac:dyDescent="0.35">
      <c r="E8466">
        <v>8463</v>
      </c>
      <c r="F8466">
        <f t="shared" ca="1" si="134"/>
        <v>-1.9185244414467867E-2</v>
      </c>
    </row>
    <row r="8467" spans="5:6" x14ac:dyDescent="0.35">
      <c r="E8467">
        <v>8464</v>
      </c>
      <c r="F8467">
        <f t="shared" ca="1" si="134"/>
        <v>-1.7506000754904986E-2</v>
      </c>
    </row>
    <row r="8468" spans="5:6" x14ac:dyDescent="0.35">
      <c r="E8468">
        <v>8465</v>
      </c>
      <c r="F8468">
        <f t="shared" ca="1" si="134"/>
        <v>-8.7342372138360398E-3</v>
      </c>
    </row>
    <row r="8469" spans="5:6" x14ac:dyDescent="0.35">
      <c r="E8469">
        <v>8466</v>
      </c>
      <c r="F8469">
        <f t="shared" ca="1" si="134"/>
        <v>-6.9928065443026072E-3</v>
      </c>
    </row>
    <row r="8470" spans="5:6" x14ac:dyDescent="0.35">
      <c r="E8470">
        <v>8467</v>
      </c>
      <c r="F8470">
        <f t="shared" ca="1" si="134"/>
        <v>2.5742202382257478E-2</v>
      </c>
    </row>
    <row r="8471" spans="5:6" x14ac:dyDescent="0.35">
      <c r="E8471">
        <v>8468</v>
      </c>
      <c r="F8471">
        <f t="shared" ca="1" si="134"/>
        <v>-7.4442735222096899E-3</v>
      </c>
    </row>
    <row r="8472" spans="5:6" x14ac:dyDescent="0.35">
      <c r="E8472">
        <v>8469</v>
      </c>
      <c r="F8472">
        <f t="shared" ca="1" si="134"/>
        <v>4.9687005267899801E-3</v>
      </c>
    </row>
    <row r="8473" spans="5:6" x14ac:dyDescent="0.35">
      <c r="E8473">
        <v>8470</v>
      </c>
      <c r="F8473">
        <f t="shared" ca="1" si="134"/>
        <v>4.6724927601664544E-3</v>
      </c>
    </row>
    <row r="8474" spans="5:6" x14ac:dyDescent="0.35">
      <c r="E8474">
        <v>8471</v>
      </c>
      <c r="F8474">
        <f t="shared" ca="1" si="134"/>
        <v>-2.341530599851966E-2</v>
      </c>
    </row>
    <row r="8475" spans="5:6" x14ac:dyDescent="0.35">
      <c r="E8475">
        <v>8472</v>
      </c>
      <c r="F8475">
        <f t="shared" ca="1" si="134"/>
        <v>3.9155673454452158E-2</v>
      </c>
    </row>
    <row r="8476" spans="5:6" x14ac:dyDescent="0.35">
      <c r="E8476">
        <v>8473</v>
      </c>
      <c r="F8476">
        <f t="shared" ca="1" si="134"/>
        <v>7.9746997019251638E-3</v>
      </c>
    </row>
    <row r="8477" spans="5:6" x14ac:dyDescent="0.35">
      <c r="E8477">
        <v>8474</v>
      </c>
      <c r="F8477">
        <f t="shared" ca="1" si="134"/>
        <v>-5.5368919481801997E-3</v>
      </c>
    </row>
    <row r="8478" spans="5:6" x14ac:dyDescent="0.35">
      <c r="E8478">
        <v>8475</v>
      </c>
      <c r="F8478">
        <f t="shared" ca="1" si="134"/>
        <v>-1.313647932316195E-2</v>
      </c>
    </row>
    <row r="8479" spans="5:6" x14ac:dyDescent="0.35">
      <c r="E8479">
        <v>8476</v>
      </c>
      <c r="F8479">
        <f t="shared" ca="1" si="134"/>
        <v>1.3605968866031165E-2</v>
      </c>
    </row>
    <row r="8480" spans="5:6" x14ac:dyDescent="0.35">
      <c r="E8480">
        <v>8477</v>
      </c>
      <c r="F8480">
        <f t="shared" ca="1" si="134"/>
        <v>1.8025424092152056E-3</v>
      </c>
    </row>
    <row r="8481" spans="5:6" x14ac:dyDescent="0.35">
      <c r="E8481">
        <v>8478</v>
      </c>
      <c r="F8481">
        <f t="shared" ca="1" si="134"/>
        <v>-1.281850788083933E-2</v>
      </c>
    </row>
    <row r="8482" spans="5:6" x14ac:dyDescent="0.35">
      <c r="E8482">
        <v>8479</v>
      </c>
      <c r="F8482">
        <f t="shared" ca="1" si="134"/>
        <v>-5.4027613036180993E-3</v>
      </c>
    </row>
    <row r="8483" spans="5:6" x14ac:dyDescent="0.35">
      <c r="E8483">
        <v>8480</v>
      </c>
      <c r="F8483">
        <f t="shared" ca="1" si="134"/>
        <v>-2.0202438124306263E-2</v>
      </c>
    </row>
    <row r="8484" spans="5:6" x14ac:dyDescent="0.35">
      <c r="E8484">
        <v>8481</v>
      </c>
      <c r="F8484">
        <f t="shared" ca="1" si="134"/>
        <v>6.0705913214890248E-3</v>
      </c>
    </row>
    <row r="8485" spans="5:6" x14ac:dyDescent="0.35">
      <c r="E8485">
        <v>8482</v>
      </c>
      <c r="F8485">
        <f t="shared" ca="1" si="134"/>
        <v>1.4715537737994043E-2</v>
      </c>
    </row>
    <row r="8486" spans="5:6" x14ac:dyDescent="0.35">
      <c r="E8486">
        <v>8483</v>
      </c>
      <c r="F8486">
        <f t="shared" ca="1" si="134"/>
        <v>8.5086225681937702E-3</v>
      </c>
    </row>
    <row r="8487" spans="5:6" x14ac:dyDescent="0.35">
      <c r="E8487">
        <v>8484</v>
      </c>
      <c r="F8487">
        <f t="shared" ca="1" si="134"/>
        <v>-5.1003362751118071E-3</v>
      </c>
    </row>
    <row r="8488" spans="5:6" x14ac:dyDescent="0.35">
      <c r="E8488">
        <v>8485</v>
      </c>
      <c r="F8488">
        <f t="shared" ca="1" si="134"/>
        <v>4.4784764621669054E-2</v>
      </c>
    </row>
    <row r="8489" spans="5:6" x14ac:dyDescent="0.35">
      <c r="E8489">
        <v>8486</v>
      </c>
      <c r="F8489">
        <f t="shared" ca="1" si="134"/>
        <v>1.9592781675061417E-2</v>
      </c>
    </row>
    <row r="8490" spans="5:6" x14ac:dyDescent="0.35">
      <c r="E8490">
        <v>8487</v>
      </c>
      <c r="F8490">
        <f t="shared" ca="1" si="134"/>
        <v>5.892296721624969E-3</v>
      </c>
    </row>
    <row r="8491" spans="5:6" x14ac:dyDescent="0.35">
      <c r="E8491">
        <v>8488</v>
      </c>
      <c r="F8491">
        <f t="shared" ca="1" si="134"/>
        <v>2.2853281487009119E-3</v>
      </c>
    </row>
    <row r="8492" spans="5:6" x14ac:dyDescent="0.35">
      <c r="E8492">
        <v>8489</v>
      </c>
      <c r="F8492">
        <f t="shared" ca="1" si="134"/>
        <v>3.30185102776708E-3</v>
      </c>
    </row>
    <row r="8493" spans="5:6" x14ac:dyDescent="0.35">
      <c r="E8493">
        <v>8490</v>
      </c>
      <c r="F8493">
        <f t="shared" ca="1" si="134"/>
        <v>3.2195133749853572E-3</v>
      </c>
    </row>
    <row r="8494" spans="5:6" x14ac:dyDescent="0.35">
      <c r="E8494">
        <v>8491</v>
      </c>
      <c r="F8494">
        <f t="shared" ca="1" si="134"/>
        <v>-1.7884068474062698E-2</v>
      </c>
    </row>
    <row r="8495" spans="5:6" x14ac:dyDescent="0.35">
      <c r="E8495">
        <v>8492</v>
      </c>
      <c r="F8495">
        <f t="shared" ca="1" si="134"/>
        <v>9.9250950953532597E-4</v>
      </c>
    </row>
    <row r="8496" spans="5:6" x14ac:dyDescent="0.35">
      <c r="E8496">
        <v>8493</v>
      </c>
      <c r="F8496">
        <f t="shared" ca="1" si="134"/>
        <v>1.7241455266419493E-2</v>
      </c>
    </row>
    <row r="8497" spans="5:6" x14ac:dyDescent="0.35">
      <c r="E8497">
        <v>8494</v>
      </c>
      <c r="F8497">
        <f t="shared" ca="1" si="134"/>
        <v>2.3841515922645141E-3</v>
      </c>
    </row>
    <row r="8498" spans="5:6" x14ac:dyDescent="0.35">
      <c r="E8498">
        <v>8495</v>
      </c>
      <c r="F8498">
        <f t="shared" ca="1" si="134"/>
        <v>3.9592388949509061E-2</v>
      </c>
    </row>
    <row r="8499" spans="5:6" x14ac:dyDescent="0.35">
      <c r="E8499">
        <v>8496</v>
      </c>
      <c r="F8499">
        <f t="shared" ca="1" si="134"/>
        <v>1.835451935316108E-2</v>
      </c>
    </row>
    <row r="8500" spans="5:6" x14ac:dyDescent="0.35">
      <c r="E8500">
        <v>8497</v>
      </c>
      <c r="F8500">
        <f t="shared" ca="1" si="134"/>
        <v>1.3046572725090662E-2</v>
      </c>
    </row>
    <row r="8501" spans="5:6" x14ac:dyDescent="0.35">
      <c r="E8501">
        <v>8498</v>
      </c>
      <c r="F8501">
        <f t="shared" ca="1" si="134"/>
        <v>1.5960197214245714E-2</v>
      </c>
    </row>
    <row r="8502" spans="5:6" x14ac:dyDescent="0.35">
      <c r="E8502">
        <v>8499</v>
      </c>
      <c r="F8502">
        <f t="shared" ca="1" si="134"/>
        <v>-4.1489416359334489E-3</v>
      </c>
    </row>
    <row r="8503" spans="5:6" x14ac:dyDescent="0.35">
      <c r="E8503">
        <v>8500</v>
      </c>
      <c r="F8503">
        <f t="shared" ca="1" si="134"/>
        <v>5.5202643318991301E-3</v>
      </c>
    </row>
    <row r="8504" spans="5:6" x14ac:dyDescent="0.35">
      <c r="E8504">
        <v>8501</v>
      </c>
      <c r="F8504">
        <f t="shared" ca="1" si="134"/>
        <v>-7.4842744953074695E-3</v>
      </c>
    </row>
    <row r="8505" spans="5:6" x14ac:dyDescent="0.35">
      <c r="E8505">
        <v>8502</v>
      </c>
      <c r="F8505">
        <f t="shared" ca="1" si="134"/>
        <v>-1.1484364281269064E-2</v>
      </c>
    </row>
    <row r="8506" spans="5:6" x14ac:dyDescent="0.35">
      <c r="E8506">
        <v>8503</v>
      </c>
      <c r="F8506">
        <f t="shared" ca="1" si="134"/>
        <v>-1.0646735190513113E-4</v>
      </c>
    </row>
    <row r="8507" spans="5:6" x14ac:dyDescent="0.35">
      <c r="E8507">
        <v>8504</v>
      </c>
      <c r="F8507">
        <f t="shared" ca="1" si="134"/>
        <v>6.4645325711094144E-4</v>
      </c>
    </row>
    <row r="8508" spans="5:6" x14ac:dyDescent="0.35">
      <c r="E8508">
        <v>8505</v>
      </c>
      <c r="F8508">
        <f t="shared" ca="1" si="134"/>
        <v>1.3325518058155485E-2</v>
      </c>
    </row>
    <row r="8509" spans="5:6" x14ac:dyDescent="0.35">
      <c r="E8509">
        <v>8506</v>
      </c>
      <c r="F8509">
        <f t="shared" ca="1" si="134"/>
        <v>8.8438841485282277E-3</v>
      </c>
    </row>
    <row r="8510" spans="5:6" x14ac:dyDescent="0.35">
      <c r="E8510">
        <v>8507</v>
      </c>
      <c r="F8510">
        <f t="shared" ca="1" si="134"/>
        <v>9.1039870056093177E-3</v>
      </c>
    </row>
    <row r="8511" spans="5:6" x14ac:dyDescent="0.35">
      <c r="E8511">
        <v>8508</v>
      </c>
      <c r="F8511">
        <f t="shared" ca="1" si="134"/>
        <v>-3.4818959379930344E-3</v>
      </c>
    </row>
    <row r="8512" spans="5:6" x14ac:dyDescent="0.35">
      <c r="E8512">
        <v>8509</v>
      </c>
      <c r="F8512">
        <f t="shared" ca="1" si="134"/>
        <v>-8.4283055975352666E-3</v>
      </c>
    </row>
    <row r="8513" spans="5:6" x14ac:dyDescent="0.35">
      <c r="E8513">
        <v>8510</v>
      </c>
      <c r="F8513">
        <f t="shared" ca="1" si="134"/>
        <v>1.4552822698591846E-2</v>
      </c>
    </row>
    <row r="8514" spans="5:6" x14ac:dyDescent="0.35">
      <c r="E8514">
        <v>8511</v>
      </c>
      <c r="F8514">
        <f t="shared" ca="1" si="134"/>
        <v>8.3553035745547368E-3</v>
      </c>
    </row>
    <row r="8515" spans="5:6" x14ac:dyDescent="0.35">
      <c r="E8515">
        <v>8512</v>
      </c>
      <c r="F8515">
        <f t="shared" ca="1" si="134"/>
        <v>-9.264031334713969E-3</v>
      </c>
    </row>
    <row r="8516" spans="5:6" x14ac:dyDescent="0.35">
      <c r="E8516">
        <v>8513</v>
      </c>
      <c r="F8516">
        <f t="shared" ca="1" si="134"/>
        <v>3.5760305115632482E-2</v>
      </c>
    </row>
    <row r="8517" spans="5:6" x14ac:dyDescent="0.35">
      <c r="E8517">
        <v>8514</v>
      </c>
      <c r="F8517">
        <f t="shared" ref="F8517:F8580" ca="1" si="135">_xlfn.NORM.INV(RAND(),M$6,M$7)</f>
        <v>-2.500371526142217E-3</v>
      </c>
    </row>
    <row r="8518" spans="5:6" x14ac:dyDescent="0.35">
      <c r="E8518">
        <v>8515</v>
      </c>
      <c r="F8518">
        <f t="shared" ca="1" si="135"/>
        <v>1.6433054721454655E-2</v>
      </c>
    </row>
    <row r="8519" spans="5:6" x14ac:dyDescent="0.35">
      <c r="E8519">
        <v>8516</v>
      </c>
      <c r="F8519">
        <f t="shared" ca="1" si="135"/>
        <v>3.7322719869788412E-2</v>
      </c>
    </row>
    <row r="8520" spans="5:6" x14ac:dyDescent="0.35">
      <c r="E8520">
        <v>8517</v>
      </c>
      <c r="F8520">
        <f t="shared" ca="1" si="135"/>
        <v>1.4887816011926821E-2</v>
      </c>
    </row>
    <row r="8521" spans="5:6" x14ac:dyDescent="0.35">
      <c r="E8521">
        <v>8518</v>
      </c>
      <c r="F8521">
        <f t="shared" ca="1" si="135"/>
        <v>7.2310228733669735E-3</v>
      </c>
    </row>
    <row r="8522" spans="5:6" x14ac:dyDescent="0.35">
      <c r="E8522">
        <v>8519</v>
      </c>
      <c r="F8522">
        <f t="shared" ca="1" si="135"/>
        <v>2.3251158464994664E-5</v>
      </c>
    </row>
    <row r="8523" spans="5:6" x14ac:dyDescent="0.35">
      <c r="E8523">
        <v>8520</v>
      </c>
      <c r="F8523">
        <f t="shared" ca="1" si="135"/>
        <v>-1.1737435540263065E-3</v>
      </c>
    </row>
    <row r="8524" spans="5:6" x14ac:dyDescent="0.35">
      <c r="E8524">
        <v>8521</v>
      </c>
      <c r="F8524">
        <f t="shared" ca="1" si="135"/>
        <v>-5.6055661212232725E-4</v>
      </c>
    </row>
    <row r="8525" spans="5:6" x14ac:dyDescent="0.35">
      <c r="E8525">
        <v>8522</v>
      </c>
      <c r="F8525">
        <f t="shared" ca="1" si="135"/>
        <v>8.0419514003503209E-3</v>
      </c>
    </row>
    <row r="8526" spans="5:6" x14ac:dyDescent="0.35">
      <c r="E8526">
        <v>8523</v>
      </c>
      <c r="F8526">
        <f t="shared" ca="1" si="135"/>
        <v>-1.5237266069023345E-2</v>
      </c>
    </row>
    <row r="8527" spans="5:6" x14ac:dyDescent="0.35">
      <c r="E8527">
        <v>8524</v>
      </c>
      <c r="F8527">
        <f t="shared" ca="1" si="135"/>
        <v>3.8193980922772886E-3</v>
      </c>
    </row>
    <row r="8528" spans="5:6" x14ac:dyDescent="0.35">
      <c r="E8528">
        <v>8525</v>
      </c>
      <c r="F8528">
        <f t="shared" ca="1" si="135"/>
        <v>4.1108843072684533E-3</v>
      </c>
    </row>
    <row r="8529" spans="5:6" x14ac:dyDescent="0.35">
      <c r="E8529">
        <v>8526</v>
      </c>
      <c r="F8529">
        <f t="shared" ca="1" si="135"/>
        <v>-4.5709825003416712E-3</v>
      </c>
    </row>
    <row r="8530" spans="5:6" x14ac:dyDescent="0.35">
      <c r="E8530">
        <v>8527</v>
      </c>
      <c r="F8530">
        <f t="shared" ca="1" si="135"/>
        <v>-3.0893894807357525E-3</v>
      </c>
    </row>
    <row r="8531" spans="5:6" x14ac:dyDescent="0.35">
      <c r="E8531">
        <v>8528</v>
      </c>
      <c r="F8531">
        <f t="shared" ca="1" si="135"/>
        <v>-8.9972724117614138E-3</v>
      </c>
    </row>
    <row r="8532" spans="5:6" x14ac:dyDescent="0.35">
      <c r="E8532">
        <v>8529</v>
      </c>
      <c r="F8532">
        <f t="shared" ca="1" si="135"/>
        <v>-1.5385215555190807E-2</v>
      </c>
    </row>
    <row r="8533" spans="5:6" x14ac:dyDescent="0.35">
      <c r="E8533">
        <v>8530</v>
      </c>
      <c r="F8533">
        <f t="shared" ca="1" si="135"/>
        <v>-1.7514036080405453E-3</v>
      </c>
    </row>
    <row r="8534" spans="5:6" x14ac:dyDescent="0.35">
      <c r="E8534">
        <v>8531</v>
      </c>
      <c r="F8534">
        <f t="shared" ca="1" si="135"/>
        <v>4.2075713380597722E-3</v>
      </c>
    </row>
    <row r="8535" spans="5:6" x14ac:dyDescent="0.35">
      <c r="E8535">
        <v>8532</v>
      </c>
      <c r="F8535">
        <f t="shared" ca="1" si="135"/>
        <v>-2.1437272855967518E-3</v>
      </c>
    </row>
    <row r="8536" spans="5:6" x14ac:dyDescent="0.35">
      <c r="E8536">
        <v>8533</v>
      </c>
      <c r="F8536">
        <f t="shared" ca="1" si="135"/>
        <v>1.5984634180288247E-2</v>
      </c>
    </row>
    <row r="8537" spans="5:6" x14ac:dyDescent="0.35">
      <c r="E8537">
        <v>8534</v>
      </c>
      <c r="F8537">
        <f t="shared" ca="1" si="135"/>
        <v>-1.4749424621291189E-2</v>
      </c>
    </row>
    <row r="8538" spans="5:6" x14ac:dyDescent="0.35">
      <c r="E8538">
        <v>8535</v>
      </c>
      <c r="F8538">
        <f t="shared" ca="1" si="135"/>
        <v>1.6256507556619584E-2</v>
      </c>
    </row>
    <row r="8539" spans="5:6" x14ac:dyDescent="0.35">
      <c r="E8539">
        <v>8536</v>
      </c>
      <c r="F8539">
        <f t="shared" ca="1" si="135"/>
        <v>1.6632168353136951E-4</v>
      </c>
    </row>
    <row r="8540" spans="5:6" x14ac:dyDescent="0.35">
      <c r="E8540">
        <v>8537</v>
      </c>
      <c r="F8540">
        <f t="shared" ca="1" si="135"/>
        <v>1.7674331254192082E-2</v>
      </c>
    </row>
    <row r="8541" spans="5:6" x14ac:dyDescent="0.35">
      <c r="E8541">
        <v>8538</v>
      </c>
      <c r="F8541">
        <f t="shared" ca="1" si="135"/>
        <v>1.588972517093374E-2</v>
      </c>
    </row>
    <row r="8542" spans="5:6" x14ac:dyDescent="0.35">
      <c r="E8542">
        <v>8539</v>
      </c>
      <c r="F8542">
        <f t="shared" ca="1" si="135"/>
        <v>-8.4812077962537601E-3</v>
      </c>
    </row>
    <row r="8543" spans="5:6" x14ac:dyDescent="0.35">
      <c r="E8543">
        <v>8540</v>
      </c>
      <c r="F8543">
        <f t="shared" ca="1" si="135"/>
        <v>1.2456472535347098E-2</v>
      </c>
    </row>
    <row r="8544" spans="5:6" x14ac:dyDescent="0.35">
      <c r="E8544">
        <v>8541</v>
      </c>
      <c r="F8544">
        <f t="shared" ca="1" si="135"/>
        <v>-3.2545895818581838E-5</v>
      </c>
    </row>
    <row r="8545" spans="5:6" x14ac:dyDescent="0.35">
      <c r="E8545">
        <v>8542</v>
      </c>
      <c r="F8545">
        <f t="shared" ca="1" si="135"/>
        <v>9.8444332174926728E-3</v>
      </c>
    </row>
    <row r="8546" spans="5:6" x14ac:dyDescent="0.35">
      <c r="E8546">
        <v>8543</v>
      </c>
      <c r="F8546">
        <f t="shared" ca="1" si="135"/>
        <v>1.2048342882985006E-2</v>
      </c>
    </row>
    <row r="8547" spans="5:6" x14ac:dyDescent="0.35">
      <c r="E8547">
        <v>8544</v>
      </c>
      <c r="F8547">
        <f t="shared" ca="1" si="135"/>
        <v>3.5098482142562365E-2</v>
      </c>
    </row>
    <row r="8548" spans="5:6" x14ac:dyDescent="0.35">
      <c r="E8548">
        <v>8545</v>
      </c>
      <c r="F8548">
        <f t="shared" ca="1" si="135"/>
        <v>1.1395343491224832E-2</v>
      </c>
    </row>
    <row r="8549" spans="5:6" x14ac:dyDescent="0.35">
      <c r="E8549">
        <v>8546</v>
      </c>
      <c r="F8549">
        <f t="shared" ca="1" si="135"/>
        <v>-7.9578865404096345E-3</v>
      </c>
    </row>
    <row r="8550" spans="5:6" x14ac:dyDescent="0.35">
      <c r="E8550">
        <v>8547</v>
      </c>
      <c r="F8550">
        <f t="shared" ca="1" si="135"/>
        <v>9.2092568655583705E-3</v>
      </c>
    </row>
    <row r="8551" spans="5:6" x14ac:dyDescent="0.35">
      <c r="E8551">
        <v>8548</v>
      </c>
      <c r="F8551">
        <f t="shared" ca="1" si="135"/>
        <v>4.5584653361726532E-4</v>
      </c>
    </row>
    <row r="8552" spans="5:6" x14ac:dyDescent="0.35">
      <c r="E8552">
        <v>8549</v>
      </c>
      <c r="F8552">
        <f t="shared" ca="1" si="135"/>
        <v>-5.5530600949933997E-3</v>
      </c>
    </row>
    <row r="8553" spans="5:6" x14ac:dyDescent="0.35">
      <c r="E8553">
        <v>8550</v>
      </c>
      <c r="F8553">
        <f t="shared" ca="1" si="135"/>
        <v>1.2042744802490138E-2</v>
      </c>
    </row>
    <row r="8554" spans="5:6" x14ac:dyDescent="0.35">
      <c r="E8554">
        <v>8551</v>
      </c>
      <c r="F8554">
        <f t="shared" ca="1" si="135"/>
        <v>1.6118282436917059E-2</v>
      </c>
    </row>
    <row r="8555" spans="5:6" x14ac:dyDescent="0.35">
      <c r="E8555">
        <v>8552</v>
      </c>
      <c r="F8555">
        <f t="shared" ca="1" si="135"/>
        <v>-1.4113596215065716E-2</v>
      </c>
    </row>
    <row r="8556" spans="5:6" x14ac:dyDescent="0.35">
      <c r="E8556">
        <v>8553</v>
      </c>
      <c r="F8556">
        <f t="shared" ca="1" si="135"/>
        <v>-1.1281714396651224E-2</v>
      </c>
    </row>
    <row r="8557" spans="5:6" x14ac:dyDescent="0.35">
      <c r="E8557">
        <v>8554</v>
      </c>
      <c r="F8557">
        <f t="shared" ca="1" si="135"/>
        <v>3.2116065305363684E-3</v>
      </c>
    </row>
    <row r="8558" spans="5:6" x14ac:dyDescent="0.35">
      <c r="E8558">
        <v>8555</v>
      </c>
      <c r="F8558">
        <f t="shared" ca="1" si="135"/>
        <v>-9.6223458403551839E-3</v>
      </c>
    </row>
    <row r="8559" spans="5:6" x14ac:dyDescent="0.35">
      <c r="E8559">
        <v>8556</v>
      </c>
      <c r="F8559">
        <f t="shared" ca="1" si="135"/>
        <v>-2.1605594139707716E-2</v>
      </c>
    </row>
    <row r="8560" spans="5:6" x14ac:dyDescent="0.35">
      <c r="E8560">
        <v>8557</v>
      </c>
      <c r="F8560">
        <f t="shared" ca="1" si="135"/>
        <v>-7.9311899852280588E-3</v>
      </c>
    </row>
    <row r="8561" spans="5:6" x14ac:dyDescent="0.35">
      <c r="E8561">
        <v>8558</v>
      </c>
      <c r="F8561">
        <f t="shared" ca="1" si="135"/>
        <v>7.6039743993999492E-3</v>
      </c>
    </row>
    <row r="8562" spans="5:6" x14ac:dyDescent="0.35">
      <c r="E8562">
        <v>8559</v>
      </c>
      <c r="F8562">
        <f t="shared" ca="1" si="135"/>
        <v>-1.3627961519146112E-2</v>
      </c>
    </row>
    <row r="8563" spans="5:6" x14ac:dyDescent="0.35">
      <c r="E8563">
        <v>8560</v>
      </c>
      <c r="F8563">
        <f t="shared" ca="1" si="135"/>
        <v>-5.3723582889199052E-3</v>
      </c>
    </row>
    <row r="8564" spans="5:6" x14ac:dyDescent="0.35">
      <c r="E8564">
        <v>8561</v>
      </c>
      <c r="F8564">
        <f t="shared" ca="1" si="135"/>
        <v>7.3840616103749198E-3</v>
      </c>
    </row>
    <row r="8565" spans="5:6" x14ac:dyDescent="0.35">
      <c r="E8565">
        <v>8562</v>
      </c>
      <c r="F8565">
        <f t="shared" ca="1" si="135"/>
        <v>1.3596767418966054E-2</v>
      </c>
    </row>
    <row r="8566" spans="5:6" x14ac:dyDescent="0.35">
      <c r="E8566">
        <v>8563</v>
      </c>
      <c r="F8566">
        <f t="shared" ca="1" si="135"/>
        <v>-1.4521067462430655E-2</v>
      </c>
    </row>
    <row r="8567" spans="5:6" x14ac:dyDescent="0.35">
      <c r="E8567">
        <v>8564</v>
      </c>
      <c r="F8567">
        <f t="shared" ca="1" si="135"/>
        <v>7.3486119621991464E-3</v>
      </c>
    </row>
    <row r="8568" spans="5:6" x14ac:dyDescent="0.35">
      <c r="E8568">
        <v>8565</v>
      </c>
      <c r="F8568">
        <f t="shared" ca="1" si="135"/>
        <v>-1.4735156489335194E-3</v>
      </c>
    </row>
    <row r="8569" spans="5:6" x14ac:dyDescent="0.35">
      <c r="E8569">
        <v>8566</v>
      </c>
      <c r="F8569">
        <f t="shared" ca="1" si="135"/>
        <v>1.3938791169908303E-2</v>
      </c>
    </row>
    <row r="8570" spans="5:6" x14ac:dyDescent="0.35">
      <c r="E8570">
        <v>8567</v>
      </c>
      <c r="F8570">
        <f t="shared" ca="1" si="135"/>
        <v>-1.268363394688626E-3</v>
      </c>
    </row>
    <row r="8571" spans="5:6" x14ac:dyDescent="0.35">
      <c r="E8571">
        <v>8568</v>
      </c>
      <c r="F8571">
        <f t="shared" ca="1" si="135"/>
        <v>1.6709249069044901E-2</v>
      </c>
    </row>
    <row r="8572" spans="5:6" x14ac:dyDescent="0.35">
      <c r="E8572">
        <v>8569</v>
      </c>
      <c r="F8572">
        <f t="shared" ca="1" si="135"/>
        <v>-2.4147866047978198E-3</v>
      </c>
    </row>
    <row r="8573" spans="5:6" x14ac:dyDescent="0.35">
      <c r="E8573">
        <v>8570</v>
      </c>
      <c r="F8573">
        <f t="shared" ca="1" si="135"/>
        <v>-7.4868999719310634E-3</v>
      </c>
    </row>
    <row r="8574" spans="5:6" x14ac:dyDescent="0.35">
      <c r="E8574">
        <v>8571</v>
      </c>
      <c r="F8574">
        <f t="shared" ca="1" si="135"/>
        <v>-1.9494805367209208E-2</v>
      </c>
    </row>
    <row r="8575" spans="5:6" x14ac:dyDescent="0.35">
      <c r="E8575">
        <v>8572</v>
      </c>
      <c r="F8575">
        <f t="shared" ca="1" si="135"/>
        <v>1.7787832310946355E-2</v>
      </c>
    </row>
    <row r="8576" spans="5:6" x14ac:dyDescent="0.35">
      <c r="E8576">
        <v>8573</v>
      </c>
      <c r="F8576">
        <f t="shared" ca="1" si="135"/>
        <v>1.2302275556652751E-2</v>
      </c>
    </row>
    <row r="8577" spans="5:6" x14ac:dyDescent="0.35">
      <c r="E8577">
        <v>8574</v>
      </c>
      <c r="F8577">
        <f t="shared" ca="1" si="135"/>
        <v>4.47000833610254E-3</v>
      </c>
    </row>
    <row r="8578" spans="5:6" x14ac:dyDescent="0.35">
      <c r="E8578">
        <v>8575</v>
      </c>
      <c r="F8578">
        <f t="shared" ca="1" si="135"/>
        <v>3.6766978020837046E-2</v>
      </c>
    </row>
    <row r="8579" spans="5:6" x14ac:dyDescent="0.35">
      <c r="E8579">
        <v>8576</v>
      </c>
      <c r="F8579">
        <f t="shared" ca="1" si="135"/>
        <v>1.3312018247049161E-2</v>
      </c>
    </row>
    <row r="8580" spans="5:6" x14ac:dyDescent="0.35">
      <c r="E8580">
        <v>8577</v>
      </c>
      <c r="F8580">
        <f t="shared" ca="1" si="135"/>
        <v>1.9019098645519763E-3</v>
      </c>
    </row>
    <row r="8581" spans="5:6" x14ac:dyDescent="0.35">
      <c r="E8581">
        <v>8578</v>
      </c>
      <c r="F8581">
        <f t="shared" ref="F8581:F8644" ca="1" si="136">_xlfn.NORM.INV(RAND(),M$6,M$7)</f>
        <v>-1.5219300924005145E-2</v>
      </c>
    </row>
    <row r="8582" spans="5:6" x14ac:dyDescent="0.35">
      <c r="E8582">
        <v>8579</v>
      </c>
      <c r="F8582">
        <f t="shared" ca="1" si="136"/>
        <v>1.057330130511842E-2</v>
      </c>
    </row>
    <row r="8583" spans="5:6" x14ac:dyDescent="0.35">
      <c r="E8583">
        <v>8580</v>
      </c>
      <c r="F8583">
        <f t="shared" ca="1" si="136"/>
        <v>-8.2817837850239356E-3</v>
      </c>
    </row>
    <row r="8584" spans="5:6" x14ac:dyDescent="0.35">
      <c r="E8584">
        <v>8581</v>
      </c>
      <c r="F8584">
        <f t="shared" ca="1" si="136"/>
        <v>-8.8278254127879363E-4</v>
      </c>
    </row>
    <row r="8585" spans="5:6" x14ac:dyDescent="0.35">
      <c r="E8585">
        <v>8582</v>
      </c>
      <c r="F8585">
        <f t="shared" ca="1" si="136"/>
        <v>8.4113226098587249E-3</v>
      </c>
    </row>
    <row r="8586" spans="5:6" x14ac:dyDescent="0.35">
      <c r="E8586">
        <v>8583</v>
      </c>
      <c r="F8586">
        <f t="shared" ca="1" si="136"/>
        <v>-1.5757966723165262E-2</v>
      </c>
    </row>
    <row r="8587" spans="5:6" x14ac:dyDescent="0.35">
      <c r="E8587">
        <v>8584</v>
      </c>
      <c r="F8587">
        <f t="shared" ca="1" si="136"/>
        <v>1.2880586903364235E-2</v>
      </c>
    </row>
    <row r="8588" spans="5:6" x14ac:dyDescent="0.35">
      <c r="E8588">
        <v>8585</v>
      </c>
      <c r="F8588">
        <f t="shared" ca="1" si="136"/>
        <v>-8.291460877004676E-3</v>
      </c>
    </row>
    <row r="8589" spans="5:6" x14ac:dyDescent="0.35">
      <c r="E8589">
        <v>8586</v>
      </c>
      <c r="F8589">
        <f t="shared" ca="1" si="136"/>
        <v>5.1419205627144672E-4</v>
      </c>
    </row>
    <row r="8590" spans="5:6" x14ac:dyDescent="0.35">
      <c r="E8590">
        <v>8587</v>
      </c>
      <c r="F8590">
        <f t="shared" ca="1" si="136"/>
        <v>1.9785921594240485E-2</v>
      </c>
    </row>
    <row r="8591" spans="5:6" x14ac:dyDescent="0.35">
      <c r="E8591">
        <v>8588</v>
      </c>
      <c r="F8591">
        <f t="shared" ca="1" si="136"/>
        <v>1.3899033176243344E-2</v>
      </c>
    </row>
    <row r="8592" spans="5:6" x14ac:dyDescent="0.35">
      <c r="E8592">
        <v>8589</v>
      </c>
      <c r="F8592">
        <f t="shared" ca="1" si="136"/>
        <v>-1.8521014661452076E-2</v>
      </c>
    </row>
    <row r="8593" spans="5:6" x14ac:dyDescent="0.35">
      <c r="E8593">
        <v>8590</v>
      </c>
      <c r="F8593">
        <f t="shared" ca="1" si="136"/>
        <v>-1.0644057015686091E-2</v>
      </c>
    </row>
    <row r="8594" spans="5:6" x14ac:dyDescent="0.35">
      <c r="E8594">
        <v>8591</v>
      </c>
      <c r="F8594">
        <f t="shared" ca="1" si="136"/>
        <v>-1.1356288799549145E-2</v>
      </c>
    </row>
    <row r="8595" spans="5:6" x14ac:dyDescent="0.35">
      <c r="E8595">
        <v>8592</v>
      </c>
      <c r="F8595">
        <f t="shared" ca="1" si="136"/>
        <v>1.9283647222795391E-2</v>
      </c>
    </row>
    <row r="8596" spans="5:6" x14ac:dyDescent="0.35">
      <c r="E8596">
        <v>8593</v>
      </c>
      <c r="F8596">
        <f t="shared" ca="1" si="136"/>
        <v>1.024555934659151E-2</v>
      </c>
    </row>
    <row r="8597" spans="5:6" x14ac:dyDescent="0.35">
      <c r="E8597">
        <v>8594</v>
      </c>
      <c r="F8597">
        <f t="shared" ca="1" si="136"/>
        <v>6.6146933166867736E-3</v>
      </c>
    </row>
    <row r="8598" spans="5:6" x14ac:dyDescent="0.35">
      <c r="E8598">
        <v>8595</v>
      </c>
      <c r="F8598">
        <f t="shared" ca="1" si="136"/>
        <v>-2.3649746356506077E-2</v>
      </c>
    </row>
    <row r="8599" spans="5:6" x14ac:dyDescent="0.35">
      <c r="E8599">
        <v>8596</v>
      </c>
      <c r="F8599">
        <f t="shared" ca="1" si="136"/>
        <v>2.2920308382088144E-3</v>
      </c>
    </row>
    <row r="8600" spans="5:6" x14ac:dyDescent="0.35">
      <c r="E8600">
        <v>8597</v>
      </c>
      <c r="F8600">
        <f t="shared" ca="1" si="136"/>
        <v>-1.8845594918924084E-3</v>
      </c>
    </row>
    <row r="8601" spans="5:6" x14ac:dyDescent="0.35">
      <c r="E8601">
        <v>8598</v>
      </c>
      <c r="F8601">
        <f t="shared" ca="1" si="136"/>
        <v>8.9437220839551097E-3</v>
      </c>
    </row>
    <row r="8602" spans="5:6" x14ac:dyDescent="0.35">
      <c r="E8602">
        <v>8599</v>
      </c>
      <c r="F8602">
        <f t="shared" ca="1" si="136"/>
        <v>6.4549672868270749E-3</v>
      </c>
    </row>
    <row r="8603" spans="5:6" x14ac:dyDescent="0.35">
      <c r="E8603">
        <v>8600</v>
      </c>
      <c r="F8603">
        <f t="shared" ca="1" si="136"/>
        <v>-1.8301630731097196E-2</v>
      </c>
    </row>
    <row r="8604" spans="5:6" x14ac:dyDescent="0.35">
      <c r="E8604">
        <v>8601</v>
      </c>
      <c r="F8604">
        <f t="shared" ca="1" si="136"/>
        <v>1.5879532031168504E-2</v>
      </c>
    </row>
    <row r="8605" spans="5:6" x14ac:dyDescent="0.35">
      <c r="E8605">
        <v>8602</v>
      </c>
      <c r="F8605">
        <f t="shared" ca="1" si="136"/>
        <v>3.6178721594492332E-3</v>
      </c>
    </row>
    <row r="8606" spans="5:6" x14ac:dyDescent="0.35">
      <c r="E8606">
        <v>8603</v>
      </c>
      <c r="F8606">
        <f t="shared" ca="1" si="136"/>
        <v>1.7777021996660751E-2</v>
      </c>
    </row>
    <row r="8607" spans="5:6" x14ac:dyDescent="0.35">
      <c r="E8607">
        <v>8604</v>
      </c>
      <c r="F8607">
        <f t="shared" ca="1" si="136"/>
        <v>-4.5547494437662615E-2</v>
      </c>
    </row>
    <row r="8608" spans="5:6" x14ac:dyDescent="0.35">
      <c r="E8608">
        <v>8605</v>
      </c>
      <c r="F8608">
        <f t="shared" ca="1" si="136"/>
        <v>-6.2598642023642586E-3</v>
      </c>
    </row>
    <row r="8609" spans="5:6" x14ac:dyDescent="0.35">
      <c r="E8609">
        <v>8606</v>
      </c>
      <c r="F8609">
        <f t="shared" ca="1" si="136"/>
        <v>2.0071665532013231E-2</v>
      </c>
    </row>
    <row r="8610" spans="5:6" x14ac:dyDescent="0.35">
      <c r="E8610">
        <v>8607</v>
      </c>
      <c r="F8610">
        <f t="shared" ca="1" si="136"/>
        <v>9.6922896429816972E-3</v>
      </c>
    </row>
    <row r="8611" spans="5:6" x14ac:dyDescent="0.35">
      <c r="E8611">
        <v>8608</v>
      </c>
      <c r="F8611">
        <f t="shared" ca="1" si="136"/>
        <v>1.7979543462875358E-3</v>
      </c>
    </row>
    <row r="8612" spans="5:6" x14ac:dyDescent="0.35">
      <c r="E8612">
        <v>8609</v>
      </c>
      <c r="F8612">
        <f t="shared" ca="1" si="136"/>
        <v>1.2897026298848077E-3</v>
      </c>
    </row>
    <row r="8613" spans="5:6" x14ac:dyDescent="0.35">
      <c r="E8613">
        <v>8610</v>
      </c>
      <c r="F8613">
        <f t="shared" ca="1" si="136"/>
        <v>-2.7019755650399095E-2</v>
      </c>
    </row>
    <row r="8614" spans="5:6" x14ac:dyDescent="0.35">
      <c r="E8614">
        <v>8611</v>
      </c>
      <c r="F8614">
        <f t="shared" ca="1" si="136"/>
        <v>7.5819841890961111E-3</v>
      </c>
    </row>
    <row r="8615" spans="5:6" x14ac:dyDescent="0.35">
      <c r="E8615">
        <v>8612</v>
      </c>
      <c r="F8615">
        <f t="shared" ca="1" si="136"/>
        <v>-3.2912109436729182E-3</v>
      </c>
    </row>
    <row r="8616" spans="5:6" x14ac:dyDescent="0.35">
      <c r="E8616">
        <v>8613</v>
      </c>
      <c r="F8616">
        <f t="shared" ca="1" si="136"/>
        <v>-9.8940574466057883E-3</v>
      </c>
    </row>
    <row r="8617" spans="5:6" x14ac:dyDescent="0.35">
      <c r="E8617">
        <v>8614</v>
      </c>
      <c r="F8617">
        <f t="shared" ca="1" si="136"/>
        <v>-1.7614610998167267E-2</v>
      </c>
    </row>
    <row r="8618" spans="5:6" x14ac:dyDescent="0.35">
      <c r="E8618">
        <v>8615</v>
      </c>
      <c r="F8618">
        <f t="shared" ca="1" si="136"/>
        <v>3.9823753222366131E-3</v>
      </c>
    </row>
    <row r="8619" spans="5:6" x14ac:dyDescent="0.35">
      <c r="E8619">
        <v>8616</v>
      </c>
      <c r="F8619">
        <f t="shared" ca="1" si="136"/>
        <v>-4.6776267908140191E-3</v>
      </c>
    </row>
    <row r="8620" spans="5:6" x14ac:dyDescent="0.35">
      <c r="E8620">
        <v>8617</v>
      </c>
      <c r="F8620">
        <f t="shared" ca="1" si="136"/>
        <v>8.3050741313232986E-3</v>
      </c>
    </row>
    <row r="8621" spans="5:6" x14ac:dyDescent="0.35">
      <c r="E8621">
        <v>8618</v>
      </c>
      <c r="F8621">
        <f t="shared" ca="1" si="136"/>
        <v>-2.0485057653491269E-3</v>
      </c>
    </row>
    <row r="8622" spans="5:6" x14ac:dyDescent="0.35">
      <c r="E8622">
        <v>8619</v>
      </c>
      <c r="F8622">
        <f t="shared" ca="1" si="136"/>
        <v>-5.9571826456249234E-3</v>
      </c>
    </row>
    <row r="8623" spans="5:6" x14ac:dyDescent="0.35">
      <c r="E8623">
        <v>8620</v>
      </c>
      <c r="F8623">
        <f t="shared" ca="1" si="136"/>
        <v>8.3700329069098401E-3</v>
      </c>
    </row>
    <row r="8624" spans="5:6" x14ac:dyDescent="0.35">
      <c r="E8624">
        <v>8621</v>
      </c>
      <c r="F8624">
        <f t="shared" ca="1" si="136"/>
        <v>3.6116418364185781E-3</v>
      </c>
    </row>
    <row r="8625" spans="5:6" x14ac:dyDescent="0.35">
      <c r="E8625">
        <v>8622</v>
      </c>
      <c r="F8625">
        <f t="shared" ca="1" si="136"/>
        <v>-1.4871151442725215E-2</v>
      </c>
    </row>
    <row r="8626" spans="5:6" x14ac:dyDescent="0.35">
      <c r="E8626">
        <v>8623</v>
      </c>
      <c r="F8626">
        <f t="shared" ca="1" si="136"/>
        <v>3.9971390639044859E-4</v>
      </c>
    </row>
    <row r="8627" spans="5:6" x14ac:dyDescent="0.35">
      <c r="E8627">
        <v>8624</v>
      </c>
      <c r="F8627">
        <f t="shared" ca="1" si="136"/>
        <v>2.8325671146958005E-2</v>
      </c>
    </row>
    <row r="8628" spans="5:6" x14ac:dyDescent="0.35">
      <c r="E8628">
        <v>8625</v>
      </c>
      <c r="F8628">
        <f t="shared" ca="1" si="136"/>
        <v>1.7744062884634267E-2</v>
      </c>
    </row>
    <row r="8629" spans="5:6" x14ac:dyDescent="0.35">
      <c r="E8629">
        <v>8626</v>
      </c>
      <c r="F8629">
        <f t="shared" ca="1" si="136"/>
        <v>-1.6843305294351797E-3</v>
      </c>
    </row>
    <row r="8630" spans="5:6" x14ac:dyDescent="0.35">
      <c r="E8630">
        <v>8627</v>
      </c>
      <c r="F8630">
        <f t="shared" ca="1" si="136"/>
        <v>-2.317894900718321E-2</v>
      </c>
    </row>
    <row r="8631" spans="5:6" x14ac:dyDescent="0.35">
      <c r="E8631">
        <v>8628</v>
      </c>
      <c r="F8631">
        <f t="shared" ca="1" si="136"/>
        <v>-3.1802125226542154E-3</v>
      </c>
    </row>
    <row r="8632" spans="5:6" x14ac:dyDescent="0.35">
      <c r="E8632">
        <v>8629</v>
      </c>
      <c r="F8632">
        <f t="shared" ca="1" si="136"/>
        <v>2.3504797169281669E-2</v>
      </c>
    </row>
    <row r="8633" spans="5:6" x14ac:dyDescent="0.35">
      <c r="E8633">
        <v>8630</v>
      </c>
      <c r="F8633">
        <f t="shared" ca="1" si="136"/>
        <v>2.0121292188639373E-4</v>
      </c>
    </row>
    <row r="8634" spans="5:6" x14ac:dyDescent="0.35">
      <c r="E8634">
        <v>8631</v>
      </c>
      <c r="F8634">
        <f t="shared" ca="1" si="136"/>
        <v>-3.7956977944548958E-3</v>
      </c>
    </row>
    <row r="8635" spans="5:6" x14ac:dyDescent="0.35">
      <c r="E8635">
        <v>8632</v>
      </c>
      <c r="F8635">
        <f t="shared" ca="1" si="136"/>
        <v>1.5414049644007237E-2</v>
      </c>
    </row>
    <row r="8636" spans="5:6" x14ac:dyDescent="0.35">
      <c r="E8636">
        <v>8633</v>
      </c>
      <c r="F8636">
        <f t="shared" ca="1" si="136"/>
        <v>1.1260906956907851E-2</v>
      </c>
    </row>
    <row r="8637" spans="5:6" x14ac:dyDescent="0.35">
      <c r="E8637">
        <v>8634</v>
      </c>
      <c r="F8637">
        <f t="shared" ca="1" si="136"/>
        <v>-9.6152336259466582E-3</v>
      </c>
    </row>
    <row r="8638" spans="5:6" x14ac:dyDescent="0.35">
      <c r="E8638">
        <v>8635</v>
      </c>
      <c r="F8638">
        <f t="shared" ca="1" si="136"/>
        <v>-1.4701566192476952E-2</v>
      </c>
    </row>
    <row r="8639" spans="5:6" x14ac:dyDescent="0.35">
      <c r="E8639">
        <v>8636</v>
      </c>
      <c r="F8639">
        <f t="shared" ca="1" si="136"/>
        <v>-8.133451252464844E-3</v>
      </c>
    </row>
    <row r="8640" spans="5:6" x14ac:dyDescent="0.35">
      <c r="E8640">
        <v>8637</v>
      </c>
      <c r="F8640">
        <f t="shared" ca="1" si="136"/>
        <v>2.3477213265204258E-2</v>
      </c>
    </row>
    <row r="8641" spans="5:6" x14ac:dyDescent="0.35">
      <c r="E8641">
        <v>8638</v>
      </c>
      <c r="F8641">
        <f t="shared" ca="1" si="136"/>
        <v>1.5020609744502641E-2</v>
      </c>
    </row>
    <row r="8642" spans="5:6" x14ac:dyDescent="0.35">
      <c r="E8642">
        <v>8639</v>
      </c>
      <c r="F8642">
        <f t="shared" ca="1" si="136"/>
        <v>4.539234628080706E-3</v>
      </c>
    </row>
    <row r="8643" spans="5:6" x14ac:dyDescent="0.35">
      <c r="E8643">
        <v>8640</v>
      </c>
      <c r="F8643">
        <f t="shared" ca="1" si="136"/>
        <v>-1.902402922767104E-2</v>
      </c>
    </row>
    <row r="8644" spans="5:6" x14ac:dyDescent="0.35">
      <c r="E8644">
        <v>8641</v>
      </c>
      <c r="F8644">
        <f t="shared" ca="1" si="136"/>
        <v>-2.6091186487557814E-3</v>
      </c>
    </row>
    <row r="8645" spans="5:6" x14ac:dyDescent="0.35">
      <c r="E8645">
        <v>8642</v>
      </c>
      <c r="F8645">
        <f t="shared" ref="F8645:F8708" ca="1" si="137">_xlfn.NORM.INV(RAND(),M$6,M$7)</f>
        <v>-1.0295258513131376E-2</v>
      </c>
    </row>
    <row r="8646" spans="5:6" x14ac:dyDescent="0.35">
      <c r="E8646">
        <v>8643</v>
      </c>
      <c r="F8646">
        <f t="shared" ca="1" si="137"/>
        <v>-1.8170952133625992E-3</v>
      </c>
    </row>
    <row r="8647" spans="5:6" x14ac:dyDescent="0.35">
      <c r="E8647">
        <v>8644</v>
      </c>
      <c r="F8647">
        <f t="shared" ca="1" si="137"/>
        <v>6.4735713126004794E-3</v>
      </c>
    </row>
    <row r="8648" spans="5:6" x14ac:dyDescent="0.35">
      <c r="E8648">
        <v>8645</v>
      </c>
      <c r="F8648">
        <f t="shared" ca="1" si="137"/>
        <v>-9.8825318713974177E-3</v>
      </c>
    </row>
    <row r="8649" spans="5:6" x14ac:dyDescent="0.35">
      <c r="E8649">
        <v>8646</v>
      </c>
      <c r="F8649">
        <f t="shared" ca="1" si="137"/>
        <v>2.9228019973273556E-2</v>
      </c>
    </row>
    <row r="8650" spans="5:6" x14ac:dyDescent="0.35">
      <c r="E8650">
        <v>8647</v>
      </c>
      <c r="F8650">
        <f t="shared" ca="1" si="137"/>
        <v>-1.0167100967002683E-2</v>
      </c>
    </row>
    <row r="8651" spans="5:6" x14ac:dyDescent="0.35">
      <c r="E8651">
        <v>8648</v>
      </c>
      <c r="F8651">
        <f t="shared" ca="1" si="137"/>
        <v>6.1812732726297826E-3</v>
      </c>
    </row>
    <row r="8652" spans="5:6" x14ac:dyDescent="0.35">
      <c r="E8652">
        <v>8649</v>
      </c>
      <c r="F8652">
        <f t="shared" ca="1" si="137"/>
        <v>-2.7396677421633566E-2</v>
      </c>
    </row>
    <row r="8653" spans="5:6" x14ac:dyDescent="0.35">
      <c r="E8653">
        <v>8650</v>
      </c>
      <c r="F8653">
        <f t="shared" ca="1" si="137"/>
        <v>3.4006748200513439E-3</v>
      </c>
    </row>
    <row r="8654" spans="5:6" x14ac:dyDescent="0.35">
      <c r="E8654">
        <v>8651</v>
      </c>
      <c r="F8654">
        <f t="shared" ca="1" si="137"/>
        <v>-1.0553224476053105E-4</v>
      </c>
    </row>
    <row r="8655" spans="5:6" x14ac:dyDescent="0.35">
      <c r="E8655">
        <v>8652</v>
      </c>
      <c r="F8655">
        <f t="shared" ca="1" si="137"/>
        <v>1.585250540952216E-3</v>
      </c>
    </row>
    <row r="8656" spans="5:6" x14ac:dyDescent="0.35">
      <c r="E8656">
        <v>8653</v>
      </c>
      <c r="F8656">
        <f t="shared" ca="1" si="137"/>
        <v>-7.2556072075638921E-3</v>
      </c>
    </row>
    <row r="8657" spans="5:6" x14ac:dyDescent="0.35">
      <c r="E8657">
        <v>8654</v>
      </c>
      <c r="F8657">
        <f t="shared" ca="1" si="137"/>
        <v>1.4694463183438583E-2</v>
      </c>
    </row>
    <row r="8658" spans="5:6" x14ac:dyDescent="0.35">
      <c r="E8658">
        <v>8655</v>
      </c>
      <c r="F8658">
        <f t="shared" ca="1" si="137"/>
        <v>1.9260821996437083E-2</v>
      </c>
    </row>
    <row r="8659" spans="5:6" x14ac:dyDescent="0.35">
      <c r="E8659">
        <v>8656</v>
      </c>
      <c r="F8659">
        <f t="shared" ca="1" si="137"/>
        <v>9.4335469753145957E-3</v>
      </c>
    </row>
    <row r="8660" spans="5:6" x14ac:dyDescent="0.35">
      <c r="E8660">
        <v>8657</v>
      </c>
      <c r="F8660">
        <f t="shared" ca="1" si="137"/>
        <v>5.4092443203082857E-3</v>
      </c>
    </row>
    <row r="8661" spans="5:6" x14ac:dyDescent="0.35">
      <c r="E8661">
        <v>8658</v>
      </c>
      <c r="F8661">
        <f t="shared" ca="1" si="137"/>
        <v>-5.8710070314673185E-3</v>
      </c>
    </row>
    <row r="8662" spans="5:6" x14ac:dyDescent="0.35">
      <c r="E8662">
        <v>8659</v>
      </c>
      <c r="F8662">
        <f t="shared" ca="1" si="137"/>
        <v>4.656899675749797E-5</v>
      </c>
    </row>
    <row r="8663" spans="5:6" x14ac:dyDescent="0.35">
      <c r="E8663">
        <v>8660</v>
      </c>
      <c r="F8663">
        <f t="shared" ca="1" si="137"/>
        <v>-1.5707868593705678E-2</v>
      </c>
    </row>
    <row r="8664" spans="5:6" x14ac:dyDescent="0.35">
      <c r="E8664">
        <v>8661</v>
      </c>
      <c r="F8664">
        <f t="shared" ca="1" si="137"/>
        <v>3.9026021236040925E-3</v>
      </c>
    </row>
    <row r="8665" spans="5:6" x14ac:dyDescent="0.35">
      <c r="E8665">
        <v>8662</v>
      </c>
      <c r="F8665">
        <f t="shared" ca="1" si="137"/>
        <v>4.8012578120812492E-3</v>
      </c>
    </row>
    <row r="8666" spans="5:6" x14ac:dyDescent="0.35">
      <c r="E8666">
        <v>8663</v>
      </c>
      <c r="F8666">
        <f t="shared" ca="1" si="137"/>
        <v>-1.7492854053815676E-2</v>
      </c>
    </row>
    <row r="8667" spans="5:6" x14ac:dyDescent="0.35">
      <c r="E8667">
        <v>8664</v>
      </c>
      <c r="F8667">
        <f t="shared" ca="1" si="137"/>
        <v>1.8363327102346163E-3</v>
      </c>
    </row>
    <row r="8668" spans="5:6" x14ac:dyDescent="0.35">
      <c r="E8668">
        <v>8665</v>
      </c>
      <c r="F8668">
        <f t="shared" ca="1" si="137"/>
        <v>-1.6559572541540959E-2</v>
      </c>
    </row>
    <row r="8669" spans="5:6" x14ac:dyDescent="0.35">
      <c r="E8669">
        <v>8666</v>
      </c>
      <c r="F8669">
        <f t="shared" ca="1" si="137"/>
        <v>1.4705879078208674E-2</v>
      </c>
    </row>
    <row r="8670" spans="5:6" x14ac:dyDescent="0.35">
      <c r="E8670">
        <v>8667</v>
      </c>
      <c r="F8670">
        <f t="shared" ca="1" si="137"/>
        <v>8.6344402897175366E-3</v>
      </c>
    </row>
    <row r="8671" spans="5:6" x14ac:dyDescent="0.35">
      <c r="E8671">
        <v>8668</v>
      </c>
      <c r="F8671">
        <f t="shared" ca="1" si="137"/>
        <v>1.6282421021602156E-3</v>
      </c>
    </row>
    <row r="8672" spans="5:6" x14ac:dyDescent="0.35">
      <c r="E8672">
        <v>8669</v>
      </c>
      <c r="F8672">
        <f t="shared" ca="1" si="137"/>
        <v>7.869079182613082E-3</v>
      </c>
    </row>
    <row r="8673" spans="5:6" x14ac:dyDescent="0.35">
      <c r="E8673">
        <v>8670</v>
      </c>
      <c r="F8673">
        <f t="shared" ca="1" si="137"/>
        <v>-9.6452755840057119E-3</v>
      </c>
    </row>
    <row r="8674" spans="5:6" x14ac:dyDescent="0.35">
      <c r="E8674">
        <v>8671</v>
      </c>
      <c r="F8674">
        <f t="shared" ca="1" si="137"/>
        <v>-9.0992943799371364E-4</v>
      </c>
    </row>
    <row r="8675" spans="5:6" x14ac:dyDescent="0.35">
      <c r="E8675">
        <v>8672</v>
      </c>
      <c r="F8675">
        <f t="shared" ca="1" si="137"/>
        <v>-6.8353743512440035E-3</v>
      </c>
    </row>
    <row r="8676" spans="5:6" x14ac:dyDescent="0.35">
      <c r="E8676">
        <v>8673</v>
      </c>
      <c r="F8676">
        <f t="shared" ca="1" si="137"/>
        <v>7.4275608324643888E-3</v>
      </c>
    </row>
    <row r="8677" spans="5:6" x14ac:dyDescent="0.35">
      <c r="E8677">
        <v>8674</v>
      </c>
      <c r="F8677">
        <f t="shared" ca="1" si="137"/>
        <v>1.1664611021962975E-2</v>
      </c>
    </row>
    <row r="8678" spans="5:6" x14ac:dyDescent="0.35">
      <c r="E8678">
        <v>8675</v>
      </c>
      <c r="F8678">
        <f t="shared" ca="1" si="137"/>
        <v>-5.1282950383892993E-3</v>
      </c>
    </row>
    <row r="8679" spans="5:6" x14ac:dyDescent="0.35">
      <c r="E8679">
        <v>8676</v>
      </c>
      <c r="F8679">
        <f t="shared" ca="1" si="137"/>
        <v>1.9184861606193582E-2</v>
      </c>
    </row>
    <row r="8680" spans="5:6" x14ac:dyDescent="0.35">
      <c r="E8680">
        <v>8677</v>
      </c>
      <c r="F8680">
        <f t="shared" ca="1" si="137"/>
        <v>-6.3850470215514807E-3</v>
      </c>
    </row>
    <row r="8681" spans="5:6" x14ac:dyDescent="0.35">
      <c r="E8681">
        <v>8678</v>
      </c>
      <c r="F8681">
        <f t="shared" ca="1" si="137"/>
        <v>-1.2064122903466559E-2</v>
      </c>
    </row>
    <row r="8682" spans="5:6" x14ac:dyDescent="0.35">
      <c r="E8682">
        <v>8679</v>
      </c>
      <c r="F8682">
        <f t="shared" ca="1" si="137"/>
        <v>-5.0177001354759186E-3</v>
      </c>
    </row>
    <row r="8683" spans="5:6" x14ac:dyDescent="0.35">
      <c r="E8683">
        <v>8680</v>
      </c>
      <c r="F8683">
        <f t="shared" ca="1" si="137"/>
        <v>-3.7071435862210261E-3</v>
      </c>
    </row>
    <row r="8684" spans="5:6" x14ac:dyDescent="0.35">
      <c r="E8684">
        <v>8681</v>
      </c>
      <c r="F8684">
        <f t="shared" ca="1" si="137"/>
        <v>-9.1748971346910461E-4</v>
      </c>
    </row>
    <row r="8685" spans="5:6" x14ac:dyDescent="0.35">
      <c r="E8685">
        <v>8682</v>
      </c>
      <c r="F8685">
        <f t="shared" ca="1" si="137"/>
        <v>-7.0706053867640537E-4</v>
      </c>
    </row>
    <row r="8686" spans="5:6" x14ac:dyDescent="0.35">
      <c r="E8686">
        <v>8683</v>
      </c>
      <c r="F8686">
        <f t="shared" ca="1" si="137"/>
        <v>2.313642815193535E-2</v>
      </c>
    </row>
    <row r="8687" spans="5:6" x14ac:dyDescent="0.35">
      <c r="E8687">
        <v>8684</v>
      </c>
      <c r="F8687">
        <f t="shared" ca="1" si="137"/>
        <v>-1.5495506015126604E-2</v>
      </c>
    </row>
    <row r="8688" spans="5:6" x14ac:dyDescent="0.35">
      <c r="E8688">
        <v>8685</v>
      </c>
      <c r="F8688">
        <f t="shared" ca="1" si="137"/>
        <v>2.5620315760454394E-3</v>
      </c>
    </row>
    <row r="8689" spans="5:6" x14ac:dyDescent="0.35">
      <c r="E8689">
        <v>8686</v>
      </c>
      <c r="F8689">
        <f t="shared" ca="1" si="137"/>
        <v>-1.7679428165513024E-2</v>
      </c>
    </row>
    <row r="8690" spans="5:6" x14ac:dyDescent="0.35">
      <c r="E8690">
        <v>8687</v>
      </c>
      <c r="F8690">
        <f t="shared" ca="1" si="137"/>
        <v>1.1265230422808827E-3</v>
      </c>
    </row>
    <row r="8691" spans="5:6" x14ac:dyDescent="0.35">
      <c r="E8691">
        <v>8688</v>
      </c>
      <c r="F8691">
        <f t="shared" ca="1" si="137"/>
        <v>1.1663984831523127E-2</v>
      </c>
    </row>
    <row r="8692" spans="5:6" x14ac:dyDescent="0.35">
      <c r="E8692">
        <v>8689</v>
      </c>
      <c r="F8692">
        <f t="shared" ca="1" si="137"/>
        <v>-4.2260769849634543E-4</v>
      </c>
    </row>
    <row r="8693" spans="5:6" x14ac:dyDescent="0.35">
      <c r="E8693">
        <v>8690</v>
      </c>
      <c r="F8693">
        <f t="shared" ca="1" si="137"/>
        <v>1.5118022249604133E-2</v>
      </c>
    </row>
    <row r="8694" spans="5:6" x14ac:dyDescent="0.35">
      <c r="E8694">
        <v>8691</v>
      </c>
      <c r="F8694">
        <f t="shared" ca="1" si="137"/>
        <v>2.865196842856983E-3</v>
      </c>
    </row>
    <row r="8695" spans="5:6" x14ac:dyDescent="0.35">
      <c r="E8695">
        <v>8692</v>
      </c>
      <c r="F8695">
        <f t="shared" ca="1" si="137"/>
        <v>1.950957943879509E-2</v>
      </c>
    </row>
    <row r="8696" spans="5:6" x14ac:dyDescent="0.35">
      <c r="E8696">
        <v>8693</v>
      </c>
      <c r="F8696">
        <f t="shared" ca="1" si="137"/>
        <v>-7.5210409775563862E-3</v>
      </c>
    </row>
    <row r="8697" spans="5:6" x14ac:dyDescent="0.35">
      <c r="E8697">
        <v>8694</v>
      </c>
      <c r="F8697">
        <f t="shared" ca="1" si="137"/>
        <v>-2.8275597887064696E-2</v>
      </c>
    </row>
    <row r="8698" spans="5:6" x14ac:dyDescent="0.35">
      <c r="E8698">
        <v>8695</v>
      </c>
      <c r="F8698">
        <f t="shared" ca="1" si="137"/>
        <v>-1.0788495692750906E-2</v>
      </c>
    </row>
    <row r="8699" spans="5:6" x14ac:dyDescent="0.35">
      <c r="E8699">
        <v>8696</v>
      </c>
      <c r="F8699">
        <f t="shared" ca="1" si="137"/>
        <v>7.4894721454322726E-3</v>
      </c>
    </row>
    <row r="8700" spans="5:6" x14ac:dyDescent="0.35">
      <c r="E8700">
        <v>8697</v>
      </c>
      <c r="F8700">
        <f t="shared" ca="1" si="137"/>
        <v>7.1233489419289696E-3</v>
      </c>
    </row>
    <row r="8701" spans="5:6" x14ac:dyDescent="0.35">
      <c r="E8701">
        <v>8698</v>
      </c>
      <c r="F8701">
        <f t="shared" ca="1" si="137"/>
        <v>1.9314633332582674E-2</v>
      </c>
    </row>
    <row r="8702" spans="5:6" x14ac:dyDescent="0.35">
      <c r="E8702">
        <v>8699</v>
      </c>
      <c r="F8702">
        <f t="shared" ca="1" si="137"/>
        <v>1.0162812663680965E-2</v>
      </c>
    </row>
    <row r="8703" spans="5:6" x14ac:dyDescent="0.35">
      <c r="E8703">
        <v>8700</v>
      </c>
      <c r="F8703">
        <f t="shared" ca="1" si="137"/>
        <v>-1.9051933123708863E-2</v>
      </c>
    </row>
    <row r="8704" spans="5:6" x14ac:dyDescent="0.35">
      <c r="E8704">
        <v>8701</v>
      </c>
      <c r="F8704">
        <f t="shared" ca="1" si="137"/>
        <v>-7.7766573112629522E-3</v>
      </c>
    </row>
    <row r="8705" spans="5:6" x14ac:dyDescent="0.35">
      <c r="E8705">
        <v>8702</v>
      </c>
      <c r="F8705">
        <f t="shared" ca="1" si="137"/>
        <v>1.085325011763336E-2</v>
      </c>
    </row>
    <row r="8706" spans="5:6" x14ac:dyDescent="0.35">
      <c r="E8706">
        <v>8703</v>
      </c>
      <c r="F8706">
        <f t="shared" ca="1" si="137"/>
        <v>-1.5537669242300954E-2</v>
      </c>
    </row>
    <row r="8707" spans="5:6" x14ac:dyDescent="0.35">
      <c r="E8707">
        <v>8704</v>
      </c>
      <c r="F8707">
        <f t="shared" ca="1" si="137"/>
        <v>-9.0529104705385621E-3</v>
      </c>
    </row>
    <row r="8708" spans="5:6" x14ac:dyDescent="0.35">
      <c r="E8708">
        <v>8705</v>
      </c>
      <c r="F8708">
        <f t="shared" ca="1" si="137"/>
        <v>1.2003798880361323E-2</v>
      </c>
    </row>
    <row r="8709" spans="5:6" x14ac:dyDescent="0.35">
      <c r="E8709">
        <v>8706</v>
      </c>
      <c r="F8709">
        <f t="shared" ref="F8709:F8772" ca="1" si="138">_xlfn.NORM.INV(RAND(),M$6,M$7)</f>
        <v>7.3656942029891809E-3</v>
      </c>
    </row>
    <row r="8710" spans="5:6" x14ac:dyDescent="0.35">
      <c r="E8710">
        <v>8707</v>
      </c>
      <c r="F8710">
        <f t="shared" ca="1" si="138"/>
        <v>-1.4726661319918516E-2</v>
      </c>
    </row>
    <row r="8711" spans="5:6" x14ac:dyDescent="0.35">
      <c r="E8711">
        <v>8708</v>
      </c>
      <c r="F8711">
        <f t="shared" ca="1" si="138"/>
        <v>-1.9191988879551365E-3</v>
      </c>
    </row>
    <row r="8712" spans="5:6" x14ac:dyDescent="0.35">
      <c r="E8712">
        <v>8709</v>
      </c>
      <c r="F8712">
        <f t="shared" ca="1" si="138"/>
        <v>-2.3200042084726584E-2</v>
      </c>
    </row>
    <row r="8713" spans="5:6" x14ac:dyDescent="0.35">
      <c r="E8713">
        <v>8710</v>
      </c>
      <c r="F8713">
        <f t="shared" ca="1" si="138"/>
        <v>-2.3162807868556951E-4</v>
      </c>
    </row>
    <row r="8714" spans="5:6" x14ac:dyDescent="0.35">
      <c r="E8714">
        <v>8711</v>
      </c>
      <c r="F8714">
        <f t="shared" ca="1" si="138"/>
        <v>7.605949047478207E-3</v>
      </c>
    </row>
    <row r="8715" spans="5:6" x14ac:dyDescent="0.35">
      <c r="E8715">
        <v>8712</v>
      </c>
      <c r="F8715">
        <f t="shared" ca="1" si="138"/>
        <v>-9.3162127682092019E-3</v>
      </c>
    </row>
    <row r="8716" spans="5:6" x14ac:dyDescent="0.35">
      <c r="E8716">
        <v>8713</v>
      </c>
      <c r="F8716">
        <f t="shared" ca="1" si="138"/>
        <v>-1.300888215398207E-2</v>
      </c>
    </row>
    <row r="8717" spans="5:6" x14ac:dyDescent="0.35">
      <c r="E8717">
        <v>8714</v>
      </c>
      <c r="F8717">
        <f t="shared" ca="1" si="138"/>
        <v>-1.4769787310104077E-2</v>
      </c>
    </row>
    <row r="8718" spans="5:6" x14ac:dyDescent="0.35">
      <c r="E8718">
        <v>8715</v>
      </c>
      <c r="F8718">
        <f t="shared" ca="1" si="138"/>
        <v>-3.4459280988365461E-2</v>
      </c>
    </row>
    <row r="8719" spans="5:6" x14ac:dyDescent="0.35">
      <c r="E8719">
        <v>8716</v>
      </c>
      <c r="F8719">
        <f t="shared" ca="1" si="138"/>
        <v>-2.9574189693298919E-2</v>
      </c>
    </row>
    <row r="8720" spans="5:6" x14ac:dyDescent="0.35">
      <c r="E8720">
        <v>8717</v>
      </c>
      <c r="F8720">
        <f t="shared" ca="1" si="138"/>
        <v>-2.3982345450064599E-2</v>
      </c>
    </row>
    <row r="8721" spans="5:6" x14ac:dyDescent="0.35">
      <c r="E8721">
        <v>8718</v>
      </c>
      <c r="F8721">
        <f t="shared" ca="1" si="138"/>
        <v>1.5882278068717372E-3</v>
      </c>
    </row>
    <row r="8722" spans="5:6" x14ac:dyDescent="0.35">
      <c r="E8722">
        <v>8719</v>
      </c>
      <c r="F8722">
        <f t="shared" ca="1" si="138"/>
        <v>-1.4094534258669553E-2</v>
      </c>
    </row>
    <row r="8723" spans="5:6" x14ac:dyDescent="0.35">
      <c r="E8723">
        <v>8720</v>
      </c>
      <c r="F8723">
        <f t="shared" ca="1" si="138"/>
        <v>-3.577647107445907E-3</v>
      </c>
    </row>
    <row r="8724" spans="5:6" x14ac:dyDescent="0.35">
      <c r="E8724">
        <v>8721</v>
      </c>
      <c r="F8724">
        <f t="shared" ca="1" si="138"/>
        <v>1.0566317110037938E-2</v>
      </c>
    </row>
    <row r="8725" spans="5:6" x14ac:dyDescent="0.35">
      <c r="E8725">
        <v>8722</v>
      </c>
      <c r="F8725">
        <f t="shared" ca="1" si="138"/>
        <v>6.1078895451542577E-3</v>
      </c>
    </row>
    <row r="8726" spans="5:6" x14ac:dyDescent="0.35">
      <c r="E8726">
        <v>8723</v>
      </c>
      <c r="F8726">
        <f t="shared" ca="1" si="138"/>
        <v>3.925155323361823E-3</v>
      </c>
    </row>
    <row r="8727" spans="5:6" x14ac:dyDescent="0.35">
      <c r="E8727">
        <v>8724</v>
      </c>
      <c r="F8727">
        <f t="shared" ca="1" si="138"/>
        <v>-2.4424533999727046E-2</v>
      </c>
    </row>
    <row r="8728" spans="5:6" x14ac:dyDescent="0.35">
      <c r="E8728">
        <v>8725</v>
      </c>
      <c r="F8728">
        <f t="shared" ca="1" si="138"/>
        <v>6.6492721677412713E-4</v>
      </c>
    </row>
    <row r="8729" spans="5:6" x14ac:dyDescent="0.35">
      <c r="E8729">
        <v>8726</v>
      </c>
      <c r="F8729">
        <f t="shared" ca="1" si="138"/>
        <v>2.8856946169590544E-3</v>
      </c>
    </row>
    <row r="8730" spans="5:6" x14ac:dyDescent="0.35">
      <c r="E8730">
        <v>8727</v>
      </c>
      <c r="F8730">
        <f t="shared" ca="1" si="138"/>
        <v>1.4334625322518784E-2</v>
      </c>
    </row>
    <row r="8731" spans="5:6" x14ac:dyDescent="0.35">
      <c r="E8731">
        <v>8728</v>
      </c>
      <c r="F8731">
        <f t="shared" ca="1" si="138"/>
        <v>-2.758500404182645E-4</v>
      </c>
    </row>
    <row r="8732" spans="5:6" x14ac:dyDescent="0.35">
      <c r="E8732">
        <v>8729</v>
      </c>
      <c r="F8732">
        <f t="shared" ca="1" si="138"/>
        <v>1.3939125228349719E-3</v>
      </c>
    </row>
    <row r="8733" spans="5:6" x14ac:dyDescent="0.35">
      <c r="E8733">
        <v>8730</v>
      </c>
      <c r="F8733">
        <f t="shared" ca="1" si="138"/>
        <v>1.0680535925341454E-2</v>
      </c>
    </row>
    <row r="8734" spans="5:6" x14ac:dyDescent="0.35">
      <c r="E8734">
        <v>8731</v>
      </c>
      <c r="F8734">
        <f t="shared" ca="1" si="138"/>
        <v>-1.6167163831691093E-2</v>
      </c>
    </row>
    <row r="8735" spans="5:6" x14ac:dyDescent="0.35">
      <c r="E8735">
        <v>8732</v>
      </c>
      <c r="F8735">
        <f t="shared" ca="1" si="138"/>
        <v>-1.6238626146106504E-2</v>
      </c>
    </row>
    <row r="8736" spans="5:6" x14ac:dyDescent="0.35">
      <c r="E8736">
        <v>8733</v>
      </c>
      <c r="F8736">
        <f t="shared" ca="1" si="138"/>
        <v>4.2741914184888318E-4</v>
      </c>
    </row>
    <row r="8737" spans="5:6" x14ac:dyDescent="0.35">
      <c r="E8737">
        <v>8734</v>
      </c>
      <c r="F8737">
        <f t="shared" ca="1" si="138"/>
        <v>-1.7266830952783203E-2</v>
      </c>
    </row>
    <row r="8738" spans="5:6" x14ac:dyDescent="0.35">
      <c r="E8738">
        <v>8735</v>
      </c>
      <c r="F8738">
        <f t="shared" ca="1" si="138"/>
        <v>5.5002909316570012E-3</v>
      </c>
    </row>
    <row r="8739" spans="5:6" x14ac:dyDescent="0.35">
      <c r="E8739">
        <v>8736</v>
      </c>
      <c r="F8739">
        <f t="shared" ca="1" si="138"/>
        <v>2.0883502816390984E-2</v>
      </c>
    </row>
    <row r="8740" spans="5:6" x14ac:dyDescent="0.35">
      <c r="E8740">
        <v>8737</v>
      </c>
      <c r="F8740">
        <f t="shared" ca="1" si="138"/>
        <v>1.4787172482148989E-2</v>
      </c>
    </row>
    <row r="8741" spans="5:6" x14ac:dyDescent="0.35">
      <c r="E8741">
        <v>8738</v>
      </c>
      <c r="F8741">
        <f t="shared" ca="1" si="138"/>
        <v>2.499990740772369E-2</v>
      </c>
    </row>
    <row r="8742" spans="5:6" x14ac:dyDescent="0.35">
      <c r="E8742">
        <v>8739</v>
      </c>
      <c r="F8742">
        <f t="shared" ca="1" si="138"/>
        <v>8.9531577883603564E-4</v>
      </c>
    </row>
    <row r="8743" spans="5:6" x14ac:dyDescent="0.35">
      <c r="E8743">
        <v>8740</v>
      </c>
      <c r="F8743">
        <f t="shared" ca="1" si="138"/>
        <v>-2.7514816630353207E-3</v>
      </c>
    </row>
    <row r="8744" spans="5:6" x14ac:dyDescent="0.35">
      <c r="E8744">
        <v>8741</v>
      </c>
      <c r="F8744">
        <f t="shared" ca="1" si="138"/>
        <v>-1.6766172133114026E-2</v>
      </c>
    </row>
    <row r="8745" spans="5:6" x14ac:dyDescent="0.35">
      <c r="E8745">
        <v>8742</v>
      </c>
      <c r="F8745">
        <f t="shared" ca="1" si="138"/>
        <v>6.7450421103916565E-3</v>
      </c>
    </row>
    <row r="8746" spans="5:6" x14ac:dyDescent="0.35">
      <c r="E8746">
        <v>8743</v>
      </c>
      <c r="F8746">
        <f t="shared" ca="1" si="138"/>
        <v>-1.7822878070685454E-2</v>
      </c>
    </row>
    <row r="8747" spans="5:6" x14ac:dyDescent="0.35">
      <c r="E8747">
        <v>8744</v>
      </c>
      <c r="F8747">
        <f t="shared" ca="1" si="138"/>
        <v>1.2871777407741484E-2</v>
      </c>
    </row>
    <row r="8748" spans="5:6" x14ac:dyDescent="0.35">
      <c r="E8748">
        <v>8745</v>
      </c>
      <c r="F8748">
        <f t="shared" ca="1" si="138"/>
        <v>-1.0298189798866425E-2</v>
      </c>
    </row>
    <row r="8749" spans="5:6" x14ac:dyDescent="0.35">
      <c r="E8749">
        <v>8746</v>
      </c>
      <c r="F8749">
        <f t="shared" ca="1" si="138"/>
        <v>-1.8473273661024853E-3</v>
      </c>
    </row>
    <row r="8750" spans="5:6" x14ac:dyDescent="0.35">
      <c r="E8750">
        <v>8747</v>
      </c>
      <c r="F8750">
        <f t="shared" ca="1" si="138"/>
        <v>1.1235244188950541E-2</v>
      </c>
    </row>
    <row r="8751" spans="5:6" x14ac:dyDescent="0.35">
      <c r="E8751">
        <v>8748</v>
      </c>
      <c r="F8751">
        <f t="shared" ca="1" si="138"/>
        <v>-8.3256629800712214E-3</v>
      </c>
    </row>
    <row r="8752" spans="5:6" x14ac:dyDescent="0.35">
      <c r="E8752">
        <v>8749</v>
      </c>
      <c r="F8752">
        <f t="shared" ca="1" si="138"/>
        <v>-9.4800570075684962E-3</v>
      </c>
    </row>
    <row r="8753" spans="5:6" x14ac:dyDescent="0.35">
      <c r="E8753">
        <v>8750</v>
      </c>
      <c r="F8753">
        <f t="shared" ca="1" si="138"/>
        <v>-1.5356930725483565E-3</v>
      </c>
    </row>
    <row r="8754" spans="5:6" x14ac:dyDescent="0.35">
      <c r="E8754">
        <v>8751</v>
      </c>
      <c r="F8754">
        <f t="shared" ca="1" si="138"/>
        <v>-1.4388674054911944E-3</v>
      </c>
    </row>
    <row r="8755" spans="5:6" x14ac:dyDescent="0.35">
      <c r="E8755">
        <v>8752</v>
      </c>
      <c r="F8755">
        <f t="shared" ca="1" si="138"/>
        <v>4.2279598477281254E-3</v>
      </c>
    </row>
    <row r="8756" spans="5:6" x14ac:dyDescent="0.35">
      <c r="E8756">
        <v>8753</v>
      </c>
      <c r="F8756">
        <f t="shared" ca="1" si="138"/>
        <v>-2.8203806568133857E-2</v>
      </c>
    </row>
    <row r="8757" spans="5:6" x14ac:dyDescent="0.35">
      <c r="E8757">
        <v>8754</v>
      </c>
      <c r="F8757">
        <f t="shared" ca="1" si="138"/>
        <v>2.5899102928165088E-3</v>
      </c>
    </row>
    <row r="8758" spans="5:6" x14ac:dyDescent="0.35">
      <c r="E8758">
        <v>8755</v>
      </c>
      <c r="F8758">
        <f t="shared" ca="1" si="138"/>
        <v>-4.4993277830298597E-3</v>
      </c>
    </row>
    <row r="8759" spans="5:6" x14ac:dyDescent="0.35">
      <c r="E8759">
        <v>8756</v>
      </c>
      <c r="F8759">
        <f t="shared" ca="1" si="138"/>
        <v>-6.5698820267168284E-3</v>
      </c>
    </row>
    <row r="8760" spans="5:6" x14ac:dyDescent="0.35">
      <c r="E8760">
        <v>8757</v>
      </c>
      <c r="F8760">
        <f t="shared" ca="1" si="138"/>
        <v>4.6118971366948709E-3</v>
      </c>
    </row>
    <row r="8761" spans="5:6" x14ac:dyDescent="0.35">
      <c r="E8761">
        <v>8758</v>
      </c>
      <c r="F8761">
        <f t="shared" ca="1" si="138"/>
        <v>7.7047198295642871E-4</v>
      </c>
    </row>
    <row r="8762" spans="5:6" x14ac:dyDescent="0.35">
      <c r="E8762">
        <v>8759</v>
      </c>
      <c r="F8762">
        <f t="shared" ca="1" si="138"/>
        <v>3.4240443999472743E-4</v>
      </c>
    </row>
    <row r="8763" spans="5:6" x14ac:dyDescent="0.35">
      <c r="E8763">
        <v>8760</v>
      </c>
      <c r="F8763">
        <f t="shared" ca="1" si="138"/>
        <v>-5.4964458114069277E-3</v>
      </c>
    </row>
    <row r="8764" spans="5:6" x14ac:dyDescent="0.35">
      <c r="E8764">
        <v>8761</v>
      </c>
      <c r="F8764">
        <f t="shared" ca="1" si="138"/>
        <v>1.0590352635971495E-2</v>
      </c>
    </row>
    <row r="8765" spans="5:6" x14ac:dyDescent="0.35">
      <c r="E8765">
        <v>8762</v>
      </c>
      <c r="F8765">
        <f t="shared" ca="1" si="138"/>
        <v>1.6352270389656552E-2</v>
      </c>
    </row>
    <row r="8766" spans="5:6" x14ac:dyDescent="0.35">
      <c r="E8766">
        <v>8763</v>
      </c>
      <c r="F8766">
        <f t="shared" ca="1" si="138"/>
        <v>-1.3185388673164664E-2</v>
      </c>
    </row>
    <row r="8767" spans="5:6" x14ac:dyDescent="0.35">
      <c r="E8767">
        <v>8764</v>
      </c>
      <c r="F8767">
        <f t="shared" ca="1" si="138"/>
        <v>1.3382698006728571E-2</v>
      </c>
    </row>
    <row r="8768" spans="5:6" x14ac:dyDescent="0.35">
      <c r="E8768">
        <v>8765</v>
      </c>
      <c r="F8768">
        <f t="shared" ca="1" si="138"/>
        <v>-2.2729232638182807E-2</v>
      </c>
    </row>
    <row r="8769" spans="5:6" x14ac:dyDescent="0.35">
      <c r="E8769">
        <v>8766</v>
      </c>
      <c r="F8769">
        <f t="shared" ca="1" si="138"/>
        <v>-1.704039005327521E-2</v>
      </c>
    </row>
    <row r="8770" spans="5:6" x14ac:dyDescent="0.35">
      <c r="E8770">
        <v>8767</v>
      </c>
      <c r="F8770">
        <f t="shared" ca="1" si="138"/>
        <v>2.0752463509906525E-3</v>
      </c>
    </row>
    <row r="8771" spans="5:6" x14ac:dyDescent="0.35">
      <c r="E8771">
        <v>8768</v>
      </c>
      <c r="F8771">
        <f t="shared" ca="1" si="138"/>
        <v>-5.7602222581299902E-3</v>
      </c>
    </row>
    <row r="8772" spans="5:6" x14ac:dyDescent="0.35">
      <c r="E8772">
        <v>8769</v>
      </c>
      <c r="F8772">
        <f t="shared" ca="1" si="138"/>
        <v>-1.6713699346411211E-2</v>
      </c>
    </row>
    <row r="8773" spans="5:6" x14ac:dyDescent="0.35">
      <c r="E8773">
        <v>8770</v>
      </c>
      <c r="F8773">
        <f t="shared" ref="F8773:F8836" ca="1" si="139">_xlfn.NORM.INV(RAND(),M$6,M$7)</f>
        <v>6.1635946427792843E-3</v>
      </c>
    </row>
    <row r="8774" spans="5:6" x14ac:dyDescent="0.35">
      <c r="E8774">
        <v>8771</v>
      </c>
      <c r="F8774">
        <f t="shared" ca="1" si="139"/>
        <v>1.2483217574163383E-2</v>
      </c>
    </row>
    <row r="8775" spans="5:6" x14ac:dyDescent="0.35">
      <c r="E8775">
        <v>8772</v>
      </c>
      <c r="F8775">
        <f t="shared" ca="1" si="139"/>
        <v>7.4582097132223427E-3</v>
      </c>
    </row>
    <row r="8776" spans="5:6" x14ac:dyDescent="0.35">
      <c r="E8776">
        <v>8773</v>
      </c>
      <c r="F8776">
        <f t="shared" ca="1" si="139"/>
        <v>-2.5199526919687527E-2</v>
      </c>
    </row>
    <row r="8777" spans="5:6" x14ac:dyDescent="0.35">
      <c r="E8777">
        <v>8774</v>
      </c>
      <c r="F8777">
        <f t="shared" ca="1" si="139"/>
        <v>-1.0930775605099505E-3</v>
      </c>
    </row>
    <row r="8778" spans="5:6" x14ac:dyDescent="0.35">
      <c r="E8778">
        <v>8775</v>
      </c>
      <c r="F8778">
        <f t="shared" ca="1" si="139"/>
        <v>1.8375582436070851E-2</v>
      </c>
    </row>
    <row r="8779" spans="5:6" x14ac:dyDescent="0.35">
      <c r="E8779">
        <v>8776</v>
      </c>
      <c r="F8779">
        <f t="shared" ca="1" si="139"/>
        <v>-2.0975364512092784E-3</v>
      </c>
    </row>
    <row r="8780" spans="5:6" x14ac:dyDescent="0.35">
      <c r="E8780">
        <v>8777</v>
      </c>
      <c r="F8780">
        <f t="shared" ca="1" si="139"/>
        <v>-2.9022312503323922E-2</v>
      </c>
    </row>
    <row r="8781" spans="5:6" x14ac:dyDescent="0.35">
      <c r="E8781">
        <v>8778</v>
      </c>
      <c r="F8781">
        <f t="shared" ca="1" si="139"/>
        <v>4.0754498369052197E-3</v>
      </c>
    </row>
    <row r="8782" spans="5:6" x14ac:dyDescent="0.35">
      <c r="E8782">
        <v>8779</v>
      </c>
      <c r="F8782">
        <f t="shared" ca="1" si="139"/>
        <v>4.3484204269777456E-2</v>
      </c>
    </row>
    <row r="8783" spans="5:6" x14ac:dyDescent="0.35">
      <c r="E8783">
        <v>8780</v>
      </c>
      <c r="F8783">
        <f t="shared" ca="1" si="139"/>
        <v>9.4835684396120511E-3</v>
      </c>
    </row>
    <row r="8784" spans="5:6" x14ac:dyDescent="0.35">
      <c r="E8784">
        <v>8781</v>
      </c>
      <c r="F8784">
        <f t="shared" ca="1" si="139"/>
        <v>6.553825433959496E-3</v>
      </c>
    </row>
    <row r="8785" spans="5:6" x14ac:dyDescent="0.35">
      <c r="E8785">
        <v>8782</v>
      </c>
      <c r="F8785">
        <f t="shared" ca="1" si="139"/>
        <v>-1.5524669711622564E-2</v>
      </c>
    </row>
    <row r="8786" spans="5:6" x14ac:dyDescent="0.35">
      <c r="E8786">
        <v>8783</v>
      </c>
      <c r="F8786">
        <f t="shared" ca="1" si="139"/>
        <v>3.8037581519017986E-4</v>
      </c>
    </row>
    <row r="8787" spans="5:6" x14ac:dyDescent="0.35">
      <c r="E8787">
        <v>8784</v>
      </c>
      <c r="F8787">
        <f t="shared" ca="1" si="139"/>
        <v>3.2665592081029373E-3</v>
      </c>
    </row>
    <row r="8788" spans="5:6" x14ac:dyDescent="0.35">
      <c r="E8788">
        <v>8785</v>
      </c>
      <c r="F8788">
        <f t="shared" ca="1" si="139"/>
        <v>4.8464861151442419E-3</v>
      </c>
    </row>
    <row r="8789" spans="5:6" x14ac:dyDescent="0.35">
      <c r="E8789">
        <v>8786</v>
      </c>
      <c r="F8789">
        <f t="shared" ca="1" si="139"/>
        <v>1.8415042279946042E-3</v>
      </c>
    </row>
    <row r="8790" spans="5:6" x14ac:dyDescent="0.35">
      <c r="E8790">
        <v>8787</v>
      </c>
      <c r="F8790">
        <f t="shared" ca="1" si="139"/>
        <v>-4.728105554459878E-3</v>
      </c>
    </row>
    <row r="8791" spans="5:6" x14ac:dyDescent="0.35">
      <c r="E8791">
        <v>8788</v>
      </c>
      <c r="F8791">
        <f t="shared" ca="1" si="139"/>
        <v>7.5935120348861887E-4</v>
      </c>
    </row>
    <row r="8792" spans="5:6" x14ac:dyDescent="0.35">
      <c r="E8792">
        <v>8789</v>
      </c>
      <c r="F8792">
        <f t="shared" ca="1" si="139"/>
        <v>3.0864643596376106E-3</v>
      </c>
    </row>
    <row r="8793" spans="5:6" x14ac:dyDescent="0.35">
      <c r="E8793">
        <v>8790</v>
      </c>
      <c r="F8793">
        <f t="shared" ca="1" si="139"/>
        <v>2.5262324713818545E-2</v>
      </c>
    </row>
    <row r="8794" spans="5:6" x14ac:dyDescent="0.35">
      <c r="E8794">
        <v>8791</v>
      </c>
      <c r="F8794">
        <f t="shared" ca="1" si="139"/>
        <v>1.8939920417907319E-2</v>
      </c>
    </row>
    <row r="8795" spans="5:6" x14ac:dyDescent="0.35">
      <c r="E8795">
        <v>8792</v>
      </c>
      <c r="F8795">
        <f t="shared" ca="1" si="139"/>
        <v>1.2921220195743785E-3</v>
      </c>
    </row>
    <row r="8796" spans="5:6" x14ac:dyDescent="0.35">
      <c r="E8796">
        <v>8793</v>
      </c>
      <c r="F8796">
        <f t="shared" ca="1" si="139"/>
        <v>5.359717465896704E-3</v>
      </c>
    </row>
    <row r="8797" spans="5:6" x14ac:dyDescent="0.35">
      <c r="E8797">
        <v>8794</v>
      </c>
      <c r="F8797">
        <f t="shared" ca="1" si="139"/>
        <v>1.5562832321669286E-3</v>
      </c>
    </row>
    <row r="8798" spans="5:6" x14ac:dyDescent="0.35">
      <c r="E8798">
        <v>8795</v>
      </c>
      <c r="F8798">
        <f t="shared" ca="1" si="139"/>
        <v>-2.8376346554471982E-2</v>
      </c>
    </row>
    <row r="8799" spans="5:6" x14ac:dyDescent="0.35">
      <c r="E8799">
        <v>8796</v>
      </c>
      <c r="F8799">
        <f t="shared" ca="1" si="139"/>
        <v>1.2680928479788984E-2</v>
      </c>
    </row>
    <row r="8800" spans="5:6" x14ac:dyDescent="0.35">
      <c r="E8800">
        <v>8797</v>
      </c>
      <c r="F8800">
        <f t="shared" ca="1" si="139"/>
        <v>5.3005160341441518E-3</v>
      </c>
    </row>
    <row r="8801" spans="5:6" x14ac:dyDescent="0.35">
      <c r="E8801">
        <v>8798</v>
      </c>
      <c r="F8801">
        <f t="shared" ca="1" si="139"/>
        <v>-1.0012911532414227E-2</v>
      </c>
    </row>
    <row r="8802" spans="5:6" x14ac:dyDescent="0.35">
      <c r="E8802">
        <v>8799</v>
      </c>
      <c r="F8802">
        <f t="shared" ca="1" si="139"/>
        <v>4.864090238070478E-3</v>
      </c>
    </row>
    <row r="8803" spans="5:6" x14ac:dyDescent="0.35">
      <c r="E8803">
        <v>8800</v>
      </c>
      <c r="F8803">
        <f t="shared" ca="1" si="139"/>
        <v>-9.1454778642595554E-4</v>
      </c>
    </row>
    <row r="8804" spans="5:6" x14ac:dyDescent="0.35">
      <c r="E8804">
        <v>8801</v>
      </c>
      <c r="F8804">
        <f t="shared" ca="1" si="139"/>
        <v>-3.8951697692608872E-3</v>
      </c>
    </row>
    <row r="8805" spans="5:6" x14ac:dyDescent="0.35">
      <c r="E8805">
        <v>8802</v>
      </c>
      <c r="F8805">
        <f t="shared" ca="1" si="139"/>
        <v>-2.6602054227446499E-2</v>
      </c>
    </row>
    <row r="8806" spans="5:6" x14ac:dyDescent="0.35">
      <c r="E8806">
        <v>8803</v>
      </c>
      <c r="F8806">
        <f t="shared" ca="1" si="139"/>
        <v>-1.0213409731507096E-2</v>
      </c>
    </row>
    <row r="8807" spans="5:6" x14ac:dyDescent="0.35">
      <c r="E8807">
        <v>8804</v>
      </c>
      <c r="F8807">
        <f t="shared" ca="1" si="139"/>
        <v>-2.2275514365888177E-2</v>
      </c>
    </row>
    <row r="8808" spans="5:6" x14ac:dyDescent="0.35">
      <c r="E8808">
        <v>8805</v>
      </c>
      <c r="F8808">
        <f t="shared" ca="1" si="139"/>
        <v>3.2257959658280259E-2</v>
      </c>
    </row>
    <row r="8809" spans="5:6" x14ac:dyDescent="0.35">
      <c r="E8809">
        <v>8806</v>
      </c>
      <c r="F8809">
        <f t="shared" ca="1" si="139"/>
        <v>-8.6324771555396388E-4</v>
      </c>
    </row>
    <row r="8810" spans="5:6" x14ac:dyDescent="0.35">
      <c r="E8810">
        <v>8807</v>
      </c>
      <c r="F8810">
        <f t="shared" ca="1" si="139"/>
        <v>-4.7848209125480054E-3</v>
      </c>
    </row>
    <row r="8811" spans="5:6" x14ac:dyDescent="0.35">
      <c r="E8811">
        <v>8808</v>
      </c>
      <c r="F8811">
        <f t="shared" ca="1" si="139"/>
        <v>2.0986025776123227E-2</v>
      </c>
    </row>
    <row r="8812" spans="5:6" x14ac:dyDescent="0.35">
      <c r="E8812">
        <v>8809</v>
      </c>
      <c r="F8812">
        <f t="shared" ca="1" si="139"/>
        <v>2.6226295247149492E-2</v>
      </c>
    </row>
    <row r="8813" spans="5:6" x14ac:dyDescent="0.35">
      <c r="E8813">
        <v>8810</v>
      </c>
      <c r="F8813">
        <f t="shared" ca="1" si="139"/>
        <v>1.5963429370250946E-2</v>
      </c>
    </row>
    <row r="8814" spans="5:6" x14ac:dyDescent="0.35">
      <c r="E8814">
        <v>8811</v>
      </c>
      <c r="F8814">
        <f t="shared" ca="1" si="139"/>
        <v>-4.5298132175056486E-3</v>
      </c>
    </row>
    <row r="8815" spans="5:6" x14ac:dyDescent="0.35">
      <c r="E8815">
        <v>8812</v>
      </c>
      <c r="F8815">
        <f t="shared" ca="1" si="139"/>
        <v>-1.4730787292103479E-2</v>
      </c>
    </row>
    <row r="8816" spans="5:6" x14ac:dyDescent="0.35">
      <c r="E8816">
        <v>8813</v>
      </c>
      <c r="F8816">
        <f t="shared" ca="1" si="139"/>
        <v>-1.8152880056781527E-2</v>
      </c>
    </row>
    <row r="8817" spans="5:6" x14ac:dyDescent="0.35">
      <c r="E8817">
        <v>8814</v>
      </c>
      <c r="F8817">
        <f t="shared" ca="1" si="139"/>
        <v>1.2763410367283961E-2</v>
      </c>
    </row>
    <row r="8818" spans="5:6" x14ac:dyDescent="0.35">
      <c r="E8818">
        <v>8815</v>
      </c>
      <c r="F8818">
        <f t="shared" ca="1" si="139"/>
        <v>4.3137293252875786E-3</v>
      </c>
    </row>
    <row r="8819" spans="5:6" x14ac:dyDescent="0.35">
      <c r="E8819">
        <v>8816</v>
      </c>
      <c r="F8819">
        <f t="shared" ca="1" si="139"/>
        <v>2.6492156895454866E-3</v>
      </c>
    </row>
    <row r="8820" spans="5:6" x14ac:dyDescent="0.35">
      <c r="E8820">
        <v>8817</v>
      </c>
      <c r="F8820">
        <f t="shared" ca="1" si="139"/>
        <v>-6.6115990052176038E-4</v>
      </c>
    </row>
    <row r="8821" spans="5:6" x14ac:dyDescent="0.35">
      <c r="E8821">
        <v>8818</v>
      </c>
      <c r="F8821">
        <f t="shared" ca="1" si="139"/>
        <v>4.4614404908336217E-3</v>
      </c>
    </row>
    <row r="8822" spans="5:6" x14ac:dyDescent="0.35">
      <c r="E8822">
        <v>8819</v>
      </c>
      <c r="F8822">
        <f t="shared" ca="1" si="139"/>
        <v>1.8815892003396149E-2</v>
      </c>
    </row>
    <row r="8823" spans="5:6" x14ac:dyDescent="0.35">
      <c r="E8823">
        <v>8820</v>
      </c>
      <c r="F8823">
        <f t="shared" ca="1" si="139"/>
        <v>-1.3579641691601202E-2</v>
      </c>
    </row>
    <row r="8824" spans="5:6" x14ac:dyDescent="0.35">
      <c r="E8824">
        <v>8821</v>
      </c>
      <c r="F8824">
        <f t="shared" ca="1" si="139"/>
        <v>1.8140410967096524E-2</v>
      </c>
    </row>
    <row r="8825" spans="5:6" x14ac:dyDescent="0.35">
      <c r="E8825">
        <v>8822</v>
      </c>
      <c r="F8825">
        <f t="shared" ca="1" si="139"/>
        <v>-6.3510342200323827E-4</v>
      </c>
    </row>
    <row r="8826" spans="5:6" x14ac:dyDescent="0.35">
      <c r="E8826">
        <v>8823</v>
      </c>
      <c r="F8826">
        <f t="shared" ca="1" si="139"/>
        <v>2.3410549824682613E-2</v>
      </c>
    </row>
    <row r="8827" spans="5:6" x14ac:dyDescent="0.35">
      <c r="E8827">
        <v>8824</v>
      </c>
      <c r="F8827">
        <f t="shared" ca="1" si="139"/>
        <v>7.6038944213116123E-3</v>
      </c>
    </row>
    <row r="8828" spans="5:6" x14ac:dyDescent="0.35">
      <c r="E8828">
        <v>8825</v>
      </c>
      <c r="F8828">
        <f t="shared" ca="1" si="139"/>
        <v>-2.3397882659459735E-2</v>
      </c>
    </row>
    <row r="8829" spans="5:6" x14ac:dyDescent="0.35">
      <c r="E8829">
        <v>8826</v>
      </c>
      <c r="F8829">
        <f t="shared" ca="1" si="139"/>
        <v>-8.6584630382376127E-3</v>
      </c>
    </row>
    <row r="8830" spans="5:6" x14ac:dyDescent="0.35">
      <c r="E8830">
        <v>8827</v>
      </c>
      <c r="F8830">
        <f t="shared" ca="1" si="139"/>
        <v>-1.3549034667799017E-2</v>
      </c>
    </row>
    <row r="8831" spans="5:6" x14ac:dyDescent="0.35">
      <c r="E8831">
        <v>8828</v>
      </c>
      <c r="F8831">
        <f t="shared" ca="1" si="139"/>
        <v>-3.5961543852659109E-2</v>
      </c>
    </row>
    <row r="8832" spans="5:6" x14ac:dyDescent="0.35">
      <c r="E8832">
        <v>8829</v>
      </c>
      <c r="F8832">
        <f t="shared" ca="1" si="139"/>
        <v>-1.3895591011783087E-2</v>
      </c>
    </row>
    <row r="8833" spans="5:6" x14ac:dyDescent="0.35">
      <c r="E8833">
        <v>8830</v>
      </c>
      <c r="F8833">
        <f t="shared" ca="1" si="139"/>
        <v>1.4399033788826296E-2</v>
      </c>
    </row>
    <row r="8834" spans="5:6" x14ac:dyDescent="0.35">
      <c r="E8834">
        <v>8831</v>
      </c>
      <c r="F8834">
        <f t="shared" ca="1" si="139"/>
        <v>-8.4724150145812777E-3</v>
      </c>
    </row>
    <row r="8835" spans="5:6" x14ac:dyDescent="0.35">
      <c r="E8835">
        <v>8832</v>
      </c>
      <c r="F8835">
        <f t="shared" ca="1" si="139"/>
        <v>-6.3633217019134552E-3</v>
      </c>
    </row>
    <row r="8836" spans="5:6" x14ac:dyDescent="0.35">
      <c r="E8836">
        <v>8833</v>
      </c>
      <c r="F8836">
        <f t="shared" ca="1" si="139"/>
        <v>-7.5503947044284255E-3</v>
      </c>
    </row>
    <row r="8837" spans="5:6" x14ac:dyDescent="0.35">
      <c r="E8837">
        <v>8834</v>
      </c>
      <c r="F8837">
        <f t="shared" ref="F8837:F8900" ca="1" si="140">_xlfn.NORM.INV(RAND(),M$6,M$7)</f>
        <v>8.0352369739800835E-3</v>
      </c>
    </row>
    <row r="8838" spans="5:6" x14ac:dyDescent="0.35">
      <c r="E8838">
        <v>8835</v>
      </c>
      <c r="F8838">
        <f t="shared" ca="1" si="140"/>
        <v>-1.7131707790124295E-2</v>
      </c>
    </row>
    <row r="8839" spans="5:6" x14ac:dyDescent="0.35">
      <c r="E8839">
        <v>8836</v>
      </c>
      <c r="F8839">
        <f t="shared" ca="1" si="140"/>
        <v>2.2065122946851552E-2</v>
      </c>
    </row>
    <row r="8840" spans="5:6" x14ac:dyDescent="0.35">
      <c r="E8840">
        <v>8837</v>
      </c>
      <c r="F8840">
        <f t="shared" ca="1" si="140"/>
        <v>-3.186031101602059E-2</v>
      </c>
    </row>
    <row r="8841" spans="5:6" x14ac:dyDescent="0.35">
      <c r="E8841">
        <v>8838</v>
      </c>
      <c r="F8841">
        <f t="shared" ca="1" si="140"/>
        <v>1.412543463206402E-2</v>
      </c>
    </row>
    <row r="8842" spans="5:6" x14ac:dyDescent="0.35">
      <c r="E8842">
        <v>8839</v>
      </c>
      <c r="F8842">
        <f t="shared" ca="1" si="140"/>
        <v>-2.3101446716527266E-3</v>
      </c>
    </row>
    <row r="8843" spans="5:6" x14ac:dyDescent="0.35">
      <c r="E8843">
        <v>8840</v>
      </c>
      <c r="F8843">
        <f t="shared" ca="1" si="140"/>
        <v>1.4793681081083808E-2</v>
      </c>
    </row>
    <row r="8844" spans="5:6" x14ac:dyDescent="0.35">
      <c r="E8844">
        <v>8841</v>
      </c>
      <c r="F8844">
        <f t="shared" ca="1" si="140"/>
        <v>1.5456958072034602E-2</v>
      </c>
    </row>
    <row r="8845" spans="5:6" x14ac:dyDescent="0.35">
      <c r="E8845">
        <v>8842</v>
      </c>
      <c r="F8845">
        <f t="shared" ca="1" si="140"/>
        <v>-7.7644473924005225E-3</v>
      </c>
    </row>
    <row r="8846" spans="5:6" x14ac:dyDescent="0.35">
      <c r="E8846">
        <v>8843</v>
      </c>
      <c r="F8846">
        <f t="shared" ca="1" si="140"/>
        <v>-2.4645025376955721E-2</v>
      </c>
    </row>
    <row r="8847" spans="5:6" x14ac:dyDescent="0.35">
      <c r="E8847">
        <v>8844</v>
      </c>
      <c r="F8847">
        <f t="shared" ca="1" si="140"/>
        <v>7.7113563450044572E-3</v>
      </c>
    </row>
    <row r="8848" spans="5:6" x14ac:dyDescent="0.35">
      <c r="E8848">
        <v>8845</v>
      </c>
      <c r="F8848">
        <f t="shared" ca="1" si="140"/>
        <v>-7.0449981164998413E-3</v>
      </c>
    </row>
    <row r="8849" spans="5:6" x14ac:dyDescent="0.35">
      <c r="E8849">
        <v>8846</v>
      </c>
      <c r="F8849">
        <f t="shared" ca="1" si="140"/>
        <v>1.8626019571417102E-2</v>
      </c>
    </row>
    <row r="8850" spans="5:6" x14ac:dyDescent="0.35">
      <c r="E8850">
        <v>8847</v>
      </c>
      <c r="F8850">
        <f t="shared" ca="1" si="140"/>
        <v>-1.0267925356423821E-3</v>
      </c>
    </row>
    <row r="8851" spans="5:6" x14ac:dyDescent="0.35">
      <c r="E8851">
        <v>8848</v>
      </c>
      <c r="F8851">
        <f t="shared" ca="1" si="140"/>
        <v>6.7132250586268184E-3</v>
      </c>
    </row>
    <row r="8852" spans="5:6" x14ac:dyDescent="0.35">
      <c r="E8852">
        <v>8849</v>
      </c>
      <c r="F8852">
        <f t="shared" ca="1" si="140"/>
        <v>-1.159871258449597E-2</v>
      </c>
    </row>
    <row r="8853" spans="5:6" x14ac:dyDescent="0.35">
      <c r="E8853">
        <v>8850</v>
      </c>
      <c r="F8853">
        <f t="shared" ca="1" si="140"/>
        <v>7.1576251526394167E-3</v>
      </c>
    </row>
    <row r="8854" spans="5:6" x14ac:dyDescent="0.35">
      <c r="E8854">
        <v>8851</v>
      </c>
      <c r="F8854">
        <f t="shared" ca="1" si="140"/>
        <v>3.2003872943072898E-3</v>
      </c>
    </row>
    <row r="8855" spans="5:6" x14ac:dyDescent="0.35">
      <c r="E8855">
        <v>8852</v>
      </c>
      <c r="F8855">
        <f t="shared" ca="1" si="140"/>
        <v>-1.510766266451331E-2</v>
      </c>
    </row>
    <row r="8856" spans="5:6" x14ac:dyDescent="0.35">
      <c r="E8856">
        <v>8853</v>
      </c>
      <c r="F8856">
        <f t="shared" ca="1" si="140"/>
        <v>4.0672725988110956E-3</v>
      </c>
    </row>
    <row r="8857" spans="5:6" x14ac:dyDescent="0.35">
      <c r="E8857">
        <v>8854</v>
      </c>
      <c r="F8857">
        <f t="shared" ca="1" si="140"/>
        <v>-2.0638746568279728E-2</v>
      </c>
    </row>
    <row r="8858" spans="5:6" x14ac:dyDescent="0.35">
      <c r="E8858">
        <v>8855</v>
      </c>
      <c r="F8858">
        <f t="shared" ca="1" si="140"/>
        <v>2.7911273353502616E-2</v>
      </c>
    </row>
    <row r="8859" spans="5:6" x14ac:dyDescent="0.35">
      <c r="E8859">
        <v>8856</v>
      </c>
      <c r="F8859">
        <f t="shared" ca="1" si="140"/>
        <v>1.1414516858375971E-2</v>
      </c>
    </row>
    <row r="8860" spans="5:6" x14ac:dyDescent="0.35">
      <c r="E8860">
        <v>8857</v>
      </c>
      <c r="F8860">
        <f t="shared" ca="1" si="140"/>
        <v>-9.7605215323354894E-3</v>
      </c>
    </row>
    <row r="8861" spans="5:6" x14ac:dyDescent="0.35">
      <c r="E8861">
        <v>8858</v>
      </c>
      <c r="F8861">
        <f t="shared" ca="1" si="140"/>
        <v>1.377222378654761E-2</v>
      </c>
    </row>
    <row r="8862" spans="5:6" x14ac:dyDescent="0.35">
      <c r="E8862">
        <v>8859</v>
      </c>
      <c r="F8862">
        <f t="shared" ca="1" si="140"/>
        <v>1.5225721699235572E-2</v>
      </c>
    </row>
    <row r="8863" spans="5:6" x14ac:dyDescent="0.35">
      <c r="E8863">
        <v>8860</v>
      </c>
      <c r="F8863">
        <f t="shared" ca="1" si="140"/>
        <v>-5.0322079616848116E-4</v>
      </c>
    </row>
    <row r="8864" spans="5:6" x14ac:dyDescent="0.35">
      <c r="E8864">
        <v>8861</v>
      </c>
      <c r="F8864">
        <f t="shared" ca="1" si="140"/>
        <v>2.1837428194544442E-2</v>
      </c>
    </row>
    <row r="8865" spans="5:6" x14ac:dyDescent="0.35">
      <c r="E8865">
        <v>8862</v>
      </c>
      <c r="F8865">
        <f t="shared" ca="1" si="140"/>
        <v>-2.1825249149163882E-3</v>
      </c>
    </row>
    <row r="8866" spans="5:6" x14ac:dyDescent="0.35">
      <c r="E8866">
        <v>8863</v>
      </c>
      <c r="F8866">
        <f t="shared" ca="1" si="140"/>
        <v>-7.3696247358489902E-3</v>
      </c>
    </row>
    <row r="8867" spans="5:6" x14ac:dyDescent="0.35">
      <c r="E8867">
        <v>8864</v>
      </c>
      <c r="F8867">
        <f t="shared" ca="1" si="140"/>
        <v>6.195818133830638E-3</v>
      </c>
    </row>
    <row r="8868" spans="5:6" x14ac:dyDescent="0.35">
      <c r="E8868">
        <v>8865</v>
      </c>
      <c r="F8868">
        <f t="shared" ca="1" si="140"/>
        <v>-1.7626860314457794E-2</v>
      </c>
    </row>
    <row r="8869" spans="5:6" x14ac:dyDescent="0.35">
      <c r="E8869">
        <v>8866</v>
      </c>
      <c r="F8869">
        <f t="shared" ca="1" si="140"/>
        <v>1.4776107184908335E-3</v>
      </c>
    </row>
    <row r="8870" spans="5:6" x14ac:dyDescent="0.35">
      <c r="E8870">
        <v>8867</v>
      </c>
      <c r="F8870">
        <f t="shared" ca="1" si="140"/>
        <v>-1.9851985937559685E-2</v>
      </c>
    </row>
    <row r="8871" spans="5:6" x14ac:dyDescent="0.35">
      <c r="E8871">
        <v>8868</v>
      </c>
      <c r="F8871">
        <f t="shared" ca="1" si="140"/>
        <v>1.8062906001179251E-2</v>
      </c>
    </row>
    <row r="8872" spans="5:6" x14ac:dyDescent="0.35">
      <c r="E8872">
        <v>8869</v>
      </c>
      <c r="F8872">
        <f t="shared" ca="1" si="140"/>
        <v>-2.3425672281411802E-2</v>
      </c>
    </row>
    <row r="8873" spans="5:6" x14ac:dyDescent="0.35">
      <c r="E8873">
        <v>8870</v>
      </c>
      <c r="F8873">
        <f t="shared" ca="1" si="140"/>
        <v>2.0041708035686899E-3</v>
      </c>
    </row>
    <row r="8874" spans="5:6" x14ac:dyDescent="0.35">
      <c r="E8874">
        <v>8871</v>
      </c>
      <c r="F8874">
        <f t="shared" ca="1" si="140"/>
        <v>9.318564376220086E-3</v>
      </c>
    </row>
    <row r="8875" spans="5:6" x14ac:dyDescent="0.35">
      <c r="E8875">
        <v>8872</v>
      </c>
      <c r="F8875">
        <f t="shared" ca="1" si="140"/>
        <v>1.9173584866388998E-3</v>
      </c>
    </row>
    <row r="8876" spans="5:6" x14ac:dyDescent="0.35">
      <c r="E8876">
        <v>8873</v>
      </c>
      <c r="F8876">
        <f t="shared" ca="1" si="140"/>
        <v>6.8509147492110947E-3</v>
      </c>
    </row>
    <row r="8877" spans="5:6" x14ac:dyDescent="0.35">
      <c r="E8877">
        <v>8874</v>
      </c>
      <c r="F8877">
        <f t="shared" ca="1" si="140"/>
        <v>2.881971215434783E-3</v>
      </c>
    </row>
    <row r="8878" spans="5:6" x14ac:dyDescent="0.35">
      <c r="E8878">
        <v>8875</v>
      </c>
      <c r="F8878">
        <f t="shared" ca="1" si="140"/>
        <v>2.0513928137630626E-2</v>
      </c>
    </row>
    <row r="8879" spans="5:6" x14ac:dyDescent="0.35">
      <c r="E8879">
        <v>8876</v>
      </c>
      <c r="F8879">
        <f t="shared" ca="1" si="140"/>
        <v>1.0116805969583658E-2</v>
      </c>
    </row>
    <row r="8880" spans="5:6" x14ac:dyDescent="0.35">
      <c r="E8880">
        <v>8877</v>
      </c>
      <c r="F8880">
        <f t="shared" ca="1" si="140"/>
        <v>2.1196902508487665E-2</v>
      </c>
    </row>
    <row r="8881" spans="5:6" x14ac:dyDescent="0.35">
      <c r="E8881">
        <v>8878</v>
      </c>
      <c r="F8881">
        <f t="shared" ca="1" si="140"/>
        <v>-1.3764431684431401E-2</v>
      </c>
    </row>
    <row r="8882" spans="5:6" x14ac:dyDescent="0.35">
      <c r="E8882">
        <v>8879</v>
      </c>
      <c r="F8882">
        <f t="shared" ca="1" si="140"/>
        <v>-4.1836325099135974E-4</v>
      </c>
    </row>
    <row r="8883" spans="5:6" x14ac:dyDescent="0.35">
      <c r="E8883">
        <v>8880</v>
      </c>
      <c r="F8883">
        <f t="shared" ca="1" si="140"/>
        <v>8.8692778803946166E-3</v>
      </c>
    </row>
    <row r="8884" spans="5:6" x14ac:dyDescent="0.35">
      <c r="E8884">
        <v>8881</v>
      </c>
      <c r="F8884">
        <f t="shared" ca="1" si="140"/>
        <v>-5.7093216763033257E-3</v>
      </c>
    </row>
    <row r="8885" spans="5:6" x14ac:dyDescent="0.35">
      <c r="E8885">
        <v>8882</v>
      </c>
      <c r="F8885">
        <f t="shared" ca="1" si="140"/>
        <v>1.4225407587389216E-2</v>
      </c>
    </row>
    <row r="8886" spans="5:6" x14ac:dyDescent="0.35">
      <c r="E8886">
        <v>8883</v>
      </c>
      <c r="F8886">
        <f t="shared" ca="1" si="140"/>
        <v>1.0300872731331671E-2</v>
      </c>
    </row>
    <row r="8887" spans="5:6" x14ac:dyDescent="0.35">
      <c r="E8887">
        <v>8884</v>
      </c>
      <c r="F8887">
        <f t="shared" ca="1" si="140"/>
        <v>1.5861482680807503E-4</v>
      </c>
    </row>
    <row r="8888" spans="5:6" x14ac:dyDescent="0.35">
      <c r="E8888">
        <v>8885</v>
      </c>
      <c r="F8888">
        <f t="shared" ca="1" si="140"/>
        <v>-1.2145847121790329E-2</v>
      </c>
    </row>
    <row r="8889" spans="5:6" x14ac:dyDescent="0.35">
      <c r="E8889">
        <v>8886</v>
      </c>
      <c r="F8889">
        <f t="shared" ca="1" si="140"/>
        <v>1.8990388565813449E-2</v>
      </c>
    </row>
    <row r="8890" spans="5:6" x14ac:dyDescent="0.35">
      <c r="E8890">
        <v>8887</v>
      </c>
      <c r="F8890">
        <f t="shared" ca="1" si="140"/>
        <v>-1.496191708458027E-2</v>
      </c>
    </row>
    <row r="8891" spans="5:6" x14ac:dyDescent="0.35">
      <c r="E8891">
        <v>8888</v>
      </c>
      <c r="F8891">
        <f t="shared" ca="1" si="140"/>
        <v>7.8869676182944885E-3</v>
      </c>
    </row>
    <row r="8892" spans="5:6" x14ac:dyDescent="0.35">
      <c r="E8892">
        <v>8889</v>
      </c>
      <c r="F8892">
        <f t="shared" ca="1" si="140"/>
        <v>-1.2835882852227044E-3</v>
      </c>
    </row>
    <row r="8893" spans="5:6" x14ac:dyDescent="0.35">
      <c r="E8893">
        <v>8890</v>
      </c>
      <c r="F8893">
        <f t="shared" ca="1" si="140"/>
        <v>4.183517736666034E-4</v>
      </c>
    </row>
    <row r="8894" spans="5:6" x14ac:dyDescent="0.35">
      <c r="E8894">
        <v>8891</v>
      </c>
      <c r="F8894">
        <f t="shared" ca="1" si="140"/>
        <v>2.0510861874451905E-2</v>
      </c>
    </row>
    <row r="8895" spans="5:6" x14ac:dyDescent="0.35">
      <c r="E8895">
        <v>8892</v>
      </c>
      <c r="F8895">
        <f t="shared" ca="1" si="140"/>
        <v>-1.3718998893454376E-3</v>
      </c>
    </row>
    <row r="8896" spans="5:6" x14ac:dyDescent="0.35">
      <c r="E8896">
        <v>8893</v>
      </c>
      <c r="F8896">
        <f t="shared" ca="1" si="140"/>
        <v>9.352555683767444E-3</v>
      </c>
    </row>
    <row r="8897" spans="5:6" x14ac:dyDescent="0.35">
      <c r="E8897">
        <v>8894</v>
      </c>
      <c r="F8897">
        <f t="shared" ca="1" si="140"/>
        <v>5.5319417726489156E-3</v>
      </c>
    </row>
    <row r="8898" spans="5:6" x14ac:dyDescent="0.35">
      <c r="E8898">
        <v>8895</v>
      </c>
      <c r="F8898">
        <f t="shared" ca="1" si="140"/>
        <v>-1.4083637968360416E-2</v>
      </c>
    </row>
    <row r="8899" spans="5:6" x14ac:dyDescent="0.35">
      <c r="E8899">
        <v>8896</v>
      </c>
      <c r="F8899">
        <f t="shared" ca="1" si="140"/>
        <v>1.1193092056920886E-2</v>
      </c>
    </row>
    <row r="8900" spans="5:6" x14ac:dyDescent="0.35">
      <c r="E8900">
        <v>8897</v>
      </c>
      <c r="F8900">
        <f t="shared" ca="1" si="140"/>
        <v>-4.6502601868649556E-3</v>
      </c>
    </row>
    <row r="8901" spans="5:6" x14ac:dyDescent="0.35">
      <c r="E8901">
        <v>8898</v>
      </c>
      <c r="F8901">
        <f t="shared" ref="F8901:F8964" ca="1" si="141">_xlfn.NORM.INV(RAND(),M$6,M$7)</f>
        <v>1.7620313433461054E-2</v>
      </c>
    </row>
    <row r="8902" spans="5:6" x14ac:dyDescent="0.35">
      <c r="E8902">
        <v>8899</v>
      </c>
      <c r="F8902">
        <f t="shared" ca="1" si="141"/>
        <v>-8.5187900541143263E-4</v>
      </c>
    </row>
    <row r="8903" spans="5:6" x14ac:dyDescent="0.35">
      <c r="E8903">
        <v>8900</v>
      </c>
      <c r="F8903">
        <f t="shared" ca="1" si="141"/>
        <v>-9.4178491724280777E-3</v>
      </c>
    </row>
    <row r="8904" spans="5:6" x14ac:dyDescent="0.35">
      <c r="E8904">
        <v>8901</v>
      </c>
      <c r="F8904">
        <f t="shared" ca="1" si="141"/>
        <v>-2.0213106549599111E-2</v>
      </c>
    </row>
    <row r="8905" spans="5:6" x14ac:dyDescent="0.35">
      <c r="E8905">
        <v>8902</v>
      </c>
      <c r="F8905">
        <f t="shared" ca="1" si="141"/>
        <v>1.6188945930543302E-2</v>
      </c>
    </row>
    <row r="8906" spans="5:6" x14ac:dyDescent="0.35">
      <c r="E8906">
        <v>8903</v>
      </c>
      <c r="F8906">
        <f t="shared" ca="1" si="141"/>
        <v>1.2828256732747352E-2</v>
      </c>
    </row>
    <row r="8907" spans="5:6" x14ac:dyDescent="0.35">
      <c r="E8907">
        <v>8904</v>
      </c>
      <c r="F8907">
        <f t="shared" ca="1" si="141"/>
        <v>-8.8559598381881804E-3</v>
      </c>
    </row>
    <row r="8908" spans="5:6" x14ac:dyDescent="0.35">
      <c r="E8908">
        <v>8905</v>
      </c>
      <c r="F8908">
        <f t="shared" ca="1" si="141"/>
        <v>1.0535369344933094E-2</v>
      </c>
    </row>
    <row r="8909" spans="5:6" x14ac:dyDescent="0.35">
      <c r="E8909">
        <v>8906</v>
      </c>
      <c r="F8909">
        <f t="shared" ca="1" si="141"/>
        <v>1.943366734229434E-2</v>
      </c>
    </row>
    <row r="8910" spans="5:6" x14ac:dyDescent="0.35">
      <c r="E8910">
        <v>8907</v>
      </c>
      <c r="F8910">
        <f t="shared" ca="1" si="141"/>
        <v>-5.049829008869325E-4</v>
      </c>
    </row>
    <row r="8911" spans="5:6" x14ac:dyDescent="0.35">
      <c r="E8911">
        <v>8908</v>
      </c>
      <c r="F8911">
        <f t="shared" ca="1" si="141"/>
        <v>-5.6484873877468405E-3</v>
      </c>
    </row>
    <row r="8912" spans="5:6" x14ac:dyDescent="0.35">
      <c r="E8912">
        <v>8909</v>
      </c>
      <c r="F8912">
        <f t="shared" ca="1" si="141"/>
        <v>-2.6134197691505226E-2</v>
      </c>
    </row>
    <row r="8913" spans="5:6" x14ac:dyDescent="0.35">
      <c r="E8913">
        <v>8910</v>
      </c>
      <c r="F8913">
        <f t="shared" ca="1" si="141"/>
        <v>-8.926097289572164E-3</v>
      </c>
    </row>
    <row r="8914" spans="5:6" x14ac:dyDescent="0.35">
      <c r="E8914">
        <v>8911</v>
      </c>
      <c r="F8914">
        <f t="shared" ca="1" si="141"/>
        <v>1.9637177207156537E-2</v>
      </c>
    </row>
    <row r="8915" spans="5:6" x14ac:dyDescent="0.35">
      <c r="E8915">
        <v>8912</v>
      </c>
      <c r="F8915">
        <f t="shared" ca="1" si="141"/>
        <v>-1.7178352703462466E-2</v>
      </c>
    </row>
    <row r="8916" spans="5:6" x14ac:dyDescent="0.35">
      <c r="E8916">
        <v>8913</v>
      </c>
      <c r="F8916">
        <f t="shared" ca="1" si="141"/>
        <v>2.1130112677670804E-2</v>
      </c>
    </row>
    <row r="8917" spans="5:6" x14ac:dyDescent="0.35">
      <c r="E8917">
        <v>8914</v>
      </c>
      <c r="F8917">
        <f t="shared" ca="1" si="141"/>
        <v>1.1229613246792744E-2</v>
      </c>
    </row>
    <row r="8918" spans="5:6" x14ac:dyDescent="0.35">
      <c r="E8918">
        <v>8915</v>
      </c>
      <c r="F8918">
        <f t="shared" ca="1" si="141"/>
        <v>1.5640220523070565E-3</v>
      </c>
    </row>
    <row r="8919" spans="5:6" x14ac:dyDescent="0.35">
      <c r="E8919">
        <v>8916</v>
      </c>
      <c r="F8919">
        <f t="shared" ca="1" si="141"/>
        <v>-1.8404319523854379E-2</v>
      </c>
    </row>
    <row r="8920" spans="5:6" x14ac:dyDescent="0.35">
      <c r="E8920">
        <v>8917</v>
      </c>
      <c r="F8920">
        <f t="shared" ca="1" si="141"/>
        <v>2.7545128275981946E-3</v>
      </c>
    </row>
    <row r="8921" spans="5:6" x14ac:dyDescent="0.35">
      <c r="E8921">
        <v>8918</v>
      </c>
      <c r="F8921">
        <f t="shared" ca="1" si="141"/>
        <v>1.5731470534362635E-2</v>
      </c>
    </row>
    <row r="8922" spans="5:6" x14ac:dyDescent="0.35">
      <c r="E8922">
        <v>8919</v>
      </c>
      <c r="F8922">
        <f t="shared" ca="1" si="141"/>
        <v>1.5155072429343421E-2</v>
      </c>
    </row>
    <row r="8923" spans="5:6" x14ac:dyDescent="0.35">
      <c r="E8923">
        <v>8920</v>
      </c>
      <c r="F8923">
        <f t="shared" ca="1" si="141"/>
        <v>-2.8754473196058606E-2</v>
      </c>
    </row>
    <row r="8924" spans="5:6" x14ac:dyDescent="0.35">
      <c r="E8924">
        <v>8921</v>
      </c>
      <c r="F8924">
        <f t="shared" ca="1" si="141"/>
        <v>-1.0096366186820532E-3</v>
      </c>
    </row>
    <row r="8925" spans="5:6" x14ac:dyDescent="0.35">
      <c r="E8925">
        <v>8922</v>
      </c>
      <c r="F8925">
        <f t="shared" ca="1" si="141"/>
        <v>-9.058718208430936E-3</v>
      </c>
    </row>
    <row r="8926" spans="5:6" x14ac:dyDescent="0.35">
      <c r="E8926">
        <v>8923</v>
      </c>
      <c r="F8926">
        <f t="shared" ca="1" si="141"/>
        <v>1.0398728970250513E-2</v>
      </c>
    </row>
    <row r="8927" spans="5:6" x14ac:dyDescent="0.35">
      <c r="E8927">
        <v>8924</v>
      </c>
      <c r="F8927">
        <f t="shared" ca="1" si="141"/>
        <v>8.4757403548335088E-3</v>
      </c>
    </row>
    <row r="8928" spans="5:6" x14ac:dyDescent="0.35">
      <c r="E8928">
        <v>8925</v>
      </c>
      <c r="F8928">
        <f t="shared" ca="1" si="141"/>
        <v>2.5353976542626389E-3</v>
      </c>
    </row>
    <row r="8929" spans="5:6" x14ac:dyDescent="0.35">
      <c r="E8929">
        <v>8926</v>
      </c>
      <c r="F8929">
        <f t="shared" ca="1" si="141"/>
        <v>-7.6848701371514689E-3</v>
      </c>
    </row>
    <row r="8930" spans="5:6" x14ac:dyDescent="0.35">
      <c r="E8930">
        <v>8927</v>
      </c>
      <c r="F8930">
        <f t="shared" ca="1" si="141"/>
        <v>1.1056096464199801E-2</v>
      </c>
    </row>
    <row r="8931" spans="5:6" x14ac:dyDescent="0.35">
      <c r="E8931">
        <v>8928</v>
      </c>
      <c r="F8931">
        <f t="shared" ca="1" si="141"/>
        <v>2.2578658561020325E-2</v>
      </c>
    </row>
    <row r="8932" spans="5:6" x14ac:dyDescent="0.35">
      <c r="E8932">
        <v>8929</v>
      </c>
      <c r="F8932">
        <f t="shared" ca="1" si="141"/>
        <v>-9.3285102074593049E-3</v>
      </c>
    </row>
    <row r="8933" spans="5:6" x14ac:dyDescent="0.35">
      <c r="E8933">
        <v>8930</v>
      </c>
      <c r="F8933">
        <f t="shared" ca="1" si="141"/>
        <v>-5.7660271886086347E-4</v>
      </c>
    </row>
    <row r="8934" spans="5:6" x14ac:dyDescent="0.35">
      <c r="E8934">
        <v>8931</v>
      </c>
      <c r="F8934">
        <f t="shared" ca="1" si="141"/>
        <v>-3.632860639533564E-3</v>
      </c>
    </row>
    <row r="8935" spans="5:6" x14ac:dyDescent="0.35">
      <c r="E8935">
        <v>8932</v>
      </c>
      <c r="F8935">
        <f t="shared" ca="1" si="141"/>
        <v>2.5337259241510725E-2</v>
      </c>
    </row>
    <row r="8936" spans="5:6" x14ac:dyDescent="0.35">
      <c r="E8936">
        <v>8933</v>
      </c>
      <c r="F8936">
        <f t="shared" ca="1" si="141"/>
        <v>-1.1787629724402799E-3</v>
      </c>
    </row>
    <row r="8937" spans="5:6" x14ac:dyDescent="0.35">
      <c r="E8937">
        <v>8934</v>
      </c>
      <c r="F8937">
        <f t="shared" ca="1" si="141"/>
        <v>7.7366228189014834E-3</v>
      </c>
    </row>
    <row r="8938" spans="5:6" x14ac:dyDescent="0.35">
      <c r="E8938">
        <v>8935</v>
      </c>
      <c r="F8938">
        <f t="shared" ca="1" si="141"/>
        <v>-1.3402195289004493E-2</v>
      </c>
    </row>
    <row r="8939" spans="5:6" x14ac:dyDescent="0.35">
      <c r="E8939">
        <v>8936</v>
      </c>
      <c r="F8939">
        <f t="shared" ca="1" si="141"/>
        <v>7.9925385389663754E-3</v>
      </c>
    </row>
    <row r="8940" spans="5:6" x14ac:dyDescent="0.35">
      <c r="E8940">
        <v>8937</v>
      </c>
      <c r="F8940">
        <f t="shared" ca="1" si="141"/>
        <v>2.5435333239222369E-2</v>
      </c>
    </row>
    <row r="8941" spans="5:6" x14ac:dyDescent="0.35">
      <c r="E8941">
        <v>8938</v>
      </c>
      <c r="F8941">
        <f t="shared" ca="1" si="141"/>
        <v>1.2459042610451531E-2</v>
      </c>
    </row>
    <row r="8942" spans="5:6" x14ac:dyDescent="0.35">
      <c r="E8942">
        <v>8939</v>
      </c>
      <c r="F8942">
        <f t="shared" ca="1" si="141"/>
        <v>2.1383099331257118E-2</v>
      </c>
    </row>
    <row r="8943" spans="5:6" x14ac:dyDescent="0.35">
      <c r="E8943">
        <v>8940</v>
      </c>
      <c r="F8943">
        <f t="shared" ca="1" si="141"/>
        <v>-8.3057395519254736E-3</v>
      </c>
    </row>
    <row r="8944" spans="5:6" x14ac:dyDescent="0.35">
      <c r="E8944">
        <v>8941</v>
      </c>
      <c r="F8944">
        <f t="shared" ca="1" si="141"/>
        <v>-5.593696273724488E-3</v>
      </c>
    </row>
    <row r="8945" spans="5:6" x14ac:dyDescent="0.35">
      <c r="E8945">
        <v>8942</v>
      </c>
      <c r="F8945">
        <f t="shared" ca="1" si="141"/>
        <v>5.8599320968837545E-3</v>
      </c>
    </row>
    <row r="8946" spans="5:6" x14ac:dyDescent="0.35">
      <c r="E8946">
        <v>8943</v>
      </c>
      <c r="F8946">
        <f t="shared" ca="1" si="141"/>
        <v>9.8842757842187903E-3</v>
      </c>
    </row>
    <row r="8947" spans="5:6" x14ac:dyDescent="0.35">
      <c r="E8947">
        <v>8944</v>
      </c>
      <c r="F8947">
        <f t="shared" ca="1" si="141"/>
        <v>-2.9673299871744489E-2</v>
      </c>
    </row>
    <row r="8948" spans="5:6" x14ac:dyDescent="0.35">
      <c r="E8948">
        <v>8945</v>
      </c>
      <c r="F8948">
        <f t="shared" ca="1" si="141"/>
        <v>1.0785973957209549E-3</v>
      </c>
    </row>
    <row r="8949" spans="5:6" x14ac:dyDescent="0.35">
      <c r="E8949">
        <v>8946</v>
      </c>
      <c r="F8949">
        <f t="shared" ca="1" si="141"/>
        <v>-2.8223891451941671E-4</v>
      </c>
    </row>
    <row r="8950" spans="5:6" x14ac:dyDescent="0.35">
      <c r="E8950">
        <v>8947</v>
      </c>
      <c r="F8950">
        <f t="shared" ca="1" si="141"/>
        <v>-1.3530400165546084E-2</v>
      </c>
    </row>
    <row r="8951" spans="5:6" x14ac:dyDescent="0.35">
      <c r="E8951">
        <v>8948</v>
      </c>
      <c r="F8951">
        <f t="shared" ca="1" si="141"/>
        <v>-1.2710956271547894E-2</v>
      </c>
    </row>
    <row r="8952" spans="5:6" x14ac:dyDescent="0.35">
      <c r="E8952">
        <v>8949</v>
      </c>
      <c r="F8952">
        <f t="shared" ca="1" si="141"/>
        <v>-1.1317647067840188E-2</v>
      </c>
    </row>
    <row r="8953" spans="5:6" x14ac:dyDescent="0.35">
      <c r="E8953">
        <v>8950</v>
      </c>
      <c r="F8953">
        <f t="shared" ca="1" si="141"/>
        <v>-3.1977265781975763E-3</v>
      </c>
    </row>
    <row r="8954" spans="5:6" x14ac:dyDescent="0.35">
      <c r="E8954">
        <v>8951</v>
      </c>
      <c r="F8954">
        <f t="shared" ca="1" si="141"/>
        <v>6.6147745005201196E-3</v>
      </c>
    </row>
    <row r="8955" spans="5:6" x14ac:dyDescent="0.35">
      <c r="E8955">
        <v>8952</v>
      </c>
      <c r="F8955">
        <f t="shared" ca="1" si="141"/>
        <v>-5.7935801788092925E-3</v>
      </c>
    </row>
    <row r="8956" spans="5:6" x14ac:dyDescent="0.35">
      <c r="E8956">
        <v>8953</v>
      </c>
      <c r="F8956">
        <f t="shared" ca="1" si="141"/>
        <v>2.199276012857113E-3</v>
      </c>
    </row>
    <row r="8957" spans="5:6" x14ac:dyDescent="0.35">
      <c r="E8957">
        <v>8954</v>
      </c>
      <c r="F8957">
        <f t="shared" ca="1" si="141"/>
        <v>-1.8037681782382516E-2</v>
      </c>
    </row>
    <row r="8958" spans="5:6" x14ac:dyDescent="0.35">
      <c r="E8958">
        <v>8955</v>
      </c>
      <c r="F8958">
        <f t="shared" ca="1" si="141"/>
        <v>1.9020960480551435E-2</v>
      </c>
    </row>
    <row r="8959" spans="5:6" x14ac:dyDescent="0.35">
      <c r="E8959">
        <v>8956</v>
      </c>
      <c r="F8959">
        <f t="shared" ca="1" si="141"/>
        <v>2.9222576737731134E-4</v>
      </c>
    </row>
    <row r="8960" spans="5:6" x14ac:dyDescent="0.35">
      <c r="E8960">
        <v>8957</v>
      </c>
      <c r="F8960">
        <f t="shared" ca="1" si="141"/>
        <v>-1.0114898739456578E-2</v>
      </c>
    </row>
    <row r="8961" spans="5:6" x14ac:dyDescent="0.35">
      <c r="E8961">
        <v>8958</v>
      </c>
      <c r="F8961">
        <f t="shared" ca="1" si="141"/>
        <v>8.8267217563445608E-3</v>
      </c>
    </row>
    <row r="8962" spans="5:6" x14ac:dyDescent="0.35">
      <c r="E8962">
        <v>8959</v>
      </c>
      <c r="F8962">
        <f t="shared" ca="1" si="141"/>
        <v>8.7060330415831815E-3</v>
      </c>
    </row>
    <row r="8963" spans="5:6" x14ac:dyDescent="0.35">
      <c r="E8963">
        <v>8960</v>
      </c>
      <c r="F8963">
        <f t="shared" ca="1" si="141"/>
        <v>-2.0301661980450486E-3</v>
      </c>
    </row>
    <row r="8964" spans="5:6" x14ac:dyDescent="0.35">
      <c r="E8964">
        <v>8961</v>
      </c>
      <c r="F8964">
        <f t="shared" ca="1" si="141"/>
        <v>-5.7249493530012732E-3</v>
      </c>
    </row>
    <row r="8965" spans="5:6" x14ac:dyDescent="0.35">
      <c r="E8965">
        <v>8962</v>
      </c>
      <c r="F8965">
        <f t="shared" ref="F8965:F9028" ca="1" si="142">_xlfn.NORM.INV(RAND(),M$6,M$7)</f>
        <v>1.6798806525846786E-2</v>
      </c>
    </row>
    <row r="8966" spans="5:6" x14ac:dyDescent="0.35">
      <c r="E8966">
        <v>8963</v>
      </c>
      <c r="F8966">
        <f t="shared" ca="1" si="142"/>
        <v>2.8318619407220903E-2</v>
      </c>
    </row>
    <row r="8967" spans="5:6" x14ac:dyDescent="0.35">
      <c r="E8967">
        <v>8964</v>
      </c>
      <c r="F8967">
        <f t="shared" ca="1" si="142"/>
        <v>-1.0164050558947282E-2</v>
      </c>
    </row>
    <row r="8968" spans="5:6" x14ac:dyDescent="0.35">
      <c r="E8968">
        <v>8965</v>
      </c>
      <c r="F8968">
        <f t="shared" ca="1" si="142"/>
        <v>-6.5388617769415454E-4</v>
      </c>
    </row>
    <row r="8969" spans="5:6" x14ac:dyDescent="0.35">
      <c r="E8969">
        <v>8966</v>
      </c>
      <c r="F8969">
        <f t="shared" ca="1" si="142"/>
        <v>-1.4063034585717461E-3</v>
      </c>
    </row>
    <row r="8970" spans="5:6" x14ac:dyDescent="0.35">
      <c r="E8970">
        <v>8967</v>
      </c>
      <c r="F8970">
        <f t="shared" ca="1" si="142"/>
        <v>-9.3231607366037954E-4</v>
      </c>
    </row>
    <row r="8971" spans="5:6" x14ac:dyDescent="0.35">
      <c r="E8971">
        <v>8968</v>
      </c>
      <c r="F8971">
        <f t="shared" ca="1" si="142"/>
        <v>2.9147897695903233E-2</v>
      </c>
    </row>
    <row r="8972" spans="5:6" x14ac:dyDescent="0.35">
      <c r="E8972">
        <v>8969</v>
      </c>
      <c r="F8972">
        <f t="shared" ca="1" si="142"/>
        <v>3.9131521294528656E-3</v>
      </c>
    </row>
    <row r="8973" spans="5:6" x14ac:dyDescent="0.35">
      <c r="E8973">
        <v>8970</v>
      </c>
      <c r="F8973">
        <f t="shared" ca="1" si="142"/>
        <v>1.1202200427102491E-2</v>
      </c>
    </row>
    <row r="8974" spans="5:6" x14ac:dyDescent="0.35">
      <c r="E8974">
        <v>8971</v>
      </c>
      <c r="F8974">
        <f t="shared" ca="1" si="142"/>
        <v>1.0153746208982281E-2</v>
      </c>
    </row>
    <row r="8975" spans="5:6" x14ac:dyDescent="0.35">
      <c r="E8975">
        <v>8972</v>
      </c>
      <c r="F8975">
        <f t="shared" ca="1" si="142"/>
        <v>2.0379768052174187E-3</v>
      </c>
    </row>
    <row r="8976" spans="5:6" x14ac:dyDescent="0.35">
      <c r="E8976">
        <v>8973</v>
      </c>
      <c r="F8976">
        <f t="shared" ca="1" si="142"/>
        <v>-6.9449673854579145E-3</v>
      </c>
    </row>
    <row r="8977" spans="5:6" x14ac:dyDescent="0.35">
      <c r="E8977">
        <v>8974</v>
      </c>
      <c r="F8977">
        <f t="shared" ca="1" si="142"/>
        <v>-2.5061963859635179E-2</v>
      </c>
    </row>
    <row r="8978" spans="5:6" x14ac:dyDescent="0.35">
      <c r="E8978">
        <v>8975</v>
      </c>
      <c r="F8978">
        <f t="shared" ca="1" si="142"/>
        <v>-5.3759872616892463E-3</v>
      </c>
    </row>
    <row r="8979" spans="5:6" x14ac:dyDescent="0.35">
      <c r="E8979">
        <v>8976</v>
      </c>
      <c r="F8979">
        <f t="shared" ca="1" si="142"/>
        <v>6.599609504327772E-4</v>
      </c>
    </row>
    <row r="8980" spans="5:6" x14ac:dyDescent="0.35">
      <c r="E8980">
        <v>8977</v>
      </c>
      <c r="F8980">
        <f t="shared" ca="1" si="142"/>
        <v>-7.5948249059577914E-3</v>
      </c>
    </row>
    <row r="8981" spans="5:6" x14ac:dyDescent="0.35">
      <c r="E8981">
        <v>8978</v>
      </c>
      <c r="F8981">
        <f t="shared" ca="1" si="142"/>
        <v>-2.5865152636333648E-4</v>
      </c>
    </row>
    <row r="8982" spans="5:6" x14ac:dyDescent="0.35">
      <c r="E8982">
        <v>8979</v>
      </c>
      <c r="F8982">
        <f t="shared" ca="1" si="142"/>
        <v>-3.190123444851731E-3</v>
      </c>
    </row>
    <row r="8983" spans="5:6" x14ac:dyDescent="0.35">
      <c r="E8983">
        <v>8980</v>
      </c>
      <c r="F8983">
        <f t="shared" ca="1" si="142"/>
        <v>2.3872776892654235E-3</v>
      </c>
    </row>
    <row r="8984" spans="5:6" x14ac:dyDescent="0.35">
      <c r="E8984">
        <v>8981</v>
      </c>
      <c r="F8984">
        <f t="shared" ca="1" si="142"/>
        <v>1.5837791919095758E-2</v>
      </c>
    </row>
    <row r="8985" spans="5:6" x14ac:dyDescent="0.35">
      <c r="E8985">
        <v>8982</v>
      </c>
      <c r="F8985">
        <f t="shared" ca="1" si="142"/>
        <v>1.0800426480602211E-2</v>
      </c>
    </row>
    <row r="8986" spans="5:6" x14ac:dyDescent="0.35">
      <c r="E8986">
        <v>8983</v>
      </c>
      <c r="F8986">
        <f t="shared" ca="1" si="142"/>
        <v>8.0576426240364582E-3</v>
      </c>
    </row>
    <row r="8987" spans="5:6" x14ac:dyDescent="0.35">
      <c r="E8987">
        <v>8984</v>
      </c>
      <c r="F8987">
        <f t="shared" ca="1" si="142"/>
        <v>6.5824445689301085E-3</v>
      </c>
    </row>
    <row r="8988" spans="5:6" x14ac:dyDescent="0.35">
      <c r="E8988">
        <v>8985</v>
      </c>
      <c r="F8988">
        <f t="shared" ca="1" si="142"/>
        <v>2.0194344239166846E-2</v>
      </c>
    </row>
    <row r="8989" spans="5:6" x14ac:dyDescent="0.35">
      <c r="E8989">
        <v>8986</v>
      </c>
      <c r="F8989">
        <f t="shared" ca="1" si="142"/>
        <v>-3.6807305784284997E-3</v>
      </c>
    </row>
    <row r="8990" spans="5:6" x14ac:dyDescent="0.35">
      <c r="E8990">
        <v>8987</v>
      </c>
      <c r="F8990">
        <f t="shared" ca="1" si="142"/>
        <v>6.3806470111284963E-3</v>
      </c>
    </row>
    <row r="8991" spans="5:6" x14ac:dyDescent="0.35">
      <c r="E8991">
        <v>8988</v>
      </c>
      <c r="F8991">
        <f t="shared" ca="1" si="142"/>
        <v>-1.5383818635173709E-2</v>
      </c>
    </row>
    <row r="8992" spans="5:6" x14ac:dyDescent="0.35">
      <c r="E8992">
        <v>8989</v>
      </c>
      <c r="F8992">
        <f t="shared" ca="1" si="142"/>
        <v>-1.3003645318637857E-2</v>
      </c>
    </row>
    <row r="8993" spans="5:6" x14ac:dyDescent="0.35">
      <c r="E8993">
        <v>8990</v>
      </c>
      <c r="F8993">
        <f t="shared" ca="1" si="142"/>
        <v>-1.9662011877515657E-2</v>
      </c>
    </row>
    <row r="8994" spans="5:6" x14ac:dyDescent="0.35">
      <c r="E8994">
        <v>8991</v>
      </c>
      <c r="F8994">
        <f t="shared" ca="1" si="142"/>
        <v>8.4642888364250529E-3</v>
      </c>
    </row>
    <row r="8995" spans="5:6" x14ac:dyDescent="0.35">
      <c r="E8995">
        <v>8992</v>
      </c>
      <c r="F8995">
        <f t="shared" ca="1" si="142"/>
        <v>-2.8133296201868829E-2</v>
      </c>
    </row>
    <row r="8996" spans="5:6" x14ac:dyDescent="0.35">
      <c r="E8996">
        <v>8993</v>
      </c>
      <c r="F8996">
        <f t="shared" ca="1" si="142"/>
        <v>1.5152272470007451E-2</v>
      </c>
    </row>
    <row r="8997" spans="5:6" x14ac:dyDescent="0.35">
      <c r="E8997">
        <v>8994</v>
      </c>
      <c r="F8997">
        <f t="shared" ca="1" si="142"/>
        <v>1.0764319034928362E-3</v>
      </c>
    </row>
    <row r="8998" spans="5:6" x14ac:dyDescent="0.35">
      <c r="E8998">
        <v>8995</v>
      </c>
      <c r="F8998">
        <f t="shared" ca="1" si="142"/>
        <v>2.0985805634344046E-2</v>
      </c>
    </row>
    <row r="8999" spans="5:6" x14ac:dyDescent="0.35">
      <c r="E8999">
        <v>8996</v>
      </c>
      <c r="F8999">
        <f t="shared" ca="1" si="142"/>
        <v>3.0556230797757163E-3</v>
      </c>
    </row>
    <row r="9000" spans="5:6" x14ac:dyDescent="0.35">
      <c r="E9000">
        <v>8997</v>
      </c>
      <c r="F9000">
        <f t="shared" ca="1" si="142"/>
        <v>-2.7068538369769495E-3</v>
      </c>
    </row>
    <row r="9001" spans="5:6" x14ac:dyDescent="0.35">
      <c r="E9001">
        <v>8998</v>
      </c>
      <c r="F9001">
        <f t="shared" ca="1" si="142"/>
        <v>-8.380187507008599E-3</v>
      </c>
    </row>
    <row r="9002" spans="5:6" x14ac:dyDescent="0.35">
      <c r="E9002">
        <v>8999</v>
      </c>
      <c r="F9002">
        <f t="shared" ca="1" si="142"/>
        <v>-3.2296313968137161E-2</v>
      </c>
    </row>
    <row r="9003" spans="5:6" x14ac:dyDescent="0.35">
      <c r="E9003">
        <v>9000</v>
      </c>
      <c r="F9003">
        <f t="shared" ca="1" si="142"/>
        <v>5.8239966626808734E-3</v>
      </c>
    </row>
    <row r="9004" spans="5:6" x14ac:dyDescent="0.35">
      <c r="E9004">
        <v>9001</v>
      </c>
      <c r="F9004">
        <f t="shared" ca="1" si="142"/>
        <v>-3.2704586666279286E-3</v>
      </c>
    </row>
    <row r="9005" spans="5:6" x14ac:dyDescent="0.35">
      <c r="E9005">
        <v>9002</v>
      </c>
      <c r="F9005">
        <f t="shared" ca="1" si="142"/>
        <v>2.6797739388777803E-2</v>
      </c>
    </row>
    <row r="9006" spans="5:6" x14ac:dyDescent="0.35">
      <c r="E9006">
        <v>9003</v>
      </c>
      <c r="F9006">
        <f t="shared" ca="1" si="142"/>
        <v>-1.2621747343485685E-2</v>
      </c>
    </row>
    <row r="9007" spans="5:6" x14ac:dyDescent="0.35">
      <c r="E9007">
        <v>9004</v>
      </c>
      <c r="F9007">
        <f t="shared" ca="1" si="142"/>
        <v>-1.6626357997788777E-2</v>
      </c>
    </row>
    <row r="9008" spans="5:6" x14ac:dyDescent="0.35">
      <c r="E9008">
        <v>9005</v>
      </c>
      <c r="F9008">
        <f t="shared" ca="1" si="142"/>
        <v>1.3226637194481583E-3</v>
      </c>
    </row>
    <row r="9009" spans="5:6" x14ac:dyDescent="0.35">
      <c r="E9009">
        <v>9006</v>
      </c>
      <c r="F9009">
        <f t="shared" ca="1" si="142"/>
        <v>6.1948317039133647E-3</v>
      </c>
    </row>
    <row r="9010" spans="5:6" x14ac:dyDescent="0.35">
      <c r="E9010">
        <v>9007</v>
      </c>
      <c r="F9010">
        <f t="shared" ca="1" si="142"/>
        <v>1.4428560062483721E-2</v>
      </c>
    </row>
    <row r="9011" spans="5:6" x14ac:dyDescent="0.35">
      <c r="E9011">
        <v>9008</v>
      </c>
      <c r="F9011">
        <f t="shared" ca="1" si="142"/>
        <v>8.7388981878251133E-3</v>
      </c>
    </row>
    <row r="9012" spans="5:6" x14ac:dyDescent="0.35">
      <c r="E9012">
        <v>9009</v>
      </c>
      <c r="F9012">
        <f t="shared" ca="1" si="142"/>
        <v>2.4784166787300776E-2</v>
      </c>
    </row>
    <row r="9013" spans="5:6" x14ac:dyDescent="0.35">
      <c r="E9013">
        <v>9010</v>
      </c>
      <c r="F9013">
        <f t="shared" ca="1" si="142"/>
        <v>1.633379717891317E-2</v>
      </c>
    </row>
    <row r="9014" spans="5:6" x14ac:dyDescent="0.35">
      <c r="E9014">
        <v>9011</v>
      </c>
      <c r="F9014">
        <f t="shared" ca="1" si="142"/>
        <v>5.7222397676261524E-3</v>
      </c>
    </row>
    <row r="9015" spans="5:6" x14ac:dyDescent="0.35">
      <c r="E9015">
        <v>9012</v>
      </c>
      <c r="F9015">
        <f t="shared" ca="1" si="142"/>
        <v>1.5029566287747294E-2</v>
      </c>
    </row>
    <row r="9016" spans="5:6" x14ac:dyDescent="0.35">
      <c r="E9016">
        <v>9013</v>
      </c>
      <c r="F9016">
        <f t="shared" ca="1" si="142"/>
        <v>8.978189382849321E-3</v>
      </c>
    </row>
    <row r="9017" spans="5:6" x14ac:dyDescent="0.35">
      <c r="E9017">
        <v>9014</v>
      </c>
      <c r="F9017">
        <f t="shared" ca="1" si="142"/>
        <v>2.4687255548072936E-2</v>
      </c>
    </row>
    <row r="9018" spans="5:6" x14ac:dyDescent="0.35">
      <c r="E9018">
        <v>9015</v>
      </c>
      <c r="F9018">
        <f t="shared" ca="1" si="142"/>
        <v>3.8522751997786459E-3</v>
      </c>
    </row>
    <row r="9019" spans="5:6" x14ac:dyDescent="0.35">
      <c r="E9019">
        <v>9016</v>
      </c>
      <c r="F9019">
        <f t="shared" ca="1" si="142"/>
        <v>-1.2407198765016746E-3</v>
      </c>
    </row>
    <row r="9020" spans="5:6" x14ac:dyDescent="0.35">
      <c r="E9020">
        <v>9017</v>
      </c>
      <c r="F9020">
        <f t="shared" ca="1" si="142"/>
        <v>-5.6433852246347222E-3</v>
      </c>
    </row>
    <row r="9021" spans="5:6" x14ac:dyDescent="0.35">
      <c r="E9021">
        <v>9018</v>
      </c>
      <c r="F9021">
        <f t="shared" ca="1" si="142"/>
        <v>1.2930264487806114E-2</v>
      </c>
    </row>
    <row r="9022" spans="5:6" x14ac:dyDescent="0.35">
      <c r="E9022">
        <v>9019</v>
      </c>
      <c r="F9022">
        <f t="shared" ca="1" si="142"/>
        <v>1.377609405607387E-2</v>
      </c>
    </row>
    <row r="9023" spans="5:6" x14ac:dyDescent="0.35">
      <c r="E9023">
        <v>9020</v>
      </c>
      <c r="F9023">
        <f t="shared" ca="1" si="142"/>
        <v>-4.600651914477831E-3</v>
      </c>
    </row>
    <row r="9024" spans="5:6" x14ac:dyDescent="0.35">
      <c r="E9024">
        <v>9021</v>
      </c>
      <c r="F9024">
        <f t="shared" ca="1" si="142"/>
        <v>-1.5778041645362006E-2</v>
      </c>
    </row>
    <row r="9025" spans="5:6" x14ac:dyDescent="0.35">
      <c r="E9025">
        <v>9022</v>
      </c>
      <c r="F9025">
        <f t="shared" ca="1" si="142"/>
        <v>-7.4860684762599744E-3</v>
      </c>
    </row>
    <row r="9026" spans="5:6" x14ac:dyDescent="0.35">
      <c r="E9026">
        <v>9023</v>
      </c>
      <c r="F9026">
        <f t="shared" ca="1" si="142"/>
        <v>-2.7039476520222479E-2</v>
      </c>
    </row>
    <row r="9027" spans="5:6" x14ac:dyDescent="0.35">
      <c r="E9027">
        <v>9024</v>
      </c>
      <c r="F9027">
        <f t="shared" ca="1" si="142"/>
        <v>2.5512050682037591E-2</v>
      </c>
    </row>
    <row r="9028" spans="5:6" x14ac:dyDescent="0.35">
      <c r="E9028">
        <v>9025</v>
      </c>
      <c r="F9028">
        <f t="shared" ca="1" si="142"/>
        <v>-1.1295933380681935E-2</v>
      </c>
    </row>
    <row r="9029" spans="5:6" x14ac:dyDescent="0.35">
      <c r="E9029">
        <v>9026</v>
      </c>
      <c r="F9029">
        <f t="shared" ref="F9029:F9092" ca="1" si="143">_xlfn.NORM.INV(RAND(),M$6,M$7)</f>
        <v>1.9077934129082486E-2</v>
      </c>
    </row>
    <row r="9030" spans="5:6" x14ac:dyDescent="0.35">
      <c r="E9030">
        <v>9027</v>
      </c>
      <c r="F9030">
        <f t="shared" ca="1" si="143"/>
        <v>2.1603998713532718E-2</v>
      </c>
    </row>
    <row r="9031" spans="5:6" x14ac:dyDescent="0.35">
      <c r="E9031">
        <v>9028</v>
      </c>
      <c r="F9031">
        <f t="shared" ca="1" si="143"/>
        <v>-1.6470266498780365E-2</v>
      </c>
    </row>
    <row r="9032" spans="5:6" x14ac:dyDescent="0.35">
      <c r="E9032">
        <v>9029</v>
      </c>
      <c r="F9032">
        <f t="shared" ca="1" si="143"/>
        <v>2.0768246210264296E-2</v>
      </c>
    </row>
    <row r="9033" spans="5:6" x14ac:dyDescent="0.35">
      <c r="E9033">
        <v>9030</v>
      </c>
      <c r="F9033">
        <f t="shared" ca="1" si="143"/>
        <v>1.2743026106000381E-2</v>
      </c>
    </row>
    <row r="9034" spans="5:6" x14ac:dyDescent="0.35">
      <c r="E9034">
        <v>9031</v>
      </c>
      <c r="F9034">
        <f t="shared" ca="1" si="143"/>
        <v>-2.6095466328557852E-2</v>
      </c>
    </row>
    <row r="9035" spans="5:6" x14ac:dyDescent="0.35">
      <c r="E9035">
        <v>9032</v>
      </c>
      <c r="F9035">
        <f t="shared" ca="1" si="143"/>
        <v>-1.7658768941313883E-2</v>
      </c>
    </row>
    <row r="9036" spans="5:6" x14ac:dyDescent="0.35">
      <c r="E9036">
        <v>9033</v>
      </c>
      <c r="F9036">
        <f t="shared" ca="1" si="143"/>
        <v>-2.3209969656201285E-2</v>
      </c>
    </row>
    <row r="9037" spans="5:6" x14ac:dyDescent="0.35">
      <c r="E9037">
        <v>9034</v>
      </c>
      <c r="F9037">
        <f t="shared" ca="1" si="143"/>
        <v>-2.1386766722335512E-2</v>
      </c>
    </row>
    <row r="9038" spans="5:6" x14ac:dyDescent="0.35">
      <c r="E9038">
        <v>9035</v>
      </c>
      <c r="F9038">
        <f t="shared" ca="1" si="143"/>
        <v>1.9390519873199294E-3</v>
      </c>
    </row>
    <row r="9039" spans="5:6" x14ac:dyDescent="0.35">
      <c r="E9039">
        <v>9036</v>
      </c>
      <c r="F9039">
        <f t="shared" ca="1" si="143"/>
        <v>1.2563593737988966E-2</v>
      </c>
    </row>
    <row r="9040" spans="5:6" x14ac:dyDescent="0.35">
      <c r="E9040">
        <v>9037</v>
      </c>
      <c r="F9040">
        <f t="shared" ca="1" si="143"/>
        <v>1.3939655775769549E-4</v>
      </c>
    </row>
    <row r="9041" spans="5:6" x14ac:dyDescent="0.35">
      <c r="E9041">
        <v>9038</v>
      </c>
      <c r="F9041">
        <f t="shared" ca="1" si="143"/>
        <v>1.2143025147399841E-2</v>
      </c>
    </row>
    <row r="9042" spans="5:6" x14ac:dyDescent="0.35">
      <c r="E9042">
        <v>9039</v>
      </c>
      <c r="F9042">
        <f t="shared" ca="1" si="143"/>
        <v>7.8552421556298564E-3</v>
      </c>
    </row>
    <row r="9043" spans="5:6" x14ac:dyDescent="0.35">
      <c r="E9043">
        <v>9040</v>
      </c>
      <c r="F9043">
        <f t="shared" ca="1" si="143"/>
        <v>-8.3138291248203685E-4</v>
      </c>
    </row>
    <row r="9044" spans="5:6" x14ac:dyDescent="0.35">
      <c r="E9044">
        <v>9041</v>
      </c>
      <c r="F9044">
        <f t="shared" ca="1" si="143"/>
        <v>2.2226918050149117E-3</v>
      </c>
    </row>
    <row r="9045" spans="5:6" x14ac:dyDescent="0.35">
      <c r="E9045">
        <v>9042</v>
      </c>
      <c r="F9045">
        <f t="shared" ca="1" si="143"/>
        <v>5.5564052007079107E-3</v>
      </c>
    </row>
    <row r="9046" spans="5:6" x14ac:dyDescent="0.35">
      <c r="E9046">
        <v>9043</v>
      </c>
      <c r="F9046">
        <f t="shared" ca="1" si="143"/>
        <v>1.1992273015878541E-2</v>
      </c>
    </row>
    <row r="9047" spans="5:6" x14ac:dyDescent="0.35">
      <c r="E9047">
        <v>9044</v>
      </c>
      <c r="F9047">
        <f t="shared" ca="1" si="143"/>
        <v>-1.7208225586861203E-3</v>
      </c>
    </row>
    <row r="9048" spans="5:6" x14ac:dyDescent="0.35">
      <c r="E9048">
        <v>9045</v>
      </c>
      <c r="F9048">
        <f t="shared" ca="1" si="143"/>
        <v>-1.2305197374774654E-2</v>
      </c>
    </row>
    <row r="9049" spans="5:6" x14ac:dyDescent="0.35">
      <c r="E9049">
        <v>9046</v>
      </c>
      <c r="F9049">
        <f t="shared" ca="1" si="143"/>
        <v>-1.7550817941154196E-2</v>
      </c>
    </row>
    <row r="9050" spans="5:6" x14ac:dyDescent="0.35">
      <c r="E9050">
        <v>9047</v>
      </c>
      <c r="F9050">
        <f t="shared" ca="1" si="143"/>
        <v>9.0278443787762449E-3</v>
      </c>
    </row>
    <row r="9051" spans="5:6" x14ac:dyDescent="0.35">
      <c r="E9051">
        <v>9048</v>
      </c>
      <c r="F9051">
        <f t="shared" ca="1" si="143"/>
        <v>-3.109917280048822E-3</v>
      </c>
    </row>
    <row r="9052" spans="5:6" x14ac:dyDescent="0.35">
      <c r="E9052">
        <v>9049</v>
      </c>
      <c r="F9052">
        <f t="shared" ca="1" si="143"/>
        <v>-1.3010444430481924E-2</v>
      </c>
    </row>
    <row r="9053" spans="5:6" x14ac:dyDescent="0.35">
      <c r="E9053">
        <v>9050</v>
      </c>
      <c r="F9053">
        <f t="shared" ca="1" si="143"/>
        <v>3.0044630658107706E-2</v>
      </c>
    </row>
    <row r="9054" spans="5:6" x14ac:dyDescent="0.35">
      <c r="E9054">
        <v>9051</v>
      </c>
      <c r="F9054">
        <f t="shared" ca="1" si="143"/>
        <v>4.0986443550927029E-3</v>
      </c>
    </row>
    <row r="9055" spans="5:6" x14ac:dyDescent="0.35">
      <c r="E9055">
        <v>9052</v>
      </c>
      <c r="F9055">
        <f t="shared" ca="1" si="143"/>
        <v>1.4079560990505814E-2</v>
      </c>
    </row>
    <row r="9056" spans="5:6" x14ac:dyDescent="0.35">
      <c r="E9056">
        <v>9053</v>
      </c>
      <c r="F9056">
        <f t="shared" ca="1" si="143"/>
        <v>5.334846774159816E-3</v>
      </c>
    </row>
    <row r="9057" spans="5:6" x14ac:dyDescent="0.35">
      <c r="E9057">
        <v>9054</v>
      </c>
      <c r="F9057">
        <f t="shared" ca="1" si="143"/>
        <v>-1.4810808503559146E-2</v>
      </c>
    </row>
    <row r="9058" spans="5:6" x14ac:dyDescent="0.35">
      <c r="E9058">
        <v>9055</v>
      </c>
      <c r="F9058">
        <f t="shared" ca="1" si="143"/>
        <v>4.9153212462749131E-4</v>
      </c>
    </row>
    <row r="9059" spans="5:6" x14ac:dyDescent="0.35">
      <c r="E9059">
        <v>9056</v>
      </c>
      <c r="F9059">
        <f t="shared" ca="1" si="143"/>
        <v>8.9521918008646107E-3</v>
      </c>
    </row>
    <row r="9060" spans="5:6" x14ac:dyDescent="0.35">
      <c r="E9060">
        <v>9057</v>
      </c>
      <c r="F9060">
        <f t="shared" ca="1" si="143"/>
        <v>-1.1206801875442166E-2</v>
      </c>
    </row>
    <row r="9061" spans="5:6" x14ac:dyDescent="0.35">
      <c r="E9061">
        <v>9058</v>
      </c>
      <c r="F9061">
        <f t="shared" ca="1" si="143"/>
        <v>3.3477695969302917E-3</v>
      </c>
    </row>
    <row r="9062" spans="5:6" x14ac:dyDescent="0.35">
      <c r="E9062">
        <v>9059</v>
      </c>
      <c r="F9062">
        <f t="shared" ca="1" si="143"/>
        <v>2.2994480743453141E-3</v>
      </c>
    </row>
    <row r="9063" spans="5:6" x14ac:dyDescent="0.35">
      <c r="E9063">
        <v>9060</v>
      </c>
      <c r="F9063">
        <f t="shared" ca="1" si="143"/>
        <v>-1.5415751799925641E-2</v>
      </c>
    </row>
    <row r="9064" spans="5:6" x14ac:dyDescent="0.35">
      <c r="E9064">
        <v>9061</v>
      </c>
      <c r="F9064">
        <f t="shared" ca="1" si="143"/>
        <v>-1.6482584976212213E-2</v>
      </c>
    </row>
    <row r="9065" spans="5:6" x14ac:dyDescent="0.35">
      <c r="E9065">
        <v>9062</v>
      </c>
      <c r="F9065">
        <f t="shared" ca="1" si="143"/>
        <v>1.3604137344558167E-2</v>
      </c>
    </row>
    <row r="9066" spans="5:6" x14ac:dyDescent="0.35">
      <c r="E9066">
        <v>9063</v>
      </c>
      <c r="F9066">
        <f t="shared" ca="1" si="143"/>
        <v>-3.7856508445674564E-2</v>
      </c>
    </row>
    <row r="9067" spans="5:6" x14ac:dyDescent="0.35">
      <c r="E9067">
        <v>9064</v>
      </c>
      <c r="F9067">
        <f t="shared" ca="1" si="143"/>
        <v>9.9865513216274241E-3</v>
      </c>
    </row>
    <row r="9068" spans="5:6" x14ac:dyDescent="0.35">
      <c r="E9068">
        <v>9065</v>
      </c>
      <c r="F9068">
        <f t="shared" ca="1" si="143"/>
        <v>2.6606478687666184E-2</v>
      </c>
    </row>
    <row r="9069" spans="5:6" x14ac:dyDescent="0.35">
      <c r="E9069">
        <v>9066</v>
      </c>
      <c r="F9069">
        <f t="shared" ca="1" si="143"/>
        <v>-3.364591725211078E-4</v>
      </c>
    </row>
    <row r="9070" spans="5:6" x14ac:dyDescent="0.35">
      <c r="E9070">
        <v>9067</v>
      </c>
      <c r="F9070">
        <f t="shared" ca="1" si="143"/>
        <v>4.9200067339021311E-3</v>
      </c>
    </row>
    <row r="9071" spans="5:6" x14ac:dyDescent="0.35">
      <c r="E9071">
        <v>9068</v>
      </c>
      <c r="F9071">
        <f t="shared" ca="1" si="143"/>
        <v>-2.8101641292069657E-2</v>
      </c>
    </row>
    <row r="9072" spans="5:6" x14ac:dyDescent="0.35">
      <c r="E9072">
        <v>9069</v>
      </c>
      <c r="F9072">
        <f t="shared" ca="1" si="143"/>
        <v>2.9813436268663937E-2</v>
      </c>
    </row>
    <row r="9073" spans="5:6" x14ac:dyDescent="0.35">
      <c r="E9073">
        <v>9070</v>
      </c>
      <c r="F9073">
        <f t="shared" ca="1" si="143"/>
        <v>1.0499715785084759E-2</v>
      </c>
    </row>
    <row r="9074" spans="5:6" x14ac:dyDescent="0.35">
      <c r="E9074">
        <v>9071</v>
      </c>
      <c r="F9074">
        <f t="shared" ca="1" si="143"/>
        <v>2.3922376313391672E-2</v>
      </c>
    </row>
    <row r="9075" spans="5:6" x14ac:dyDescent="0.35">
      <c r="E9075">
        <v>9072</v>
      </c>
      <c r="F9075">
        <f t="shared" ca="1" si="143"/>
        <v>-5.7408876061726937E-3</v>
      </c>
    </row>
    <row r="9076" spans="5:6" x14ac:dyDescent="0.35">
      <c r="E9076">
        <v>9073</v>
      </c>
      <c r="F9076">
        <f t="shared" ca="1" si="143"/>
        <v>-1.4254780790556519E-2</v>
      </c>
    </row>
    <row r="9077" spans="5:6" x14ac:dyDescent="0.35">
      <c r="E9077">
        <v>9074</v>
      </c>
      <c r="F9077">
        <f t="shared" ca="1" si="143"/>
        <v>6.7256674527807836E-3</v>
      </c>
    </row>
    <row r="9078" spans="5:6" x14ac:dyDescent="0.35">
      <c r="E9078">
        <v>9075</v>
      </c>
      <c r="F9078">
        <f t="shared" ca="1" si="143"/>
        <v>-2.7434706825492441E-2</v>
      </c>
    </row>
    <row r="9079" spans="5:6" x14ac:dyDescent="0.35">
      <c r="E9079">
        <v>9076</v>
      </c>
      <c r="F9079">
        <f t="shared" ca="1" si="143"/>
        <v>1.0235079102420915E-2</v>
      </c>
    </row>
    <row r="9080" spans="5:6" x14ac:dyDescent="0.35">
      <c r="E9080">
        <v>9077</v>
      </c>
      <c r="F9080">
        <f t="shared" ca="1" si="143"/>
        <v>-2.1082199772234207E-2</v>
      </c>
    </row>
    <row r="9081" spans="5:6" x14ac:dyDescent="0.35">
      <c r="E9081">
        <v>9078</v>
      </c>
      <c r="F9081">
        <f t="shared" ca="1" si="143"/>
        <v>-8.0115259199616314E-3</v>
      </c>
    </row>
    <row r="9082" spans="5:6" x14ac:dyDescent="0.35">
      <c r="E9082">
        <v>9079</v>
      </c>
      <c r="F9082">
        <f t="shared" ca="1" si="143"/>
        <v>-1.541071568071033E-2</v>
      </c>
    </row>
    <row r="9083" spans="5:6" x14ac:dyDescent="0.35">
      <c r="E9083">
        <v>9080</v>
      </c>
      <c r="F9083">
        <f t="shared" ca="1" si="143"/>
        <v>-1.1462645228382423E-2</v>
      </c>
    </row>
    <row r="9084" spans="5:6" x14ac:dyDescent="0.35">
      <c r="E9084">
        <v>9081</v>
      </c>
      <c r="F9084">
        <f t="shared" ca="1" si="143"/>
        <v>6.2338346196105041E-3</v>
      </c>
    </row>
    <row r="9085" spans="5:6" x14ac:dyDescent="0.35">
      <c r="E9085">
        <v>9082</v>
      </c>
      <c r="F9085">
        <f t="shared" ca="1" si="143"/>
        <v>1.5116920681231156E-2</v>
      </c>
    </row>
    <row r="9086" spans="5:6" x14ac:dyDescent="0.35">
      <c r="E9086">
        <v>9083</v>
      </c>
      <c r="F9086">
        <f t="shared" ca="1" si="143"/>
        <v>-1.3122251473970488E-3</v>
      </c>
    </row>
    <row r="9087" spans="5:6" x14ac:dyDescent="0.35">
      <c r="E9087">
        <v>9084</v>
      </c>
      <c r="F9087">
        <f t="shared" ca="1" si="143"/>
        <v>-5.4327642839528158E-3</v>
      </c>
    </row>
    <row r="9088" spans="5:6" x14ac:dyDescent="0.35">
      <c r="E9088">
        <v>9085</v>
      </c>
      <c r="F9088">
        <f t="shared" ca="1" si="143"/>
        <v>-1.1422376460916995E-2</v>
      </c>
    </row>
    <row r="9089" spans="5:6" x14ac:dyDescent="0.35">
      <c r="E9089">
        <v>9086</v>
      </c>
      <c r="F9089">
        <f t="shared" ca="1" si="143"/>
        <v>-3.6180362815205848E-2</v>
      </c>
    </row>
    <row r="9090" spans="5:6" x14ac:dyDescent="0.35">
      <c r="E9090">
        <v>9087</v>
      </c>
      <c r="F9090">
        <f t="shared" ca="1" si="143"/>
        <v>-8.3588564322400402E-3</v>
      </c>
    </row>
    <row r="9091" spans="5:6" x14ac:dyDescent="0.35">
      <c r="E9091">
        <v>9088</v>
      </c>
      <c r="F9091">
        <f t="shared" ca="1" si="143"/>
        <v>1.2632827864124218E-2</v>
      </c>
    </row>
    <row r="9092" spans="5:6" x14ac:dyDescent="0.35">
      <c r="E9092">
        <v>9089</v>
      </c>
      <c r="F9092">
        <f t="shared" ca="1" si="143"/>
        <v>-2.4419014413969522E-3</v>
      </c>
    </row>
    <row r="9093" spans="5:6" x14ac:dyDescent="0.35">
      <c r="E9093">
        <v>9090</v>
      </c>
      <c r="F9093">
        <f t="shared" ref="F9093:F9156" ca="1" si="144">_xlfn.NORM.INV(RAND(),M$6,M$7)</f>
        <v>-8.9199433560508429E-3</v>
      </c>
    </row>
    <row r="9094" spans="5:6" x14ac:dyDescent="0.35">
      <c r="E9094">
        <v>9091</v>
      </c>
      <c r="F9094">
        <f t="shared" ca="1" si="144"/>
        <v>-2.5668200357815567E-2</v>
      </c>
    </row>
    <row r="9095" spans="5:6" x14ac:dyDescent="0.35">
      <c r="E9095">
        <v>9092</v>
      </c>
      <c r="F9095">
        <f t="shared" ca="1" si="144"/>
        <v>2.1556732189059291E-2</v>
      </c>
    </row>
    <row r="9096" spans="5:6" x14ac:dyDescent="0.35">
      <c r="E9096">
        <v>9093</v>
      </c>
      <c r="F9096">
        <f t="shared" ca="1" si="144"/>
        <v>-4.1190018023087686E-3</v>
      </c>
    </row>
    <row r="9097" spans="5:6" x14ac:dyDescent="0.35">
      <c r="E9097">
        <v>9094</v>
      </c>
      <c r="F9097">
        <f t="shared" ca="1" si="144"/>
        <v>-2.3849623727875096E-3</v>
      </c>
    </row>
    <row r="9098" spans="5:6" x14ac:dyDescent="0.35">
      <c r="E9098">
        <v>9095</v>
      </c>
      <c r="F9098">
        <f t="shared" ca="1" si="144"/>
        <v>1.1297512103359563E-2</v>
      </c>
    </row>
    <row r="9099" spans="5:6" x14ac:dyDescent="0.35">
      <c r="E9099">
        <v>9096</v>
      </c>
      <c r="F9099">
        <f t="shared" ca="1" si="144"/>
        <v>1.5250060842449755E-2</v>
      </c>
    </row>
    <row r="9100" spans="5:6" x14ac:dyDescent="0.35">
      <c r="E9100">
        <v>9097</v>
      </c>
      <c r="F9100">
        <f t="shared" ca="1" si="144"/>
        <v>1.1453862460929161E-4</v>
      </c>
    </row>
    <row r="9101" spans="5:6" x14ac:dyDescent="0.35">
      <c r="E9101">
        <v>9098</v>
      </c>
      <c r="F9101">
        <f t="shared" ca="1" si="144"/>
        <v>-1.0382934988112267E-2</v>
      </c>
    </row>
    <row r="9102" spans="5:6" x14ac:dyDescent="0.35">
      <c r="E9102">
        <v>9099</v>
      </c>
      <c r="F9102">
        <f t="shared" ca="1" si="144"/>
        <v>4.3364880090741966E-3</v>
      </c>
    </row>
    <row r="9103" spans="5:6" x14ac:dyDescent="0.35">
      <c r="E9103">
        <v>9100</v>
      </c>
      <c r="F9103">
        <f t="shared" ca="1" si="144"/>
        <v>4.5724027249547747E-3</v>
      </c>
    </row>
    <row r="9104" spans="5:6" x14ac:dyDescent="0.35">
      <c r="E9104">
        <v>9101</v>
      </c>
      <c r="F9104">
        <f t="shared" ca="1" si="144"/>
        <v>2.0351435074574584E-2</v>
      </c>
    </row>
    <row r="9105" spans="5:6" x14ac:dyDescent="0.35">
      <c r="E9105">
        <v>9102</v>
      </c>
      <c r="F9105">
        <f t="shared" ca="1" si="144"/>
        <v>5.656204069112508E-3</v>
      </c>
    </row>
    <row r="9106" spans="5:6" x14ac:dyDescent="0.35">
      <c r="E9106">
        <v>9103</v>
      </c>
      <c r="F9106">
        <f t="shared" ca="1" si="144"/>
        <v>1.6899696542347221E-4</v>
      </c>
    </row>
    <row r="9107" spans="5:6" x14ac:dyDescent="0.35">
      <c r="E9107">
        <v>9104</v>
      </c>
      <c r="F9107">
        <f t="shared" ca="1" si="144"/>
        <v>1.1297523432632921E-2</v>
      </c>
    </row>
    <row r="9108" spans="5:6" x14ac:dyDescent="0.35">
      <c r="E9108">
        <v>9105</v>
      </c>
      <c r="F9108">
        <f t="shared" ca="1" si="144"/>
        <v>-9.7997573714000627E-3</v>
      </c>
    </row>
    <row r="9109" spans="5:6" x14ac:dyDescent="0.35">
      <c r="E9109">
        <v>9106</v>
      </c>
      <c r="F9109">
        <f t="shared" ca="1" si="144"/>
        <v>4.9076029709814319E-2</v>
      </c>
    </row>
    <row r="9110" spans="5:6" x14ac:dyDescent="0.35">
      <c r="E9110">
        <v>9107</v>
      </c>
      <c r="F9110">
        <f t="shared" ca="1" si="144"/>
        <v>-3.6179348914007932E-2</v>
      </c>
    </row>
    <row r="9111" spans="5:6" x14ac:dyDescent="0.35">
      <c r="E9111">
        <v>9108</v>
      </c>
      <c r="F9111">
        <f t="shared" ca="1" si="144"/>
        <v>-2.4045669196849015E-2</v>
      </c>
    </row>
    <row r="9112" spans="5:6" x14ac:dyDescent="0.35">
      <c r="E9112">
        <v>9109</v>
      </c>
      <c r="F9112">
        <f t="shared" ca="1" si="144"/>
        <v>2.9861631949264947E-3</v>
      </c>
    </row>
    <row r="9113" spans="5:6" x14ac:dyDescent="0.35">
      <c r="E9113">
        <v>9110</v>
      </c>
      <c r="F9113">
        <f t="shared" ca="1" si="144"/>
        <v>5.9582354436577053E-3</v>
      </c>
    </row>
    <row r="9114" spans="5:6" x14ac:dyDescent="0.35">
      <c r="E9114">
        <v>9111</v>
      </c>
      <c r="F9114">
        <f t="shared" ca="1" si="144"/>
        <v>-3.121994958456702E-2</v>
      </c>
    </row>
    <row r="9115" spans="5:6" x14ac:dyDescent="0.35">
      <c r="E9115">
        <v>9112</v>
      </c>
      <c r="F9115">
        <f t="shared" ca="1" si="144"/>
        <v>-5.4585491312791985E-3</v>
      </c>
    </row>
    <row r="9116" spans="5:6" x14ac:dyDescent="0.35">
      <c r="E9116">
        <v>9113</v>
      </c>
      <c r="F9116">
        <f t="shared" ca="1" si="144"/>
        <v>-2.7422591799297611E-3</v>
      </c>
    </row>
    <row r="9117" spans="5:6" x14ac:dyDescent="0.35">
      <c r="E9117">
        <v>9114</v>
      </c>
      <c r="F9117">
        <f t="shared" ca="1" si="144"/>
        <v>1.5605912504998501E-2</v>
      </c>
    </row>
    <row r="9118" spans="5:6" x14ac:dyDescent="0.35">
      <c r="E9118">
        <v>9115</v>
      </c>
      <c r="F9118">
        <f t="shared" ca="1" si="144"/>
        <v>-6.7420494080338515E-3</v>
      </c>
    </row>
    <row r="9119" spans="5:6" x14ac:dyDescent="0.35">
      <c r="E9119">
        <v>9116</v>
      </c>
      <c r="F9119">
        <f t="shared" ca="1" si="144"/>
        <v>-7.7753128142224182E-3</v>
      </c>
    </row>
    <row r="9120" spans="5:6" x14ac:dyDescent="0.35">
      <c r="E9120">
        <v>9117</v>
      </c>
      <c r="F9120">
        <f t="shared" ca="1" si="144"/>
        <v>-2.4757917006741997E-2</v>
      </c>
    </row>
    <row r="9121" spans="5:6" x14ac:dyDescent="0.35">
      <c r="E9121">
        <v>9118</v>
      </c>
      <c r="F9121">
        <f t="shared" ca="1" si="144"/>
        <v>-1.8807332000098962E-2</v>
      </c>
    </row>
    <row r="9122" spans="5:6" x14ac:dyDescent="0.35">
      <c r="E9122">
        <v>9119</v>
      </c>
      <c r="F9122">
        <f t="shared" ca="1" si="144"/>
        <v>2.5928232533904264E-2</v>
      </c>
    </row>
    <row r="9123" spans="5:6" x14ac:dyDescent="0.35">
      <c r="E9123">
        <v>9120</v>
      </c>
      <c r="F9123">
        <f t="shared" ca="1" si="144"/>
        <v>2.5356810837359901E-3</v>
      </c>
    </row>
    <row r="9124" spans="5:6" x14ac:dyDescent="0.35">
      <c r="E9124">
        <v>9121</v>
      </c>
      <c r="F9124">
        <f t="shared" ca="1" si="144"/>
        <v>-8.3675982292375894E-3</v>
      </c>
    </row>
    <row r="9125" spans="5:6" x14ac:dyDescent="0.35">
      <c r="E9125">
        <v>9122</v>
      </c>
      <c r="F9125">
        <f t="shared" ca="1" si="144"/>
        <v>-3.2779318902006783E-2</v>
      </c>
    </row>
    <row r="9126" spans="5:6" x14ac:dyDescent="0.35">
      <c r="E9126">
        <v>9123</v>
      </c>
      <c r="F9126">
        <f t="shared" ca="1" si="144"/>
        <v>8.2658115025691457E-3</v>
      </c>
    </row>
    <row r="9127" spans="5:6" x14ac:dyDescent="0.35">
      <c r="E9127">
        <v>9124</v>
      </c>
      <c r="F9127">
        <f t="shared" ca="1" si="144"/>
        <v>-2.572643895095025E-2</v>
      </c>
    </row>
    <row r="9128" spans="5:6" x14ac:dyDescent="0.35">
      <c r="E9128">
        <v>9125</v>
      </c>
      <c r="F9128">
        <f t="shared" ca="1" si="144"/>
        <v>-1.6452586037071577E-2</v>
      </c>
    </row>
    <row r="9129" spans="5:6" x14ac:dyDescent="0.35">
      <c r="E9129">
        <v>9126</v>
      </c>
      <c r="F9129">
        <f t="shared" ca="1" si="144"/>
        <v>-8.0610106155224407E-3</v>
      </c>
    </row>
    <row r="9130" spans="5:6" x14ac:dyDescent="0.35">
      <c r="E9130">
        <v>9127</v>
      </c>
      <c r="F9130">
        <f t="shared" ca="1" si="144"/>
        <v>1.5141793613865442E-2</v>
      </c>
    </row>
    <row r="9131" spans="5:6" x14ac:dyDescent="0.35">
      <c r="E9131">
        <v>9128</v>
      </c>
      <c r="F9131">
        <f t="shared" ca="1" si="144"/>
        <v>9.75903652002622E-4</v>
      </c>
    </row>
    <row r="9132" spans="5:6" x14ac:dyDescent="0.35">
      <c r="E9132">
        <v>9129</v>
      </c>
      <c r="F9132">
        <f t="shared" ca="1" si="144"/>
        <v>6.1392589425494706E-3</v>
      </c>
    </row>
    <row r="9133" spans="5:6" x14ac:dyDescent="0.35">
      <c r="E9133">
        <v>9130</v>
      </c>
      <c r="F9133">
        <f t="shared" ca="1" si="144"/>
        <v>-2.4629203912188602E-3</v>
      </c>
    </row>
    <row r="9134" spans="5:6" x14ac:dyDescent="0.35">
      <c r="E9134">
        <v>9131</v>
      </c>
      <c r="F9134">
        <f t="shared" ca="1" si="144"/>
        <v>1.5700214090694029E-2</v>
      </c>
    </row>
    <row r="9135" spans="5:6" x14ac:dyDescent="0.35">
      <c r="E9135">
        <v>9132</v>
      </c>
      <c r="F9135">
        <f t="shared" ca="1" si="144"/>
        <v>-2.0044441693413259E-3</v>
      </c>
    </row>
    <row r="9136" spans="5:6" x14ac:dyDescent="0.35">
      <c r="E9136">
        <v>9133</v>
      </c>
      <c r="F9136">
        <f t="shared" ca="1" si="144"/>
        <v>2.8829546256805487E-3</v>
      </c>
    </row>
    <row r="9137" spans="5:6" x14ac:dyDescent="0.35">
      <c r="E9137">
        <v>9134</v>
      </c>
      <c r="F9137">
        <f t="shared" ca="1" si="144"/>
        <v>3.4243201185254722E-2</v>
      </c>
    </row>
    <row r="9138" spans="5:6" x14ac:dyDescent="0.35">
      <c r="E9138">
        <v>9135</v>
      </c>
      <c r="F9138">
        <f t="shared" ca="1" si="144"/>
        <v>8.7928166639229723E-4</v>
      </c>
    </row>
    <row r="9139" spans="5:6" x14ac:dyDescent="0.35">
      <c r="E9139">
        <v>9136</v>
      </c>
      <c r="F9139">
        <f t="shared" ca="1" si="144"/>
        <v>-1.0704465314861272E-2</v>
      </c>
    </row>
    <row r="9140" spans="5:6" x14ac:dyDescent="0.35">
      <c r="E9140">
        <v>9137</v>
      </c>
      <c r="F9140">
        <f t="shared" ca="1" si="144"/>
        <v>1.5827223044011733E-3</v>
      </c>
    </row>
    <row r="9141" spans="5:6" x14ac:dyDescent="0.35">
      <c r="E9141">
        <v>9138</v>
      </c>
      <c r="F9141">
        <f t="shared" ca="1" si="144"/>
        <v>-1.8517305100388189E-2</v>
      </c>
    </row>
    <row r="9142" spans="5:6" x14ac:dyDescent="0.35">
      <c r="E9142">
        <v>9139</v>
      </c>
      <c r="F9142">
        <f t="shared" ca="1" si="144"/>
        <v>2.3016937033713946E-2</v>
      </c>
    </row>
    <row r="9143" spans="5:6" x14ac:dyDescent="0.35">
      <c r="E9143">
        <v>9140</v>
      </c>
      <c r="F9143">
        <f t="shared" ca="1" si="144"/>
        <v>8.6316523550982096E-3</v>
      </c>
    </row>
    <row r="9144" spans="5:6" x14ac:dyDescent="0.35">
      <c r="E9144">
        <v>9141</v>
      </c>
      <c r="F9144">
        <f t="shared" ca="1" si="144"/>
        <v>3.6091845015796382E-3</v>
      </c>
    </row>
    <row r="9145" spans="5:6" x14ac:dyDescent="0.35">
      <c r="E9145">
        <v>9142</v>
      </c>
      <c r="F9145">
        <f t="shared" ca="1" si="144"/>
        <v>5.1470358042423631E-3</v>
      </c>
    </row>
    <row r="9146" spans="5:6" x14ac:dyDescent="0.35">
      <c r="E9146">
        <v>9143</v>
      </c>
      <c r="F9146">
        <f t="shared" ca="1" si="144"/>
        <v>-9.5494065461659457E-3</v>
      </c>
    </row>
    <row r="9147" spans="5:6" x14ac:dyDescent="0.35">
      <c r="E9147">
        <v>9144</v>
      </c>
      <c r="F9147">
        <f t="shared" ca="1" si="144"/>
        <v>1.5992448355656757E-2</v>
      </c>
    </row>
    <row r="9148" spans="5:6" x14ac:dyDescent="0.35">
      <c r="E9148">
        <v>9145</v>
      </c>
      <c r="F9148">
        <f t="shared" ca="1" si="144"/>
        <v>-1.024115284844458E-2</v>
      </c>
    </row>
    <row r="9149" spans="5:6" x14ac:dyDescent="0.35">
      <c r="E9149">
        <v>9146</v>
      </c>
      <c r="F9149">
        <f t="shared" ca="1" si="144"/>
        <v>-7.1208068953021782E-3</v>
      </c>
    </row>
    <row r="9150" spans="5:6" x14ac:dyDescent="0.35">
      <c r="E9150">
        <v>9147</v>
      </c>
      <c r="F9150">
        <f t="shared" ca="1" si="144"/>
        <v>-2.902067988898633E-2</v>
      </c>
    </row>
    <row r="9151" spans="5:6" x14ac:dyDescent="0.35">
      <c r="E9151">
        <v>9148</v>
      </c>
      <c r="F9151">
        <f t="shared" ca="1" si="144"/>
        <v>1.1887795692291911E-2</v>
      </c>
    </row>
    <row r="9152" spans="5:6" x14ac:dyDescent="0.35">
      <c r="E9152">
        <v>9149</v>
      </c>
      <c r="F9152">
        <f t="shared" ca="1" si="144"/>
        <v>3.1325374690457868E-2</v>
      </c>
    </row>
    <row r="9153" spans="5:6" x14ac:dyDescent="0.35">
      <c r="E9153">
        <v>9150</v>
      </c>
      <c r="F9153">
        <f t="shared" ca="1" si="144"/>
        <v>1.9352319562643095E-2</v>
      </c>
    </row>
    <row r="9154" spans="5:6" x14ac:dyDescent="0.35">
      <c r="E9154">
        <v>9151</v>
      </c>
      <c r="F9154">
        <f t="shared" ca="1" si="144"/>
        <v>-2.0503528701550019E-2</v>
      </c>
    </row>
    <row r="9155" spans="5:6" x14ac:dyDescent="0.35">
      <c r="E9155">
        <v>9152</v>
      </c>
      <c r="F9155">
        <f t="shared" ca="1" si="144"/>
        <v>-9.4099856606359913E-3</v>
      </c>
    </row>
    <row r="9156" spans="5:6" x14ac:dyDescent="0.35">
      <c r="E9156">
        <v>9153</v>
      </c>
      <c r="F9156">
        <f t="shared" ca="1" si="144"/>
        <v>-5.3679716353740529E-3</v>
      </c>
    </row>
    <row r="9157" spans="5:6" x14ac:dyDescent="0.35">
      <c r="E9157">
        <v>9154</v>
      </c>
      <c r="F9157">
        <f t="shared" ref="F9157:F9220" ca="1" si="145">_xlfn.NORM.INV(RAND(),M$6,M$7)</f>
        <v>-3.6703867996464674E-3</v>
      </c>
    </row>
    <row r="9158" spans="5:6" x14ac:dyDescent="0.35">
      <c r="E9158">
        <v>9155</v>
      </c>
      <c r="F9158">
        <f t="shared" ca="1" si="145"/>
        <v>2.735447729282549E-4</v>
      </c>
    </row>
    <row r="9159" spans="5:6" x14ac:dyDescent="0.35">
      <c r="E9159">
        <v>9156</v>
      </c>
      <c r="F9159">
        <f t="shared" ca="1" si="145"/>
        <v>1.6534326501277739E-3</v>
      </c>
    </row>
    <row r="9160" spans="5:6" x14ac:dyDescent="0.35">
      <c r="E9160">
        <v>9157</v>
      </c>
      <c r="F9160">
        <f t="shared" ca="1" si="145"/>
        <v>7.7804143998808075E-3</v>
      </c>
    </row>
    <row r="9161" spans="5:6" x14ac:dyDescent="0.35">
      <c r="E9161">
        <v>9158</v>
      </c>
      <c r="F9161">
        <f t="shared" ca="1" si="145"/>
        <v>1.7533396478541516E-3</v>
      </c>
    </row>
    <row r="9162" spans="5:6" x14ac:dyDescent="0.35">
      <c r="E9162">
        <v>9159</v>
      </c>
      <c r="F9162">
        <f t="shared" ca="1" si="145"/>
        <v>-2.2958551312575241E-2</v>
      </c>
    </row>
    <row r="9163" spans="5:6" x14ac:dyDescent="0.35">
      <c r="E9163">
        <v>9160</v>
      </c>
      <c r="F9163">
        <f t="shared" ca="1" si="145"/>
        <v>-1.0764504935758212E-2</v>
      </c>
    </row>
    <row r="9164" spans="5:6" x14ac:dyDescent="0.35">
      <c r="E9164">
        <v>9161</v>
      </c>
      <c r="F9164">
        <f t="shared" ca="1" si="145"/>
        <v>-5.1426318219998665E-3</v>
      </c>
    </row>
    <row r="9165" spans="5:6" x14ac:dyDescent="0.35">
      <c r="E9165">
        <v>9162</v>
      </c>
      <c r="F9165">
        <f t="shared" ca="1" si="145"/>
        <v>-7.5790386339627449E-3</v>
      </c>
    </row>
    <row r="9166" spans="5:6" x14ac:dyDescent="0.35">
      <c r="E9166">
        <v>9163</v>
      </c>
      <c r="F9166">
        <f t="shared" ca="1" si="145"/>
        <v>-5.0857921299203527E-3</v>
      </c>
    </row>
    <row r="9167" spans="5:6" x14ac:dyDescent="0.35">
      <c r="E9167">
        <v>9164</v>
      </c>
      <c r="F9167">
        <f t="shared" ca="1" si="145"/>
        <v>-1.2721352963720322E-2</v>
      </c>
    </row>
    <row r="9168" spans="5:6" x14ac:dyDescent="0.35">
      <c r="E9168">
        <v>9165</v>
      </c>
      <c r="F9168">
        <f t="shared" ca="1" si="145"/>
        <v>1.0040685964049082E-2</v>
      </c>
    </row>
    <row r="9169" spans="5:6" x14ac:dyDescent="0.35">
      <c r="E9169">
        <v>9166</v>
      </c>
      <c r="F9169">
        <f t="shared" ca="1" si="145"/>
        <v>-1.0204374592216941E-2</v>
      </c>
    </row>
    <row r="9170" spans="5:6" x14ac:dyDescent="0.35">
      <c r="E9170">
        <v>9167</v>
      </c>
      <c r="F9170">
        <f t="shared" ca="1" si="145"/>
        <v>9.2838525091377255E-3</v>
      </c>
    </row>
    <row r="9171" spans="5:6" x14ac:dyDescent="0.35">
      <c r="E9171">
        <v>9168</v>
      </c>
      <c r="F9171">
        <f t="shared" ca="1" si="145"/>
        <v>1.2058812909590152E-2</v>
      </c>
    </row>
    <row r="9172" spans="5:6" x14ac:dyDescent="0.35">
      <c r="E9172">
        <v>9169</v>
      </c>
      <c r="F9172">
        <f t="shared" ca="1" si="145"/>
        <v>7.2765824221979764E-3</v>
      </c>
    </row>
    <row r="9173" spans="5:6" x14ac:dyDescent="0.35">
      <c r="E9173">
        <v>9170</v>
      </c>
      <c r="F9173">
        <f t="shared" ca="1" si="145"/>
        <v>-1.9394104412848199E-2</v>
      </c>
    </row>
    <row r="9174" spans="5:6" x14ac:dyDescent="0.35">
      <c r="E9174">
        <v>9171</v>
      </c>
      <c r="F9174">
        <f t="shared" ca="1" si="145"/>
        <v>-7.0033868764612494E-3</v>
      </c>
    </row>
    <row r="9175" spans="5:6" x14ac:dyDescent="0.35">
      <c r="E9175">
        <v>9172</v>
      </c>
      <c r="F9175">
        <f t="shared" ca="1" si="145"/>
        <v>-1.9094761473535955E-2</v>
      </c>
    </row>
    <row r="9176" spans="5:6" x14ac:dyDescent="0.35">
      <c r="E9176">
        <v>9173</v>
      </c>
      <c r="F9176">
        <f t="shared" ca="1" si="145"/>
        <v>1.3209324723852719E-2</v>
      </c>
    </row>
    <row r="9177" spans="5:6" x14ac:dyDescent="0.35">
      <c r="E9177">
        <v>9174</v>
      </c>
      <c r="F9177">
        <f t="shared" ca="1" si="145"/>
        <v>-2.4787925446907607E-2</v>
      </c>
    </row>
    <row r="9178" spans="5:6" x14ac:dyDescent="0.35">
      <c r="E9178">
        <v>9175</v>
      </c>
      <c r="F9178">
        <f t="shared" ca="1" si="145"/>
        <v>8.0813783427252433E-5</v>
      </c>
    </row>
    <row r="9179" spans="5:6" x14ac:dyDescent="0.35">
      <c r="E9179">
        <v>9176</v>
      </c>
      <c r="F9179">
        <f t="shared" ca="1" si="145"/>
        <v>5.7140583861754702E-4</v>
      </c>
    </row>
    <row r="9180" spans="5:6" x14ac:dyDescent="0.35">
      <c r="E9180">
        <v>9177</v>
      </c>
      <c r="F9180">
        <f t="shared" ca="1" si="145"/>
        <v>-7.2261095151056861E-3</v>
      </c>
    </row>
    <row r="9181" spans="5:6" x14ac:dyDescent="0.35">
      <c r="E9181">
        <v>9178</v>
      </c>
      <c r="F9181">
        <f t="shared" ca="1" si="145"/>
        <v>3.4118243750127869E-2</v>
      </c>
    </row>
    <row r="9182" spans="5:6" x14ac:dyDescent="0.35">
      <c r="E9182">
        <v>9179</v>
      </c>
      <c r="F9182">
        <f t="shared" ca="1" si="145"/>
        <v>6.8339058623486928E-3</v>
      </c>
    </row>
    <row r="9183" spans="5:6" x14ac:dyDescent="0.35">
      <c r="E9183">
        <v>9180</v>
      </c>
      <c r="F9183">
        <f t="shared" ca="1" si="145"/>
        <v>-2.0501801734988539E-2</v>
      </c>
    </row>
    <row r="9184" spans="5:6" x14ac:dyDescent="0.35">
      <c r="E9184">
        <v>9181</v>
      </c>
      <c r="F9184">
        <f t="shared" ca="1" si="145"/>
        <v>1.1735315003373312E-2</v>
      </c>
    </row>
    <row r="9185" spans="5:6" x14ac:dyDescent="0.35">
      <c r="E9185">
        <v>9182</v>
      </c>
      <c r="F9185">
        <f t="shared" ca="1" si="145"/>
        <v>2.1956136142582366E-3</v>
      </c>
    </row>
    <row r="9186" spans="5:6" x14ac:dyDescent="0.35">
      <c r="E9186">
        <v>9183</v>
      </c>
      <c r="F9186">
        <f t="shared" ca="1" si="145"/>
        <v>3.2643718778123436E-2</v>
      </c>
    </row>
    <row r="9187" spans="5:6" x14ac:dyDescent="0.35">
      <c r="E9187">
        <v>9184</v>
      </c>
      <c r="F9187">
        <f t="shared" ca="1" si="145"/>
        <v>1.8023792484379558E-2</v>
      </c>
    </row>
    <row r="9188" spans="5:6" x14ac:dyDescent="0.35">
      <c r="E9188">
        <v>9185</v>
      </c>
      <c r="F9188">
        <f t="shared" ca="1" si="145"/>
        <v>-1.7452155456696893E-2</v>
      </c>
    </row>
    <row r="9189" spans="5:6" x14ac:dyDescent="0.35">
      <c r="E9189">
        <v>9186</v>
      </c>
      <c r="F9189">
        <f t="shared" ca="1" si="145"/>
        <v>-8.4522667596678529E-3</v>
      </c>
    </row>
    <row r="9190" spans="5:6" x14ac:dyDescent="0.35">
      <c r="E9190">
        <v>9187</v>
      </c>
      <c r="F9190">
        <f t="shared" ca="1" si="145"/>
        <v>-2.7603477435709897E-3</v>
      </c>
    </row>
    <row r="9191" spans="5:6" x14ac:dyDescent="0.35">
      <c r="E9191">
        <v>9188</v>
      </c>
      <c r="F9191">
        <f t="shared" ca="1" si="145"/>
        <v>-8.6224906025511826E-3</v>
      </c>
    </row>
    <row r="9192" spans="5:6" x14ac:dyDescent="0.35">
      <c r="E9192">
        <v>9189</v>
      </c>
      <c r="F9192">
        <f t="shared" ca="1" si="145"/>
        <v>-1.6635226894019035E-2</v>
      </c>
    </row>
    <row r="9193" spans="5:6" x14ac:dyDescent="0.35">
      <c r="E9193">
        <v>9190</v>
      </c>
      <c r="F9193">
        <f t="shared" ca="1" si="145"/>
        <v>1.6741572043859976E-3</v>
      </c>
    </row>
    <row r="9194" spans="5:6" x14ac:dyDescent="0.35">
      <c r="E9194">
        <v>9191</v>
      </c>
      <c r="F9194">
        <f t="shared" ca="1" si="145"/>
        <v>7.334908798855168E-3</v>
      </c>
    </row>
    <row r="9195" spans="5:6" x14ac:dyDescent="0.35">
      <c r="E9195">
        <v>9192</v>
      </c>
      <c r="F9195">
        <f t="shared" ca="1" si="145"/>
        <v>-3.6979635759991601E-3</v>
      </c>
    </row>
    <row r="9196" spans="5:6" x14ac:dyDescent="0.35">
      <c r="E9196">
        <v>9193</v>
      </c>
      <c r="F9196">
        <f t="shared" ca="1" si="145"/>
        <v>-9.085397075307278E-3</v>
      </c>
    </row>
    <row r="9197" spans="5:6" x14ac:dyDescent="0.35">
      <c r="E9197">
        <v>9194</v>
      </c>
      <c r="F9197">
        <f t="shared" ca="1" si="145"/>
        <v>-5.4724014765670428E-3</v>
      </c>
    </row>
    <row r="9198" spans="5:6" x14ac:dyDescent="0.35">
      <c r="E9198">
        <v>9195</v>
      </c>
      <c r="F9198">
        <f t="shared" ca="1" si="145"/>
        <v>5.6138570727053512E-3</v>
      </c>
    </row>
    <row r="9199" spans="5:6" x14ac:dyDescent="0.35">
      <c r="E9199">
        <v>9196</v>
      </c>
      <c r="F9199">
        <f t="shared" ca="1" si="145"/>
        <v>7.8117843865741655E-3</v>
      </c>
    </row>
    <row r="9200" spans="5:6" x14ac:dyDescent="0.35">
      <c r="E9200">
        <v>9197</v>
      </c>
      <c r="F9200">
        <f t="shared" ca="1" si="145"/>
        <v>-9.810926557475886E-3</v>
      </c>
    </row>
    <row r="9201" spans="5:6" x14ac:dyDescent="0.35">
      <c r="E9201">
        <v>9198</v>
      </c>
      <c r="F9201">
        <f t="shared" ca="1" si="145"/>
        <v>-2.3464414396578578E-2</v>
      </c>
    </row>
    <row r="9202" spans="5:6" x14ac:dyDescent="0.35">
      <c r="E9202">
        <v>9199</v>
      </c>
      <c r="F9202">
        <f t="shared" ca="1" si="145"/>
        <v>2.8979605044521545E-2</v>
      </c>
    </row>
    <row r="9203" spans="5:6" x14ac:dyDescent="0.35">
      <c r="E9203">
        <v>9200</v>
      </c>
      <c r="F9203">
        <f t="shared" ca="1" si="145"/>
        <v>-6.8459918012053018E-3</v>
      </c>
    </row>
    <row r="9204" spans="5:6" x14ac:dyDescent="0.35">
      <c r="E9204">
        <v>9201</v>
      </c>
      <c r="F9204">
        <f t="shared" ca="1" si="145"/>
        <v>-7.1821423967530027E-3</v>
      </c>
    </row>
    <row r="9205" spans="5:6" x14ac:dyDescent="0.35">
      <c r="E9205">
        <v>9202</v>
      </c>
      <c r="F9205">
        <f t="shared" ca="1" si="145"/>
        <v>2.4583000230528649E-2</v>
      </c>
    </row>
    <row r="9206" spans="5:6" x14ac:dyDescent="0.35">
      <c r="E9206">
        <v>9203</v>
      </c>
      <c r="F9206">
        <f t="shared" ca="1" si="145"/>
        <v>-2.1089741957588771E-2</v>
      </c>
    </row>
    <row r="9207" spans="5:6" x14ac:dyDescent="0.35">
      <c r="E9207">
        <v>9204</v>
      </c>
      <c r="F9207">
        <f t="shared" ca="1" si="145"/>
        <v>-1.0569589883746898E-2</v>
      </c>
    </row>
    <row r="9208" spans="5:6" x14ac:dyDescent="0.35">
      <c r="E9208">
        <v>9205</v>
      </c>
      <c r="F9208">
        <f t="shared" ca="1" si="145"/>
        <v>-1.2171557884453104E-2</v>
      </c>
    </row>
    <row r="9209" spans="5:6" x14ac:dyDescent="0.35">
      <c r="E9209">
        <v>9206</v>
      </c>
      <c r="F9209">
        <f t="shared" ca="1" si="145"/>
        <v>2.1884759644804082E-2</v>
      </c>
    </row>
    <row r="9210" spans="5:6" x14ac:dyDescent="0.35">
      <c r="E9210">
        <v>9207</v>
      </c>
      <c r="F9210">
        <f t="shared" ca="1" si="145"/>
        <v>1.3245602163341931E-2</v>
      </c>
    </row>
    <row r="9211" spans="5:6" x14ac:dyDescent="0.35">
      <c r="E9211">
        <v>9208</v>
      </c>
      <c r="F9211">
        <f t="shared" ca="1" si="145"/>
        <v>9.683769404286462E-3</v>
      </c>
    </row>
    <row r="9212" spans="5:6" x14ac:dyDescent="0.35">
      <c r="E9212">
        <v>9209</v>
      </c>
      <c r="F9212">
        <f t="shared" ca="1" si="145"/>
        <v>-4.9234677343182242E-3</v>
      </c>
    </row>
    <row r="9213" spans="5:6" x14ac:dyDescent="0.35">
      <c r="E9213">
        <v>9210</v>
      </c>
      <c r="F9213">
        <f t="shared" ca="1" si="145"/>
        <v>2.5510727368628083E-2</v>
      </c>
    </row>
    <row r="9214" spans="5:6" x14ac:dyDescent="0.35">
      <c r="E9214">
        <v>9211</v>
      </c>
      <c r="F9214">
        <f t="shared" ca="1" si="145"/>
        <v>-8.9471082205147077E-3</v>
      </c>
    </row>
    <row r="9215" spans="5:6" x14ac:dyDescent="0.35">
      <c r="E9215">
        <v>9212</v>
      </c>
      <c r="F9215">
        <f t="shared" ca="1" si="145"/>
        <v>-2.8491139757666047E-2</v>
      </c>
    </row>
    <row r="9216" spans="5:6" x14ac:dyDescent="0.35">
      <c r="E9216">
        <v>9213</v>
      </c>
      <c r="F9216">
        <f t="shared" ca="1" si="145"/>
        <v>1.9139749520066272E-2</v>
      </c>
    </row>
    <row r="9217" spans="5:6" x14ac:dyDescent="0.35">
      <c r="E9217">
        <v>9214</v>
      </c>
      <c r="F9217">
        <f t="shared" ca="1" si="145"/>
        <v>4.4022318305514591E-2</v>
      </c>
    </row>
    <row r="9218" spans="5:6" x14ac:dyDescent="0.35">
      <c r="E9218">
        <v>9215</v>
      </c>
      <c r="F9218">
        <f t="shared" ca="1" si="145"/>
        <v>5.2409383028022387E-3</v>
      </c>
    </row>
    <row r="9219" spans="5:6" x14ac:dyDescent="0.35">
      <c r="E9219">
        <v>9216</v>
      </c>
      <c r="F9219">
        <f t="shared" ca="1" si="145"/>
        <v>6.9211033008407695E-3</v>
      </c>
    </row>
    <row r="9220" spans="5:6" x14ac:dyDescent="0.35">
      <c r="E9220">
        <v>9217</v>
      </c>
      <c r="F9220">
        <f t="shared" ca="1" si="145"/>
        <v>-9.6570902699448617E-3</v>
      </c>
    </row>
    <row r="9221" spans="5:6" x14ac:dyDescent="0.35">
      <c r="E9221">
        <v>9218</v>
      </c>
      <c r="F9221">
        <f t="shared" ref="F9221:F9284" ca="1" si="146">_xlfn.NORM.INV(RAND(),M$6,M$7)</f>
        <v>3.590197448161063E-2</v>
      </c>
    </row>
    <row r="9222" spans="5:6" x14ac:dyDescent="0.35">
      <c r="E9222">
        <v>9219</v>
      </c>
      <c r="F9222">
        <f t="shared" ca="1" si="146"/>
        <v>2.2184840803531888E-2</v>
      </c>
    </row>
    <row r="9223" spans="5:6" x14ac:dyDescent="0.35">
      <c r="E9223">
        <v>9220</v>
      </c>
      <c r="F9223">
        <f t="shared" ca="1" si="146"/>
        <v>8.5527908325296938E-3</v>
      </c>
    </row>
    <row r="9224" spans="5:6" x14ac:dyDescent="0.35">
      <c r="E9224">
        <v>9221</v>
      </c>
      <c r="F9224">
        <f t="shared" ca="1" si="146"/>
        <v>-2.6707044058844883E-2</v>
      </c>
    </row>
    <row r="9225" spans="5:6" x14ac:dyDescent="0.35">
      <c r="E9225">
        <v>9222</v>
      </c>
      <c r="F9225">
        <f t="shared" ca="1" si="146"/>
        <v>-1.7778004888542316E-2</v>
      </c>
    </row>
    <row r="9226" spans="5:6" x14ac:dyDescent="0.35">
      <c r="E9226">
        <v>9223</v>
      </c>
      <c r="F9226">
        <f t="shared" ca="1" si="146"/>
        <v>-9.6589129928959534E-3</v>
      </c>
    </row>
    <row r="9227" spans="5:6" x14ac:dyDescent="0.35">
      <c r="E9227">
        <v>9224</v>
      </c>
      <c r="F9227">
        <f t="shared" ca="1" si="146"/>
        <v>1.6332341158437416E-2</v>
      </c>
    </row>
    <row r="9228" spans="5:6" x14ac:dyDescent="0.35">
      <c r="E9228">
        <v>9225</v>
      </c>
      <c r="F9228">
        <f t="shared" ca="1" si="146"/>
        <v>6.4146785464693577E-3</v>
      </c>
    </row>
    <row r="9229" spans="5:6" x14ac:dyDescent="0.35">
      <c r="E9229">
        <v>9226</v>
      </c>
      <c r="F9229">
        <f t="shared" ca="1" si="146"/>
        <v>-7.2804853382099927E-3</v>
      </c>
    </row>
    <row r="9230" spans="5:6" x14ac:dyDescent="0.35">
      <c r="E9230">
        <v>9227</v>
      </c>
      <c r="F9230">
        <f t="shared" ca="1" si="146"/>
        <v>-1.0867396135691765E-2</v>
      </c>
    </row>
    <row r="9231" spans="5:6" x14ac:dyDescent="0.35">
      <c r="E9231">
        <v>9228</v>
      </c>
      <c r="F9231">
        <f t="shared" ca="1" si="146"/>
        <v>2.2853635383830243E-2</v>
      </c>
    </row>
    <row r="9232" spans="5:6" x14ac:dyDescent="0.35">
      <c r="E9232">
        <v>9229</v>
      </c>
      <c r="F9232">
        <f t="shared" ca="1" si="146"/>
        <v>3.295961425562962E-2</v>
      </c>
    </row>
    <row r="9233" spans="5:6" x14ac:dyDescent="0.35">
      <c r="E9233">
        <v>9230</v>
      </c>
      <c r="F9233">
        <f t="shared" ca="1" si="146"/>
        <v>-1.7553068286570845E-2</v>
      </c>
    </row>
    <row r="9234" spans="5:6" x14ac:dyDescent="0.35">
      <c r="E9234">
        <v>9231</v>
      </c>
      <c r="F9234">
        <f t="shared" ca="1" si="146"/>
        <v>2.1712947874489578E-2</v>
      </c>
    </row>
    <row r="9235" spans="5:6" x14ac:dyDescent="0.35">
      <c r="E9235">
        <v>9232</v>
      </c>
      <c r="F9235">
        <f t="shared" ca="1" si="146"/>
        <v>-4.2844912510897198E-3</v>
      </c>
    </row>
    <row r="9236" spans="5:6" x14ac:dyDescent="0.35">
      <c r="E9236">
        <v>9233</v>
      </c>
      <c r="F9236">
        <f t="shared" ca="1" si="146"/>
        <v>1.0013611327714955E-3</v>
      </c>
    </row>
    <row r="9237" spans="5:6" x14ac:dyDescent="0.35">
      <c r="E9237">
        <v>9234</v>
      </c>
      <c r="F9237">
        <f t="shared" ca="1" si="146"/>
        <v>3.8566600346079572E-3</v>
      </c>
    </row>
    <row r="9238" spans="5:6" x14ac:dyDescent="0.35">
      <c r="E9238">
        <v>9235</v>
      </c>
      <c r="F9238">
        <f t="shared" ca="1" si="146"/>
        <v>1.6386381758928502E-2</v>
      </c>
    </row>
    <row r="9239" spans="5:6" x14ac:dyDescent="0.35">
      <c r="E9239">
        <v>9236</v>
      </c>
      <c r="F9239">
        <f t="shared" ca="1" si="146"/>
        <v>7.4366279177221E-3</v>
      </c>
    </row>
    <row r="9240" spans="5:6" x14ac:dyDescent="0.35">
      <c r="E9240">
        <v>9237</v>
      </c>
      <c r="F9240">
        <f t="shared" ca="1" si="146"/>
        <v>-2.8141158810032138E-2</v>
      </c>
    </row>
    <row r="9241" spans="5:6" x14ac:dyDescent="0.35">
      <c r="E9241">
        <v>9238</v>
      </c>
      <c r="F9241">
        <f t="shared" ca="1" si="146"/>
        <v>1.4287526027106641E-3</v>
      </c>
    </row>
    <row r="9242" spans="5:6" x14ac:dyDescent="0.35">
      <c r="E9242">
        <v>9239</v>
      </c>
      <c r="F9242">
        <f t="shared" ca="1" si="146"/>
        <v>9.0650784371532327E-4</v>
      </c>
    </row>
    <row r="9243" spans="5:6" x14ac:dyDescent="0.35">
      <c r="E9243">
        <v>9240</v>
      </c>
      <c r="F9243">
        <f t="shared" ca="1" si="146"/>
        <v>-2.2394596827098229E-2</v>
      </c>
    </row>
    <row r="9244" spans="5:6" x14ac:dyDescent="0.35">
      <c r="E9244">
        <v>9241</v>
      </c>
      <c r="F9244">
        <f t="shared" ca="1" si="146"/>
        <v>2.3274450996857706E-2</v>
      </c>
    </row>
    <row r="9245" spans="5:6" x14ac:dyDescent="0.35">
      <c r="E9245">
        <v>9242</v>
      </c>
      <c r="F9245">
        <f t="shared" ca="1" si="146"/>
        <v>1.9741896952660841E-2</v>
      </c>
    </row>
    <row r="9246" spans="5:6" x14ac:dyDescent="0.35">
      <c r="E9246">
        <v>9243</v>
      </c>
      <c r="F9246">
        <f t="shared" ca="1" si="146"/>
        <v>-1.8203804751721026E-2</v>
      </c>
    </row>
    <row r="9247" spans="5:6" x14ac:dyDescent="0.35">
      <c r="E9247">
        <v>9244</v>
      </c>
      <c r="F9247">
        <f t="shared" ca="1" si="146"/>
        <v>5.8598767653675922E-3</v>
      </c>
    </row>
    <row r="9248" spans="5:6" x14ac:dyDescent="0.35">
      <c r="E9248">
        <v>9245</v>
      </c>
      <c r="F9248">
        <f t="shared" ca="1" si="146"/>
        <v>6.7246990280997636E-3</v>
      </c>
    </row>
    <row r="9249" spans="5:6" x14ac:dyDescent="0.35">
      <c r="E9249">
        <v>9246</v>
      </c>
      <c r="F9249">
        <f t="shared" ca="1" si="146"/>
        <v>-3.0637442428959157E-2</v>
      </c>
    </row>
    <row r="9250" spans="5:6" x14ac:dyDescent="0.35">
      <c r="E9250">
        <v>9247</v>
      </c>
      <c r="F9250">
        <f t="shared" ca="1" si="146"/>
        <v>-9.6531136146212997E-3</v>
      </c>
    </row>
    <row r="9251" spans="5:6" x14ac:dyDescent="0.35">
      <c r="E9251">
        <v>9248</v>
      </c>
      <c r="F9251">
        <f t="shared" ca="1" si="146"/>
        <v>4.3889121787211022E-3</v>
      </c>
    </row>
    <row r="9252" spans="5:6" x14ac:dyDescent="0.35">
      <c r="E9252">
        <v>9249</v>
      </c>
      <c r="F9252">
        <f t="shared" ca="1" si="146"/>
        <v>-3.3889669315682304E-2</v>
      </c>
    </row>
    <row r="9253" spans="5:6" x14ac:dyDescent="0.35">
      <c r="E9253">
        <v>9250</v>
      </c>
      <c r="F9253">
        <f t="shared" ca="1" si="146"/>
        <v>1.6997413752647631E-2</v>
      </c>
    </row>
    <row r="9254" spans="5:6" x14ac:dyDescent="0.35">
      <c r="E9254">
        <v>9251</v>
      </c>
      <c r="F9254">
        <f t="shared" ca="1" si="146"/>
        <v>1.9855532431191635E-4</v>
      </c>
    </row>
    <row r="9255" spans="5:6" x14ac:dyDescent="0.35">
      <c r="E9255">
        <v>9252</v>
      </c>
      <c r="F9255">
        <f t="shared" ca="1" si="146"/>
        <v>-1.7820136148892413E-3</v>
      </c>
    </row>
    <row r="9256" spans="5:6" x14ac:dyDescent="0.35">
      <c r="E9256">
        <v>9253</v>
      </c>
      <c r="F9256">
        <f t="shared" ca="1" si="146"/>
        <v>-1.0280936798900185E-2</v>
      </c>
    </row>
    <row r="9257" spans="5:6" x14ac:dyDescent="0.35">
      <c r="E9257">
        <v>9254</v>
      </c>
      <c r="F9257">
        <f t="shared" ca="1" si="146"/>
        <v>-3.9853032938595798E-3</v>
      </c>
    </row>
    <row r="9258" spans="5:6" x14ac:dyDescent="0.35">
      <c r="E9258">
        <v>9255</v>
      </c>
      <c r="F9258">
        <f t="shared" ca="1" si="146"/>
        <v>2.3860953285839391E-3</v>
      </c>
    </row>
    <row r="9259" spans="5:6" x14ac:dyDescent="0.35">
      <c r="E9259">
        <v>9256</v>
      </c>
      <c r="F9259">
        <f t="shared" ca="1" si="146"/>
        <v>-5.0085137260155012E-3</v>
      </c>
    </row>
    <row r="9260" spans="5:6" x14ac:dyDescent="0.35">
      <c r="E9260">
        <v>9257</v>
      </c>
      <c r="F9260">
        <f t="shared" ca="1" si="146"/>
        <v>1.0584547759106182E-3</v>
      </c>
    </row>
    <row r="9261" spans="5:6" x14ac:dyDescent="0.35">
      <c r="E9261">
        <v>9258</v>
      </c>
      <c r="F9261">
        <f t="shared" ca="1" si="146"/>
        <v>2.2672644661958136E-2</v>
      </c>
    </row>
    <row r="9262" spans="5:6" x14ac:dyDescent="0.35">
      <c r="E9262">
        <v>9259</v>
      </c>
      <c r="F9262">
        <f t="shared" ca="1" si="146"/>
        <v>1.670882806839492E-2</v>
      </c>
    </row>
    <row r="9263" spans="5:6" x14ac:dyDescent="0.35">
      <c r="E9263">
        <v>9260</v>
      </c>
      <c r="F9263">
        <f t="shared" ca="1" si="146"/>
        <v>1.3708205073748855E-2</v>
      </c>
    </row>
    <row r="9264" spans="5:6" x14ac:dyDescent="0.35">
      <c r="E9264">
        <v>9261</v>
      </c>
      <c r="F9264">
        <f t="shared" ca="1" si="146"/>
        <v>1.519079105872702E-2</v>
      </c>
    </row>
    <row r="9265" spans="5:6" x14ac:dyDescent="0.35">
      <c r="E9265">
        <v>9262</v>
      </c>
      <c r="F9265">
        <f t="shared" ca="1" si="146"/>
        <v>-4.9719139017279724E-3</v>
      </c>
    </row>
    <row r="9266" spans="5:6" x14ac:dyDescent="0.35">
      <c r="E9266">
        <v>9263</v>
      </c>
      <c r="F9266">
        <f t="shared" ca="1" si="146"/>
        <v>-7.1602716633218065E-3</v>
      </c>
    </row>
    <row r="9267" spans="5:6" x14ac:dyDescent="0.35">
      <c r="E9267">
        <v>9264</v>
      </c>
      <c r="F9267">
        <f t="shared" ca="1" si="146"/>
        <v>-1.5490146212558784E-3</v>
      </c>
    </row>
    <row r="9268" spans="5:6" x14ac:dyDescent="0.35">
      <c r="E9268">
        <v>9265</v>
      </c>
      <c r="F9268">
        <f t="shared" ca="1" si="146"/>
        <v>-5.8154330664202999E-3</v>
      </c>
    </row>
    <row r="9269" spans="5:6" x14ac:dyDescent="0.35">
      <c r="E9269">
        <v>9266</v>
      </c>
      <c r="F9269">
        <f t="shared" ca="1" si="146"/>
        <v>3.577192390964613E-3</v>
      </c>
    </row>
    <row r="9270" spans="5:6" x14ac:dyDescent="0.35">
      <c r="E9270">
        <v>9267</v>
      </c>
      <c r="F9270">
        <f t="shared" ca="1" si="146"/>
        <v>-1.1949572602060584E-2</v>
      </c>
    </row>
    <row r="9271" spans="5:6" x14ac:dyDescent="0.35">
      <c r="E9271">
        <v>9268</v>
      </c>
      <c r="F9271">
        <f t="shared" ca="1" si="146"/>
        <v>-1.7823145750145451E-2</v>
      </c>
    </row>
    <row r="9272" spans="5:6" x14ac:dyDescent="0.35">
      <c r="E9272">
        <v>9269</v>
      </c>
      <c r="F9272">
        <f t="shared" ca="1" si="146"/>
        <v>-3.0765545286843547E-2</v>
      </c>
    </row>
    <row r="9273" spans="5:6" x14ac:dyDescent="0.35">
      <c r="E9273">
        <v>9270</v>
      </c>
      <c r="F9273">
        <f t="shared" ca="1" si="146"/>
        <v>-1.7120852912758532E-3</v>
      </c>
    </row>
    <row r="9274" spans="5:6" x14ac:dyDescent="0.35">
      <c r="E9274">
        <v>9271</v>
      </c>
      <c r="F9274">
        <f t="shared" ca="1" si="146"/>
        <v>-5.5220490370684887E-4</v>
      </c>
    </row>
    <row r="9275" spans="5:6" x14ac:dyDescent="0.35">
      <c r="E9275">
        <v>9272</v>
      </c>
      <c r="F9275">
        <f t="shared" ca="1" si="146"/>
        <v>1.3426029695993654E-2</v>
      </c>
    </row>
    <row r="9276" spans="5:6" x14ac:dyDescent="0.35">
      <c r="E9276">
        <v>9273</v>
      </c>
      <c r="F9276">
        <f t="shared" ca="1" si="146"/>
        <v>-1.0161040125525562E-2</v>
      </c>
    </row>
    <row r="9277" spans="5:6" x14ac:dyDescent="0.35">
      <c r="E9277">
        <v>9274</v>
      </c>
      <c r="F9277">
        <f t="shared" ca="1" si="146"/>
        <v>3.3893623968492526E-3</v>
      </c>
    </row>
    <row r="9278" spans="5:6" x14ac:dyDescent="0.35">
      <c r="E9278">
        <v>9275</v>
      </c>
      <c r="F9278">
        <f t="shared" ca="1" si="146"/>
        <v>4.6227511606868939E-3</v>
      </c>
    </row>
    <row r="9279" spans="5:6" x14ac:dyDescent="0.35">
      <c r="E9279">
        <v>9276</v>
      </c>
      <c r="F9279">
        <f t="shared" ca="1" si="146"/>
        <v>-1.3147054574652588E-2</v>
      </c>
    </row>
    <row r="9280" spans="5:6" x14ac:dyDescent="0.35">
      <c r="E9280">
        <v>9277</v>
      </c>
      <c r="F9280">
        <f t="shared" ca="1" si="146"/>
        <v>2.2744171626139344E-3</v>
      </c>
    </row>
    <row r="9281" spans="5:6" x14ac:dyDescent="0.35">
      <c r="E9281">
        <v>9278</v>
      </c>
      <c r="F9281">
        <f t="shared" ca="1" si="146"/>
        <v>-1.4230564766291538E-2</v>
      </c>
    </row>
    <row r="9282" spans="5:6" x14ac:dyDescent="0.35">
      <c r="E9282">
        <v>9279</v>
      </c>
      <c r="F9282">
        <f t="shared" ca="1" si="146"/>
        <v>-6.9725627342766506E-3</v>
      </c>
    </row>
    <row r="9283" spans="5:6" x14ac:dyDescent="0.35">
      <c r="E9283">
        <v>9280</v>
      </c>
      <c r="F9283">
        <f t="shared" ca="1" si="146"/>
        <v>5.5229313831357003E-3</v>
      </c>
    </row>
    <row r="9284" spans="5:6" x14ac:dyDescent="0.35">
      <c r="E9284">
        <v>9281</v>
      </c>
      <c r="F9284">
        <f t="shared" ca="1" si="146"/>
        <v>-1.4115291086481914E-2</v>
      </c>
    </row>
    <row r="9285" spans="5:6" x14ac:dyDescent="0.35">
      <c r="E9285">
        <v>9282</v>
      </c>
      <c r="F9285">
        <f t="shared" ref="F9285:F9348" ca="1" si="147">_xlfn.NORM.INV(RAND(),M$6,M$7)</f>
        <v>5.5186663791284996E-3</v>
      </c>
    </row>
    <row r="9286" spans="5:6" x14ac:dyDescent="0.35">
      <c r="E9286">
        <v>9283</v>
      </c>
      <c r="F9286">
        <f t="shared" ca="1" si="147"/>
        <v>2.5333161150818739E-2</v>
      </c>
    </row>
    <row r="9287" spans="5:6" x14ac:dyDescent="0.35">
      <c r="E9287">
        <v>9284</v>
      </c>
      <c r="F9287">
        <f t="shared" ca="1" si="147"/>
        <v>5.1572282225254423E-3</v>
      </c>
    </row>
    <row r="9288" spans="5:6" x14ac:dyDescent="0.35">
      <c r="E9288">
        <v>9285</v>
      </c>
      <c r="F9288">
        <f t="shared" ca="1" si="147"/>
        <v>-2.8436480645156544E-3</v>
      </c>
    </row>
    <row r="9289" spans="5:6" x14ac:dyDescent="0.35">
      <c r="E9289">
        <v>9286</v>
      </c>
      <c r="F9289">
        <f t="shared" ca="1" si="147"/>
        <v>-1.3384911103648445E-3</v>
      </c>
    </row>
    <row r="9290" spans="5:6" x14ac:dyDescent="0.35">
      <c r="E9290">
        <v>9287</v>
      </c>
      <c r="F9290">
        <f t="shared" ca="1" si="147"/>
        <v>-2.6068769856383612E-2</v>
      </c>
    </row>
    <row r="9291" spans="5:6" x14ac:dyDescent="0.35">
      <c r="E9291">
        <v>9288</v>
      </c>
      <c r="F9291">
        <f t="shared" ca="1" si="147"/>
        <v>-2.7895744713782927E-3</v>
      </c>
    </row>
    <row r="9292" spans="5:6" x14ac:dyDescent="0.35">
      <c r="E9292">
        <v>9289</v>
      </c>
      <c r="F9292">
        <f t="shared" ca="1" si="147"/>
        <v>3.2290298094627512E-3</v>
      </c>
    </row>
    <row r="9293" spans="5:6" x14ac:dyDescent="0.35">
      <c r="E9293">
        <v>9290</v>
      </c>
      <c r="F9293">
        <f t="shared" ca="1" si="147"/>
        <v>1.1576856706074444E-2</v>
      </c>
    </row>
    <row r="9294" spans="5:6" x14ac:dyDescent="0.35">
      <c r="E9294">
        <v>9291</v>
      </c>
      <c r="F9294">
        <f t="shared" ca="1" si="147"/>
        <v>-9.7904664107373116E-3</v>
      </c>
    </row>
    <row r="9295" spans="5:6" x14ac:dyDescent="0.35">
      <c r="E9295">
        <v>9292</v>
      </c>
      <c r="F9295">
        <f t="shared" ca="1" si="147"/>
        <v>4.6581916021572585E-2</v>
      </c>
    </row>
    <row r="9296" spans="5:6" x14ac:dyDescent="0.35">
      <c r="E9296">
        <v>9293</v>
      </c>
      <c r="F9296">
        <f t="shared" ca="1" si="147"/>
        <v>-2.4136487480640283E-2</v>
      </c>
    </row>
    <row r="9297" spans="5:6" x14ac:dyDescent="0.35">
      <c r="E9297">
        <v>9294</v>
      </c>
      <c r="F9297">
        <f t="shared" ca="1" si="147"/>
        <v>-1.0917029669239624E-2</v>
      </c>
    </row>
    <row r="9298" spans="5:6" x14ac:dyDescent="0.35">
      <c r="E9298">
        <v>9295</v>
      </c>
      <c r="F9298">
        <f t="shared" ca="1" si="147"/>
        <v>6.3270839441258936E-3</v>
      </c>
    </row>
    <row r="9299" spans="5:6" x14ac:dyDescent="0.35">
      <c r="E9299">
        <v>9296</v>
      </c>
      <c r="F9299">
        <f t="shared" ca="1" si="147"/>
        <v>-1.7950614978427891E-2</v>
      </c>
    </row>
    <row r="9300" spans="5:6" x14ac:dyDescent="0.35">
      <c r="E9300">
        <v>9297</v>
      </c>
      <c r="F9300">
        <f t="shared" ca="1" si="147"/>
        <v>2.9826420996274155E-4</v>
      </c>
    </row>
    <row r="9301" spans="5:6" x14ac:dyDescent="0.35">
      <c r="E9301">
        <v>9298</v>
      </c>
      <c r="F9301">
        <f t="shared" ca="1" si="147"/>
        <v>3.2534569467671831E-2</v>
      </c>
    </row>
    <row r="9302" spans="5:6" x14ac:dyDescent="0.35">
      <c r="E9302">
        <v>9299</v>
      </c>
      <c r="F9302">
        <f t="shared" ca="1" si="147"/>
        <v>6.0073126128378255E-3</v>
      </c>
    </row>
    <row r="9303" spans="5:6" x14ac:dyDescent="0.35">
      <c r="E9303">
        <v>9300</v>
      </c>
      <c r="F9303">
        <f t="shared" ca="1" si="147"/>
        <v>8.1636979987575829E-3</v>
      </c>
    </row>
    <row r="9304" spans="5:6" x14ac:dyDescent="0.35">
      <c r="E9304">
        <v>9301</v>
      </c>
      <c r="F9304">
        <f t="shared" ca="1" si="147"/>
        <v>1.2958674707467097E-2</v>
      </c>
    </row>
    <row r="9305" spans="5:6" x14ac:dyDescent="0.35">
      <c r="E9305">
        <v>9302</v>
      </c>
      <c r="F9305">
        <f t="shared" ca="1" si="147"/>
        <v>2.0493614701332118E-2</v>
      </c>
    </row>
    <row r="9306" spans="5:6" x14ac:dyDescent="0.35">
      <c r="E9306">
        <v>9303</v>
      </c>
      <c r="F9306">
        <f t="shared" ca="1" si="147"/>
        <v>8.8637612766717302E-3</v>
      </c>
    </row>
    <row r="9307" spans="5:6" x14ac:dyDescent="0.35">
      <c r="E9307">
        <v>9304</v>
      </c>
      <c r="F9307">
        <f t="shared" ca="1" si="147"/>
        <v>-1.0879343295414974E-3</v>
      </c>
    </row>
    <row r="9308" spans="5:6" x14ac:dyDescent="0.35">
      <c r="E9308">
        <v>9305</v>
      </c>
      <c r="F9308">
        <f t="shared" ca="1" si="147"/>
        <v>-4.04251095424239E-3</v>
      </c>
    </row>
    <row r="9309" spans="5:6" x14ac:dyDescent="0.35">
      <c r="E9309">
        <v>9306</v>
      </c>
      <c r="F9309">
        <f t="shared" ca="1" si="147"/>
        <v>1.3057291456811214E-2</v>
      </c>
    </row>
    <row r="9310" spans="5:6" x14ac:dyDescent="0.35">
      <c r="E9310">
        <v>9307</v>
      </c>
      <c r="F9310">
        <f t="shared" ca="1" si="147"/>
        <v>9.5951461161605262E-3</v>
      </c>
    </row>
    <row r="9311" spans="5:6" x14ac:dyDescent="0.35">
      <c r="E9311">
        <v>9308</v>
      </c>
      <c r="F9311">
        <f t="shared" ca="1" si="147"/>
        <v>1.9447839185204752E-3</v>
      </c>
    </row>
    <row r="9312" spans="5:6" x14ac:dyDescent="0.35">
      <c r="E9312">
        <v>9309</v>
      </c>
      <c r="F9312">
        <f t="shared" ca="1" si="147"/>
        <v>3.4288328081985828E-2</v>
      </c>
    </row>
    <row r="9313" spans="5:6" x14ac:dyDescent="0.35">
      <c r="E9313">
        <v>9310</v>
      </c>
      <c r="F9313">
        <f t="shared" ca="1" si="147"/>
        <v>1.3837137282664594E-2</v>
      </c>
    </row>
    <row r="9314" spans="5:6" x14ac:dyDescent="0.35">
      <c r="E9314">
        <v>9311</v>
      </c>
      <c r="F9314">
        <f t="shared" ca="1" si="147"/>
        <v>7.6657474499060756E-3</v>
      </c>
    </row>
    <row r="9315" spans="5:6" x14ac:dyDescent="0.35">
      <c r="E9315">
        <v>9312</v>
      </c>
      <c r="F9315">
        <f t="shared" ca="1" si="147"/>
        <v>-1.3382674492279076E-2</v>
      </c>
    </row>
    <row r="9316" spans="5:6" x14ac:dyDescent="0.35">
      <c r="E9316">
        <v>9313</v>
      </c>
      <c r="F9316">
        <f t="shared" ca="1" si="147"/>
        <v>2.1924605614013441E-2</v>
      </c>
    </row>
    <row r="9317" spans="5:6" x14ac:dyDescent="0.35">
      <c r="E9317">
        <v>9314</v>
      </c>
      <c r="F9317">
        <f t="shared" ca="1" si="147"/>
        <v>7.3252278325121778E-4</v>
      </c>
    </row>
    <row r="9318" spans="5:6" x14ac:dyDescent="0.35">
      <c r="E9318">
        <v>9315</v>
      </c>
      <c r="F9318">
        <f t="shared" ca="1" si="147"/>
        <v>-3.0818196732565108E-3</v>
      </c>
    </row>
    <row r="9319" spans="5:6" x14ac:dyDescent="0.35">
      <c r="E9319">
        <v>9316</v>
      </c>
      <c r="F9319">
        <f t="shared" ca="1" si="147"/>
        <v>7.23053304667131E-3</v>
      </c>
    </row>
    <row r="9320" spans="5:6" x14ac:dyDescent="0.35">
      <c r="E9320">
        <v>9317</v>
      </c>
      <c r="F9320">
        <f t="shared" ca="1" si="147"/>
        <v>-8.8199819761073904E-3</v>
      </c>
    </row>
    <row r="9321" spans="5:6" x14ac:dyDescent="0.35">
      <c r="E9321">
        <v>9318</v>
      </c>
      <c r="F9321">
        <f t="shared" ca="1" si="147"/>
        <v>2.29924440152009E-2</v>
      </c>
    </row>
    <row r="9322" spans="5:6" x14ac:dyDescent="0.35">
      <c r="E9322">
        <v>9319</v>
      </c>
      <c r="F9322">
        <f t="shared" ca="1" si="147"/>
        <v>7.54667241776792E-3</v>
      </c>
    </row>
    <row r="9323" spans="5:6" x14ac:dyDescent="0.35">
      <c r="E9323">
        <v>9320</v>
      </c>
      <c r="F9323">
        <f t="shared" ca="1" si="147"/>
        <v>-3.4359278587427532E-3</v>
      </c>
    </row>
    <row r="9324" spans="5:6" x14ac:dyDescent="0.35">
      <c r="E9324">
        <v>9321</v>
      </c>
      <c r="F9324">
        <f t="shared" ca="1" si="147"/>
        <v>-8.5229076937125888E-3</v>
      </c>
    </row>
    <row r="9325" spans="5:6" x14ac:dyDescent="0.35">
      <c r="E9325">
        <v>9322</v>
      </c>
      <c r="F9325">
        <f t="shared" ca="1" si="147"/>
        <v>-7.8150140476184564E-3</v>
      </c>
    </row>
    <row r="9326" spans="5:6" x14ac:dyDescent="0.35">
      <c r="E9326">
        <v>9323</v>
      </c>
      <c r="F9326">
        <f t="shared" ca="1" si="147"/>
        <v>-5.0625608146051817E-3</v>
      </c>
    </row>
    <row r="9327" spans="5:6" x14ac:dyDescent="0.35">
      <c r="E9327">
        <v>9324</v>
      </c>
      <c r="F9327">
        <f t="shared" ca="1" si="147"/>
        <v>1.1646078878156458E-2</v>
      </c>
    </row>
    <row r="9328" spans="5:6" x14ac:dyDescent="0.35">
      <c r="E9328">
        <v>9325</v>
      </c>
      <c r="F9328">
        <f t="shared" ca="1" si="147"/>
        <v>7.7027194381063821E-3</v>
      </c>
    </row>
    <row r="9329" spans="5:6" x14ac:dyDescent="0.35">
      <c r="E9329">
        <v>9326</v>
      </c>
      <c r="F9329">
        <f t="shared" ca="1" si="147"/>
        <v>-1.6047239574192441E-2</v>
      </c>
    </row>
    <row r="9330" spans="5:6" x14ac:dyDescent="0.35">
      <c r="E9330">
        <v>9327</v>
      </c>
      <c r="F9330">
        <f t="shared" ca="1" si="147"/>
        <v>2.3019223295012662E-2</v>
      </c>
    </row>
    <row r="9331" spans="5:6" x14ac:dyDescent="0.35">
      <c r="E9331">
        <v>9328</v>
      </c>
      <c r="F9331">
        <f t="shared" ca="1" si="147"/>
        <v>3.5061560890318993E-3</v>
      </c>
    </row>
    <row r="9332" spans="5:6" x14ac:dyDescent="0.35">
      <c r="E9332">
        <v>9329</v>
      </c>
      <c r="F9332">
        <f t="shared" ca="1" si="147"/>
        <v>7.2365098769283176E-4</v>
      </c>
    </row>
    <row r="9333" spans="5:6" x14ac:dyDescent="0.35">
      <c r="E9333">
        <v>9330</v>
      </c>
      <c r="F9333">
        <f t="shared" ca="1" si="147"/>
        <v>4.6562303868736563E-3</v>
      </c>
    </row>
    <row r="9334" spans="5:6" x14ac:dyDescent="0.35">
      <c r="E9334">
        <v>9331</v>
      </c>
      <c r="F9334">
        <f t="shared" ca="1" si="147"/>
        <v>-7.1662613756744093E-3</v>
      </c>
    </row>
    <row r="9335" spans="5:6" x14ac:dyDescent="0.35">
      <c r="E9335">
        <v>9332</v>
      </c>
      <c r="F9335">
        <f t="shared" ca="1" si="147"/>
        <v>1.5707655421253072E-2</v>
      </c>
    </row>
    <row r="9336" spans="5:6" x14ac:dyDescent="0.35">
      <c r="E9336">
        <v>9333</v>
      </c>
      <c r="F9336">
        <f t="shared" ca="1" si="147"/>
        <v>2.5638618506982402E-2</v>
      </c>
    </row>
    <row r="9337" spans="5:6" x14ac:dyDescent="0.35">
      <c r="E9337">
        <v>9334</v>
      </c>
      <c r="F9337">
        <f t="shared" ca="1" si="147"/>
        <v>2.1970784762508477E-2</v>
      </c>
    </row>
    <row r="9338" spans="5:6" x14ac:dyDescent="0.35">
      <c r="E9338">
        <v>9335</v>
      </c>
      <c r="F9338">
        <f t="shared" ca="1" si="147"/>
        <v>6.1515064222728713E-3</v>
      </c>
    </row>
    <row r="9339" spans="5:6" x14ac:dyDescent="0.35">
      <c r="E9339">
        <v>9336</v>
      </c>
      <c r="F9339">
        <f t="shared" ca="1" si="147"/>
        <v>-3.0667061005214304E-2</v>
      </c>
    </row>
    <row r="9340" spans="5:6" x14ac:dyDescent="0.35">
      <c r="E9340">
        <v>9337</v>
      </c>
      <c r="F9340">
        <f t="shared" ca="1" si="147"/>
        <v>2.6625080491229705E-3</v>
      </c>
    </row>
    <row r="9341" spans="5:6" x14ac:dyDescent="0.35">
      <c r="E9341">
        <v>9338</v>
      </c>
      <c r="F9341">
        <f t="shared" ca="1" si="147"/>
        <v>2.9812601553202291E-2</v>
      </c>
    </row>
    <row r="9342" spans="5:6" x14ac:dyDescent="0.35">
      <c r="E9342">
        <v>9339</v>
      </c>
      <c r="F9342">
        <f t="shared" ca="1" si="147"/>
        <v>-1.9085534891717198E-2</v>
      </c>
    </row>
    <row r="9343" spans="5:6" x14ac:dyDescent="0.35">
      <c r="E9343">
        <v>9340</v>
      </c>
      <c r="F9343">
        <f t="shared" ca="1" si="147"/>
        <v>5.3843400912695783E-3</v>
      </c>
    </row>
    <row r="9344" spans="5:6" x14ac:dyDescent="0.35">
      <c r="E9344">
        <v>9341</v>
      </c>
      <c r="F9344">
        <f t="shared" ca="1" si="147"/>
        <v>-3.7533289824034028E-3</v>
      </c>
    </row>
    <row r="9345" spans="5:6" x14ac:dyDescent="0.35">
      <c r="E9345">
        <v>9342</v>
      </c>
      <c r="F9345">
        <f t="shared" ca="1" si="147"/>
        <v>-7.8010814160066177E-3</v>
      </c>
    </row>
    <row r="9346" spans="5:6" x14ac:dyDescent="0.35">
      <c r="E9346">
        <v>9343</v>
      </c>
      <c r="F9346">
        <f t="shared" ca="1" si="147"/>
        <v>1.1538732008425083E-2</v>
      </c>
    </row>
    <row r="9347" spans="5:6" x14ac:dyDescent="0.35">
      <c r="E9347">
        <v>9344</v>
      </c>
      <c r="F9347">
        <f t="shared" ca="1" si="147"/>
        <v>-1.22363233438247E-2</v>
      </c>
    </row>
    <row r="9348" spans="5:6" x14ac:dyDescent="0.35">
      <c r="E9348">
        <v>9345</v>
      </c>
      <c r="F9348">
        <f t="shared" ca="1" si="147"/>
        <v>-1.8933881331379753E-2</v>
      </c>
    </row>
    <row r="9349" spans="5:6" x14ac:dyDescent="0.35">
      <c r="E9349">
        <v>9346</v>
      </c>
      <c r="F9349">
        <f t="shared" ref="F9349:F9412" ca="1" si="148">_xlfn.NORM.INV(RAND(),M$6,M$7)</f>
        <v>1.2260630669321421E-2</v>
      </c>
    </row>
    <row r="9350" spans="5:6" x14ac:dyDescent="0.35">
      <c r="E9350">
        <v>9347</v>
      </c>
      <c r="F9350">
        <f t="shared" ca="1" si="148"/>
        <v>-7.3474017482435729E-3</v>
      </c>
    </row>
    <row r="9351" spans="5:6" x14ac:dyDescent="0.35">
      <c r="E9351">
        <v>9348</v>
      </c>
      <c r="F9351">
        <f t="shared" ca="1" si="148"/>
        <v>2.7620629932298146E-2</v>
      </c>
    </row>
    <row r="9352" spans="5:6" x14ac:dyDescent="0.35">
      <c r="E9352">
        <v>9349</v>
      </c>
      <c r="F9352">
        <f t="shared" ca="1" si="148"/>
        <v>1.2872829404029477E-2</v>
      </c>
    </row>
    <row r="9353" spans="5:6" x14ac:dyDescent="0.35">
      <c r="E9353">
        <v>9350</v>
      </c>
      <c r="F9353">
        <f t="shared" ca="1" si="148"/>
        <v>-9.1146207680038553E-4</v>
      </c>
    </row>
    <row r="9354" spans="5:6" x14ac:dyDescent="0.35">
      <c r="E9354">
        <v>9351</v>
      </c>
      <c r="F9354">
        <f t="shared" ca="1" si="148"/>
        <v>-1.0327643330434693E-2</v>
      </c>
    </row>
    <row r="9355" spans="5:6" x14ac:dyDescent="0.35">
      <c r="E9355">
        <v>9352</v>
      </c>
      <c r="F9355">
        <f t="shared" ca="1" si="148"/>
        <v>1.2262757683460856E-2</v>
      </c>
    </row>
    <row r="9356" spans="5:6" x14ac:dyDescent="0.35">
      <c r="E9356">
        <v>9353</v>
      </c>
      <c r="F9356">
        <f t="shared" ca="1" si="148"/>
        <v>-7.9387171733464063E-3</v>
      </c>
    </row>
    <row r="9357" spans="5:6" x14ac:dyDescent="0.35">
      <c r="E9357">
        <v>9354</v>
      </c>
      <c r="F9357">
        <f t="shared" ca="1" si="148"/>
        <v>1.5546092649512174E-2</v>
      </c>
    </row>
    <row r="9358" spans="5:6" x14ac:dyDescent="0.35">
      <c r="E9358">
        <v>9355</v>
      </c>
      <c r="F9358">
        <f t="shared" ca="1" si="148"/>
        <v>8.4665011677284123E-3</v>
      </c>
    </row>
    <row r="9359" spans="5:6" x14ac:dyDescent="0.35">
      <c r="E9359">
        <v>9356</v>
      </c>
      <c r="F9359">
        <f t="shared" ca="1" si="148"/>
        <v>-2.3184806563820687E-2</v>
      </c>
    </row>
    <row r="9360" spans="5:6" x14ac:dyDescent="0.35">
      <c r="E9360">
        <v>9357</v>
      </c>
      <c r="F9360">
        <f t="shared" ca="1" si="148"/>
        <v>-3.0550920517672542E-2</v>
      </c>
    </row>
    <row r="9361" spans="5:6" x14ac:dyDescent="0.35">
      <c r="E9361">
        <v>9358</v>
      </c>
      <c r="F9361">
        <f t="shared" ca="1" si="148"/>
        <v>-1.3987854795362536E-3</v>
      </c>
    </row>
    <row r="9362" spans="5:6" x14ac:dyDescent="0.35">
      <c r="E9362">
        <v>9359</v>
      </c>
      <c r="F9362">
        <f t="shared" ca="1" si="148"/>
        <v>1.3518608907336806E-2</v>
      </c>
    </row>
    <row r="9363" spans="5:6" x14ac:dyDescent="0.35">
      <c r="E9363">
        <v>9360</v>
      </c>
      <c r="F9363">
        <f t="shared" ca="1" si="148"/>
        <v>7.0629333037058222E-3</v>
      </c>
    </row>
    <row r="9364" spans="5:6" x14ac:dyDescent="0.35">
      <c r="E9364">
        <v>9361</v>
      </c>
      <c r="F9364">
        <f t="shared" ca="1" si="148"/>
        <v>-2.2426124838599147E-2</v>
      </c>
    </row>
    <row r="9365" spans="5:6" x14ac:dyDescent="0.35">
      <c r="E9365">
        <v>9362</v>
      </c>
      <c r="F9365">
        <f t="shared" ca="1" si="148"/>
        <v>2.372962858926795E-2</v>
      </c>
    </row>
    <row r="9366" spans="5:6" x14ac:dyDescent="0.35">
      <c r="E9366">
        <v>9363</v>
      </c>
      <c r="F9366">
        <f t="shared" ca="1" si="148"/>
        <v>-6.7272986407022114E-4</v>
      </c>
    </row>
    <row r="9367" spans="5:6" x14ac:dyDescent="0.35">
      <c r="E9367">
        <v>9364</v>
      </c>
      <c r="F9367">
        <f t="shared" ca="1" si="148"/>
        <v>-1.1926537345998904E-3</v>
      </c>
    </row>
    <row r="9368" spans="5:6" x14ac:dyDescent="0.35">
      <c r="E9368">
        <v>9365</v>
      </c>
      <c r="F9368">
        <f t="shared" ca="1" si="148"/>
        <v>-1.2119645073972419E-2</v>
      </c>
    </row>
    <row r="9369" spans="5:6" x14ac:dyDescent="0.35">
      <c r="E9369">
        <v>9366</v>
      </c>
      <c r="F9369">
        <f t="shared" ca="1" si="148"/>
        <v>-9.3847300507006581E-3</v>
      </c>
    </row>
    <row r="9370" spans="5:6" x14ac:dyDescent="0.35">
      <c r="E9370">
        <v>9367</v>
      </c>
      <c r="F9370">
        <f t="shared" ca="1" si="148"/>
        <v>2.397802446438619E-2</v>
      </c>
    </row>
    <row r="9371" spans="5:6" x14ac:dyDescent="0.35">
      <c r="E9371">
        <v>9368</v>
      </c>
      <c r="F9371">
        <f t="shared" ca="1" si="148"/>
        <v>1.9798831715117732E-2</v>
      </c>
    </row>
    <row r="9372" spans="5:6" x14ac:dyDescent="0.35">
      <c r="E9372">
        <v>9369</v>
      </c>
      <c r="F9372">
        <f t="shared" ca="1" si="148"/>
        <v>1.7008449812574374E-2</v>
      </c>
    </row>
    <row r="9373" spans="5:6" x14ac:dyDescent="0.35">
      <c r="E9373">
        <v>9370</v>
      </c>
      <c r="F9373">
        <f t="shared" ca="1" si="148"/>
        <v>-9.0144837132697941E-3</v>
      </c>
    </row>
    <row r="9374" spans="5:6" x14ac:dyDescent="0.35">
      <c r="E9374">
        <v>9371</v>
      </c>
      <c r="F9374">
        <f t="shared" ca="1" si="148"/>
        <v>-1.2231022323996912E-2</v>
      </c>
    </row>
    <row r="9375" spans="5:6" x14ac:dyDescent="0.35">
      <c r="E9375">
        <v>9372</v>
      </c>
      <c r="F9375">
        <f t="shared" ca="1" si="148"/>
        <v>-2.615383717289569E-2</v>
      </c>
    </row>
    <row r="9376" spans="5:6" x14ac:dyDescent="0.35">
      <c r="E9376">
        <v>9373</v>
      </c>
      <c r="F9376">
        <f t="shared" ca="1" si="148"/>
        <v>-2.2187662911559925E-2</v>
      </c>
    </row>
    <row r="9377" spans="5:6" x14ac:dyDescent="0.35">
      <c r="E9377">
        <v>9374</v>
      </c>
      <c r="F9377">
        <f t="shared" ca="1" si="148"/>
        <v>-1.3104072422824007E-3</v>
      </c>
    </row>
    <row r="9378" spans="5:6" x14ac:dyDescent="0.35">
      <c r="E9378">
        <v>9375</v>
      </c>
      <c r="F9378">
        <f t="shared" ca="1" si="148"/>
        <v>-1.8402016717685595E-2</v>
      </c>
    </row>
    <row r="9379" spans="5:6" x14ac:dyDescent="0.35">
      <c r="E9379">
        <v>9376</v>
      </c>
      <c r="F9379">
        <f t="shared" ca="1" si="148"/>
        <v>1.4096566730645622E-2</v>
      </c>
    </row>
    <row r="9380" spans="5:6" x14ac:dyDescent="0.35">
      <c r="E9380">
        <v>9377</v>
      </c>
      <c r="F9380">
        <f t="shared" ca="1" si="148"/>
        <v>2.9479259197983509E-2</v>
      </c>
    </row>
    <row r="9381" spans="5:6" x14ac:dyDescent="0.35">
      <c r="E9381">
        <v>9378</v>
      </c>
      <c r="F9381">
        <f t="shared" ca="1" si="148"/>
        <v>-2.5416803667842349E-2</v>
      </c>
    </row>
    <row r="9382" spans="5:6" x14ac:dyDescent="0.35">
      <c r="E9382">
        <v>9379</v>
      </c>
      <c r="F9382">
        <f t="shared" ca="1" si="148"/>
        <v>-1.4620629854957996E-2</v>
      </c>
    </row>
    <row r="9383" spans="5:6" x14ac:dyDescent="0.35">
      <c r="E9383">
        <v>9380</v>
      </c>
      <c r="F9383">
        <f t="shared" ca="1" si="148"/>
        <v>4.4582875521534445E-3</v>
      </c>
    </row>
    <row r="9384" spans="5:6" x14ac:dyDescent="0.35">
      <c r="E9384">
        <v>9381</v>
      </c>
      <c r="F9384">
        <f t="shared" ca="1" si="148"/>
        <v>-5.9681217749172439E-3</v>
      </c>
    </row>
    <row r="9385" spans="5:6" x14ac:dyDescent="0.35">
      <c r="E9385">
        <v>9382</v>
      </c>
      <c r="F9385">
        <f t="shared" ca="1" si="148"/>
        <v>1.118108659806822E-2</v>
      </c>
    </row>
    <row r="9386" spans="5:6" x14ac:dyDescent="0.35">
      <c r="E9386">
        <v>9383</v>
      </c>
      <c r="F9386">
        <f t="shared" ca="1" si="148"/>
        <v>4.1265909679153194E-3</v>
      </c>
    </row>
    <row r="9387" spans="5:6" x14ac:dyDescent="0.35">
      <c r="E9387">
        <v>9384</v>
      </c>
      <c r="F9387">
        <f t="shared" ca="1" si="148"/>
        <v>1.3212688906892252E-2</v>
      </c>
    </row>
    <row r="9388" spans="5:6" x14ac:dyDescent="0.35">
      <c r="E9388">
        <v>9385</v>
      </c>
      <c r="F9388">
        <f t="shared" ca="1" si="148"/>
        <v>-9.9132747803834208E-3</v>
      </c>
    </row>
    <row r="9389" spans="5:6" x14ac:dyDescent="0.35">
      <c r="E9389">
        <v>9386</v>
      </c>
      <c r="F9389">
        <f t="shared" ca="1" si="148"/>
        <v>2.4204207934337973E-3</v>
      </c>
    </row>
    <row r="9390" spans="5:6" x14ac:dyDescent="0.35">
      <c r="E9390">
        <v>9387</v>
      </c>
      <c r="F9390">
        <f t="shared" ca="1" si="148"/>
        <v>2.1765059052670357E-2</v>
      </c>
    </row>
    <row r="9391" spans="5:6" x14ac:dyDescent="0.35">
      <c r="E9391">
        <v>9388</v>
      </c>
      <c r="F9391">
        <f t="shared" ca="1" si="148"/>
        <v>2.3291569978325238E-2</v>
      </c>
    </row>
    <row r="9392" spans="5:6" x14ac:dyDescent="0.35">
      <c r="E9392">
        <v>9389</v>
      </c>
      <c r="F9392">
        <f t="shared" ca="1" si="148"/>
        <v>1.6419019335047354E-2</v>
      </c>
    </row>
    <row r="9393" spans="5:6" x14ac:dyDescent="0.35">
      <c r="E9393">
        <v>9390</v>
      </c>
      <c r="F9393">
        <f t="shared" ca="1" si="148"/>
        <v>1.1579804013883824E-4</v>
      </c>
    </row>
    <row r="9394" spans="5:6" x14ac:dyDescent="0.35">
      <c r="E9394">
        <v>9391</v>
      </c>
      <c r="F9394">
        <f t="shared" ca="1" si="148"/>
        <v>1.1983992469713016E-2</v>
      </c>
    </row>
    <row r="9395" spans="5:6" x14ac:dyDescent="0.35">
      <c r="E9395">
        <v>9392</v>
      </c>
      <c r="F9395">
        <f t="shared" ca="1" si="148"/>
        <v>1.3462542391907454E-2</v>
      </c>
    </row>
    <row r="9396" spans="5:6" x14ac:dyDescent="0.35">
      <c r="E9396">
        <v>9393</v>
      </c>
      <c r="F9396">
        <f t="shared" ca="1" si="148"/>
        <v>-1.9156137480285437E-2</v>
      </c>
    </row>
    <row r="9397" spans="5:6" x14ac:dyDescent="0.35">
      <c r="E9397">
        <v>9394</v>
      </c>
      <c r="F9397">
        <f t="shared" ca="1" si="148"/>
        <v>-2.5088687825863761E-2</v>
      </c>
    </row>
    <row r="9398" spans="5:6" x14ac:dyDescent="0.35">
      <c r="E9398">
        <v>9395</v>
      </c>
      <c r="F9398">
        <f t="shared" ca="1" si="148"/>
        <v>1.2934733717193779E-2</v>
      </c>
    </row>
    <row r="9399" spans="5:6" x14ac:dyDescent="0.35">
      <c r="E9399">
        <v>9396</v>
      </c>
      <c r="F9399">
        <f t="shared" ca="1" si="148"/>
        <v>2.0333406252571844E-3</v>
      </c>
    </row>
    <row r="9400" spans="5:6" x14ac:dyDescent="0.35">
      <c r="E9400">
        <v>9397</v>
      </c>
      <c r="F9400">
        <f t="shared" ca="1" si="148"/>
        <v>-1.518388138280176E-3</v>
      </c>
    </row>
    <row r="9401" spans="5:6" x14ac:dyDescent="0.35">
      <c r="E9401">
        <v>9398</v>
      </c>
      <c r="F9401">
        <f t="shared" ca="1" si="148"/>
        <v>-2.6528499101253159E-3</v>
      </c>
    </row>
    <row r="9402" spans="5:6" x14ac:dyDescent="0.35">
      <c r="E9402">
        <v>9399</v>
      </c>
      <c r="F9402">
        <f t="shared" ca="1" si="148"/>
        <v>-1.0227980578933621E-3</v>
      </c>
    </row>
    <row r="9403" spans="5:6" x14ac:dyDescent="0.35">
      <c r="E9403">
        <v>9400</v>
      </c>
      <c r="F9403">
        <f t="shared" ca="1" si="148"/>
        <v>-2.33210425693063E-2</v>
      </c>
    </row>
    <row r="9404" spans="5:6" x14ac:dyDescent="0.35">
      <c r="E9404">
        <v>9401</v>
      </c>
      <c r="F9404">
        <f t="shared" ca="1" si="148"/>
        <v>-1.1250251731739375E-2</v>
      </c>
    </row>
    <row r="9405" spans="5:6" x14ac:dyDescent="0.35">
      <c r="E9405">
        <v>9402</v>
      </c>
      <c r="F9405">
        <f t="shared" ca="1" si="148"/>
        <v>2.5811848040913424E-2</v>
      </c>
    </row>
    <row r="9406" spans="5:6" x14ac:dyDescent="0.35">
      <c r="E9406">
        <v>9403</v>
      </c>
      <c r="F9406">
        <f t="shared" ca="1" si="148"/>
        <v>1.4378504105647347E-2</v>
      </c>
    </row>
    <row r="9407" spans="5:6" x14ac:dyDescent="0.35">
      <c r="E9407">
        <v>9404</v>
      </c>
      <c r="F9407">
        <f t="shared" ca="1" si="148"/>
        <v>3.4194130296102759E-4</v>
      </c>
    </row>
    <row r="9408" spans="5:6" x14ac:dyDescent="0.35">
      <c r="E9408">
        <v>9405</v>
      </c>
      <c r="F9408">
        <f t="shared" ca="1" si="148"/>
        <v>-3.2316572775631165E-2</v>
      </c>
    </row>
    <row r="9409" spans="5:6" x14ac:dyDescent="0.35">
      <c r="E9409">
        <v>9406</v>
      </c>
      <c r="F9409">
        <f t="shared" ca="1" si="148"/>
        <v>-1.1230585443129654E-2</v>
      </c>
    </row>
    <row r="9410" spans="5:6" x14ac:dyDescent="0.35">
      <c r="E9410">
        <v>9407</v>
      </c>
      <c r="F9410">
        <f t="shared" ca="1" si="148"/>
        <v>2.5613425982708936E-3</v>
      </c>
    </row>
    <row r="9411" spans="5:6" x14ac:dyDescent="0.35">
      <c r="E9411">
        <v>9408</v>
      </c>
      <c r="F9411">
        <f t="shared" ca="1" si="148"/>
        <v>1.3506542712706253E-2</v>
      </c>
    </row>
    <row r="9412" spans="5:6" x14ac:dyDescent="0.35">
      <c r="E9412">
        <v>9409</v>
      </c>
      <c r="F9412">
        <f t="shared" ca="1" si="148"/>
        <v>1.6258110997790599E-2</v>
      </c>
    </row>
    <row r="9413" spans="5:6" x14ac:dyDescent="0.35">
      <c r="E9413">
        <v>9410</v>
      </c>
      <c r="F9413">
        <f t="shared" ref="F9413:F9476" ca="1" si="149">_xlfn.NORM.INV(RAND(),M$6,M$7)</f>
        <v>-1.0734359414979312E-2</v>
      </c>
    </row>
    <row r="9414" spans="5:6" x14ac:dyDescent="0.35">
      <c r="E9414">
        <v>9411</v>
      </c>
      <c r="F9414">
        <f t="shared" ca="1" si="149"/>
        <v>1.2691301389498113E-2</v>
      </c>
    </row>
    <row r="9415" spans="5:6" x14ac:dyDescent="0.35">
      <c r="E9415">
        <v>9412</v>
      </c>
      <c r="F9415">
        <f t="shared" ca="1" si="149"/>
        <v>-5.2083970295701632E-3</v>
      </c>
    </row>
    <row r="9416" spans="5:6" x14ac:dyDescent="0.35">
      <c r="E9416">
        <v>9413</v>
      </c>
      <c r="F9416">
        <f t="shared" ca="1" si="149"/>
        <v>-6.3776109896239684E-3</v>
      </c>
    </row>
    <row r="9417" spans="5:6" x14ac:dyDescent="0.35">
      <c r="E9417">
        <v>9414</v>
      </c>
      <c r="F9417">
        <f t="shared" ca="1" si="149"/>
        <v>1.614215103062995E-2</v>
      </c>
    </row>
    <row r="9418" spans="5:6" x14ac:dyDescent="0.35">
      <c r="E9418">
        <v>9415</v>
      </c>
      <c r="F9418">
        <f t="shared" ca="1" si="149"/>
        <v>1.6531450984521901E-2</v>
      </c>
    </row>
    <row r="9419" spans="5:6" x14ac:dyDescent="0.35">
      <c r="E9419">
        <v>9416</v>
      </c>
      <c r="F9419">
        <f t="shared" ca="1" si="149"/>
        <v>2.1478490880811895E-2</v>
      </c>
    </row>
    <row r="9420" spans="5:6" x14ac:dyDescent="0.35">
      <c r="E9420">
        <v>9417</v>
      </c>
      <c r="F9420">
        <f t="shared" ca="1" si="149"/>
        <v>-8.1529994782068814E-3</v>
      </c>
    </row>
    <row r="9421" spans="5:6" x14ac:dyDescent="0.35">
      <c r="E9421">
        <v>9418</v>
      </c>
      <c r="F9421">
        <f t="shared" ca="1" si="149"/>
        <v>4.913366765270725E-3</v>
      </c>
    </row>
    <row r="9422" spans="5:6" x14ac:dyDescent="0.35">
      <c r="E9422">
        <v>9419</v>
      </c>
      <c r="F9422">
        <f t="shared" ca="1" si="149"/>
        <v>5.5528733321960544E-3</v>
      </c>
    </row>
    <row r="9423" spans="5:6" x14ac:dyDescent="0.35">
      <c r="E9423">
        <v>9420</v>
      </c>
      <c r="F9423">
        <f t="shared" ca="1" si="149"/>
        <v>-9.5907177689559947E-3</v>
      </c>
    </row>
    <row r="9424" spans="5:6" x14ac:dyDescent="0.35">
      <c r="E9424">
        <v>9421</v>
      </c>
      <c r="F9424">
        <f t="shared" ca="1" si="149"/>
        <v>-1.1835831152883692E-2</v>
      </c>
    </row>
    <row r="9425" spans="5:6" x14ac:dyDescent="0.35">
      <c r="E9425">
        <v>9422</v>
      </c>
      <c r="F9425">
        <f t="shared" ca="1" si="149"/>
        <v>1.940217319240424E-2</v>
      </c>
    </row>
    <row r="9426" spans="5:6" x14ac:dyDescent="0.35">
      <c r="E9426">
        <v>9423</v>
      </c>
      <c r="F9426">
        <f t="shared" ca="1" si="149"/>
        <v>1.6625454837382132E-3</v>
      </c>
    </row>
    <row r="9427" spans="5:6" x14ac:dyDescent="0.35">
      <c r="E9427">
        <v>9424</v>
      </c>
      <c r="F9427">
        <f t="shared" ca="1" si="149"/>
        <v>-7.1128407147319087E-3</v>
      </c>
    </row>
    <row r="9428" spans="5:6" x14ac:dyDescent="0.35">
      <c r="E9428">
        <v>9425</v>
      </c>
      <c r="F9428">
        <f t="shared" ca="1" si="149"/>
        <v>8.5215639830132656E-3</v>
      </c>
    </row>
    <row r="9429" spans="5:6" x14ac:dyDescent="0.35">
      <c r="E9429">
        <v>9426</v>
      </c>
      <c r="F9429">
        <f t="shared" ca="1" si="149"/>
        <v>3.6718815581966407E-2</v>
      </c>
    </row>
    <row r="9430" spans="5:6" x14ac:dyDescent="0.35">
      <c r="E9430">
        <v>9427</v>
      </c>
      <c r="F9430">
        <f t="shared" ca="1" si="149"/>
        <v>6.3370347514648106E-3</v>
      </c>
    </row>
    <row r="9431" spans="5:6" x14ac:dyDescent="0.35">
      <c r="E9431">
        <v>9428</v>
      </c>
      <c r="F9431">
        <f t="shared" ca="1" si="149"/>
        <v>-1.6906531918742585E-3</v>
      </c>
    </row>
    <row r="9432" spans="5:6" x14ac:dyDescent="0.35">
      <c r="E9432">
        <v>9429</v>
      </c>
      <c r="F9432">
        <f t="shared" ca="1" si="149"/>
        <v>9.9676069844188298E-3</v>
      </c>
    </row>
    <row r="9433" spans="5:6" x14ac:dyDescent="0.35">
      <c r="E9433">
        <v>9430</v>
      </c>
      <c r="F9433">
        <f t="shared" ca="1" si="149"/>
        <v>-2.4799940420773322E-2</v>
      </c>
    </row>
    <row r="9434" spans="5:6" x14ac:dyDescent="0.35">
      <c r="E9434">
        <v>9431</v>
      </c>
      <c r="F9434">
        <f t="shared" ca="1" si="149"/>
        <v>9.7722748092057242E-3</v>
      </c>
    </row>
    <row r="9435" spans="5:6" x14ac:dyDescent="0.35">
      <c r="E9435">
        <v>9432</v>
      </c>
      <c r="F9435">
        <f t="shared" ca="1" si="149"/>
        <v>1.420598855942445E-2</v>
      </c>
    </row>
    <row r="9436" spans="5:6" x14ac:dyDescent="0.35">
      <c r="E9436">
        <v>9433</v>
      </c>
      <c r="F9436">
        <f t="shared" ca="1" si="149"/>
        <v>1.5183085867159834E-2</v>
      </c>
    </row>
    <row r="9437" spans="5:6" x14ac:dyDescent="0.35">
      <c r="E9437">
        <v>9434</v>
      </c>
      <c r="F9437">
        <f t="shared" ca="1" si="149"/>
        <v>4.4848719609691147E-3</v>
      </c>
    </row>
    <row r="9438" spans="5:6" x14ac:dyDescent="0.35">
      <c r="E9438">
        <v>9435</v>
      </c>
      <c r="F9438">
        <f t="shared" ca="1" si="149"/>
        <v>-1.174821351167891E-2</v>
      </c>
    </row>
    <row r="9439" spans="5:6" x14ac:dyDescent="0.35">
      <c r="E9439">
        <v>9436</v>
      </c>
      <c r="F9439">
        <f t="shared" ca="1" si="149"/>
        <v>-2.8149753896887852E-2</v>
      </c>
    </row>
    <row r="9440" spans="5:6" x14ac:dyDescent="0.35">
      <c r="E9440">
        <v>9437</v>
      </c>
      <c r="F9440">
        <f t="shared" ca="1" si="149"/>
        <v>-7.3739566791067397E-3</v>
      </c>
    </row>
    <row r="9441" spans="5:6" x14ac:dyDescent="0.35">
      <c r="E9441">
        <v>9438</v>
      </c>
      <c r="F9441">
        <f t="shared" ca="1" si="149"/>
        <v>-5.6461716692878684E-3</v>
      </c>
    </row>
    <row r="9442" spans="5:6" x14ac:dyDescent="0.35">
      <c r="E9442">
        <v>9439</v>
      </c>
      <c r="F9442">
        <f t="shared" ca="1" si="149"/>
        <v>1.6869300391077157E-2</v>
      </c>
    </row>
    <row r="9443" spans="5:6" x14ac:dyDescent="0.35">
      <c r="E9443">
        <v>9440</v>
      </c>
      <c r="F9443">
        <f t="shared" ca="1" si="149"/>
        <v>-5.5877293251177466E-3</v>
      </c>
    </row>
    <row r="9444" spans="5:6" x14ac:dyDescent="0.35">
      <c r="E9444">
        <v>9441</v>
      </c>
      <c r="F9444">
        <f t="shared" ca="1" si="149"/>
        <v>-2.50808379414868E-2</v>
      </c>
    </row>
    <row r="9445" spans="5:6" x14ac:dyDescent="0.35">
      <c r="E9445">
        <v>9442</v>
      </c>
      <c r="F9445">
        <f t="shared" ca="1" si="149"/>
        <v>1.3436850362168351E-2</v>
      </c>
    </row>
    <row r="9446" spans="5:6" x14ac:dyDescent="0.35">
      <c r="E9446">
        <v>9443</v>
      </c>
      <c r="F9446">
        <f t="shared" ca="1" si="149"/>
        <v>-2.0073706141378118E-2</v>
      </c>
    </row>
    <row r="9447" spans="5:6" x14ac:dyDescent="0.35">
      <c r="E9447">
        <v>9444</v>
      </c>
      <c r="F9447">
        <f t="shared" ca="1" si="149"/>
        <v>3.0845297604187571E-4</v>
      </c>
    </row>
    <row r="9448" spans="5:6" x14ac:dyDescent="0.35">
      <c r="E9448">
        <v>9445</v>
      </c>
      <c r="F9448">
        <f t="shared" ca="1" si="149"/>
        <v>4.6868516162250013E-3</v>
      </c>
    </row>
    <row r="9449" spans="5:6" x14ac:dyDescent="0.35">
      <c r="E9449">
        <v>9446</v>
      </c>
      <c r="F9449">
        <f t="shared" ca="1" si="149"/>
        <v>1.9547010848035705E-3</v>
      </c>
    </row>
    <row r="9450" spans="5:6" x14ac:dyDescent="0.35">
      <c r="E9450">
        <v>9447</v>
      </c>
      <c r="F9450">
        <f t="shared" ca="1" si="149"/>
        <v>2.0993676330500831E-2</v>
      </c>
    </row>
    <row r="9451" spans="5:6" x14ac:dyDescent="0.35">
      <c r="E9451">
        <v>9448</v>
      </c>
      <c r="F9451">
        <f t="shared" ca="1" si="149"/>
        <v>-1.8285866498157721E-2</v>
      </c>
    </row>
    <row r="9452" spans="5:6" x14ac:dyDescent="0.35">
      <c r="E9452">
        <v>9449</v>
      </c>
      <c r="F9452">
        <f t="shared" ca="1" si="149"/>
        <v>7.3184818785332071E-3</v>
      </c>
    </row>
    <row r="9453" spans="5:6" x14ac:dyDescent="0.35">
      <c r="E9453">
        <v>9450</v>
      </c>
      <c r="F9453">
        <f t="shared" ca="1" si="149"/>
        <v>1.5226802120340464E-2</v>
      </c>
    </row>
    <row r="9454" spans="5:6" x14ac:dyDescent="0.35">
      <c r="E9454">
        <v>9451</v>
      </c>
      <c r="F9454">
        <f t="shared" ca="1" si="149"/>
        <v>1.2838605305815492E-2</v>
      </c>
    </row>
    <row r="9455" spans="5:6" x14ac:dyDescent="0.35">
      <c r="E9455">
        <v>9452</v>
      </c>
      <c r="F9455">
        <f t="shared" ca="1" si="149"/>
        <v>-1.1645717424287298E-2</v>
      </c>
    </row>
    <row r="9456" spans="5:6" x14ac:dyDescent="0.35">
      <c r="E9456">
        <v>9453</v>
      </c>
      <c r="F9456">
        <f t="shared" ca="1" si="149"/>
        <v>-2.6105566763757527E-3</v>
      </c>
    </row>
    <row r="9457" spans="5:6" x14ac:dyDescent="0.35">
      <c r="E9457">
        <v>9454</v>
      </c>
      <c r="F9457">
        <f t="shared" ca="1" si="149"/>
        <v>7.8039964404539343E-3</v>
      </c>
    </row>
    <row r="9458" spans="5:6" x14ac:dyDescent="0.35">
      <c r="E9458">
        <v>9455</v>
      </c>
      <c r="F9458">
        <f t="shared" ca="1" si="149"/>
        <v>-2.5491358499572077E-2</v>
      </c>
    </row>
    <row r="9459" spans="5:6" x14ac:dyDescent="0.35">
      <c r="E9459">
        <v>9456</v>
      </c>
      <c r="F9459">
        <f t="shared" ca="1" si="149"/>
        <v>-2.754070861366691E-3</v>
      </c>
    </row>
    <row r="9460" spans="5:6" x14ac:dyDescent="0.35">
      <c r="E9460">
        <v>9457</v>
      </c>
      <c r="F9460">
        <f t="shared" ca="1" si="149"/>
        <v>3.9779950231127476E-3</v>
      </c>
    </row>
    <row r="9461" spans="5:6" x14ac:dyDescent="0.35">
      <c r="E9461">
        <v>9458</v>
      </c>
      <c r="F9461">
        <f t="shared" ca="1" si="149"/>
        <v>-1.2259531508810284E-2</v>
      </c>
    </row>
    <row r="9462" spans="5:6" x14ac:dyDescent="0.35">
      <c r="E9462">
        <v>9459</v>
      </c>
      <c r="F9462">
        <f t="shared" ca="1" si="149"/>
        <v>-2.0656729409354545E-2</v>
      </c>
    </row>
    <row r="9463" spans="5:6" x14ac:dyDescent="0.35">
      <c r="E9463">
        <v>9460</v>
      </c>
      <c r="F9463">
        <f t="shared" ca="1" si="149"/>
        <v>1.941262415952779E-2</v>
      </c>
    </row>
    <row r="9464" spans="5:6" x14ac:dyDescent="0.35">
      <c r="E9464">
        <v>9461</v>
      </c>
      <c r="F9464">
        <f t="shared" ca="1" si="149"/>
        <v>3.9199369188956858E-3</v>
      </c>
    </row>
    <row r="9465" spans="5:6" x14ac:dyDescent="0.35">
      <c r="E9465">
        <v>9462</v>
      </c>
      <c r="F9465">
        <f t="shared" ca="1" si="149"/>
        <v>7.9547459677084733E-3</v>
      </c>
    </row>
    <row r="9466" spans="5:6" x14ac:dyDescent="0.35">
      <c r="E9466">
        <v>9463</v>
      </c>
      <c r="F9466">
        <f t="shared" ca="1" si="149"/>
        <v>1.7440917582461669E-2</v>
      </c>
    </row>
    <row r="9467" spans="5:6" x14ac:dyDescent="0.35">
      <c r="E9467">
        <v>9464</v>
      </c>
      <c r="F9467">
        <f t="shared" ca="1" si="149"/>
        <v>1.2702188196939477E-2</v>
      </c>
    </row>
    <row r="9468" spans="5:6" x14ac:dyDescent="0.35">
      <c r="E9468">
        <v>9465</v>
      </c>
      <c r="F9468">
        <f t="shared" ca="1" si="149"/>
        <v>2.1400634184072325E-2</v>
      </c>
    </row>
    <row r="9469" spans="5:6" x14ac:dyDescent="0.35">
      <c r="E9469">
        <v>9466</v>
      </c>
      <c r="F9469">
        <f t="shared" ca="1" si="149"/>
        <v>-8.8467085783225439E-4</v>
      </c>
    </row>
    <row r="9470" spans="5:6" x14ac:dyDescent="0.35">
      <c r="E9470">
        <v>9467</v>
      </c>
      <c r="F9470">
        <f t="shared" ca="1" si="149"/>
        <v>-8.1565165156522717E-3</v>
      </c>
    </row>
    <row r="9471" spans="5:6" x14ac:dyDescent="0.35">
      <c r="E9471">
        <v>9468</v>
      </c>
      <c r="F9471">
        <f t="shared" ca="1" si="149"/>
        <v>-2.1450557088509709E-2</v>
      </c>
    </row>
    <row r="9472" spans="5:6" x14ac:dyDescent="0.35">
      <c r="E9472">
        <v>9469</v>
      </c>
      <c r="F9472">
        <f t="shared" ca="1" si="149"/>
        <v>1.4816785547806458E-3</v>
      </c>
    </row>
    <row r="9473" spans="5:6" x14ac:dyDescent="0.35">
      <c r="E9473">
        <v>9470</v>
      </c>
      <c r="F9473">
        <f t="shared" ca="1" si="149"/>
        <v>2.243855026013401E-2</v>
      </c>
    </row>
    <row r="9474" spans="5:6" x14ac:dyDescent="0.35">
      <c r="E9474">
        <v>9471</v>
      </c>
      <c r="F9474">
        <f t="shared" ca="1" si="149"/>
        <v>2.8059239783808578E-3</v>
      </c>
    </row>
    <row r="9475" spans="5:6" x14ac:dyDescent="0.35">
      <c r="E9475">
        <v>9472</v>
      </c>
      <c r="F9475">
        <f t="shared" ca="1" si="149"/>
        <v>-3.3473458145408405E-2</v>
      </c>
    </row>
    <row r="9476" spans="5:6" x14ac:dyDescent="0.35">
      <c r="E9476">
        <v>9473</v>
      </c>
      <c r="F9476">
        <f t="shared" ca="1" si="149"/>
        <v>1.9627625663285056E-3</v>
      </c>
    </row>
    <row r="9477" spans="5:6" x14ac:dyDescent="0.35">
      <c r="E9477">
        <v>9474</v>
      </c>
      <c r="F9477">
        <f t="shared" ref="F9477:F9540" ca="1" si="150">_xlfn.NORM.INV(RAND(),M$6,M$7)</f>
        <v>8.7924489708352919E-3</v>
      </c>
    </row>
    <row r="9478" spans="5:6" x14ac:dyDescent="0.35">
      <c r="E9478">
        <v>9475</v>
      </c>
      <c r="F9478">
        <f t="shared" ca="1" si="150"/>
        <v>1.0756155310115508E-2</v>
      </c>
    </row>
    <row r="9479" spans="5:6" x14ac:dyDescent="0.35">
      <c r="E9479">
        <v>9476</v>
      </c>
      <c r="F9479">
        <f t="shared" ca="1" si="150"/>
        <v>-2.6512397201691579E-3</v>
      </c>
    </row>
    <row r="9480" spans="5:6" x14ac:dyDescent="0.35">
      <c r="E9480">
        <v>9477</v>
      </c>
      <c r="F9480">
        <f t="shared" ca="1" si="150"/>
        <v>-7.6833204901634766E-4</v>
      </c>
    </row>
    <row r="9481" spans="5:6" x14ac:dyDescent="0.35">
      <c r="E9481">
        <v>9478</v>
      </c>
      <c r="F9481">
        <f t="shared" ca="1" si="150"/>
        <v>2.4589449273115134E-3</v>
      </c>
    </row>
    <row r="9482" spans="5:6" x14ac:dyDescent="0.35">
      <c r="E9482">
        <v>9479</v>
      </c>
      <c r="F9482">
        <f t="shared" ca="1" si="150"/>
        <v>2.4090003674111377E-2</v>
      </c>
    </row>
    <row r="9483" spans="5:6" x14ac:dyDescent="0.35">
      <c r="E9483">
        <v>9480</v>
      </c>
      <c r="F9483">
        <f t="shared" ca="1" si="150"/>
        <v>9.7658846713163526E-4</v>
      </c>
    </row>
    <row r="9484" spans="5:6" x14ac:dyDescent="0.35">
      <c r="E9484">
        <v>9481</v>
      </c>
      <c r="F9484">
        <f t="shared" ca="1" si="150"/>
        <v>7.2313756455505453E-3</v>
      </c>
    </row>
    <row r="9485" spans="5:6" x14ac:dyDescent="0.35">
      <c r="E9485">
        <v>9482</v>
      </c>
      <c r="F9485">
        <f t="shared" ca="1" si="150"/>
        <v>5.6741887991824383E-3</v>
      </c>
    </row>
    <row r="9486" spans="5:6" x14ac:dyDescent="0.35">
      <c r="E9486">
        <v>9483</v>
      </c>
      <c r="F9486">
        <f t="shared" ca="1" si="150"/>
        <v>1.7868553537396706E-2</v>
      </c>
    </row>
    <row r="9487" spans="5:6" x14ac:dyDescent="0.35">
      <c r="E9487">
        <v>9484</v>
      </c>
      <c r="F9487">
        <f t="shared" ca="1" si="150"/>
        <v>1.2415074659137135E-2</v>
      </c>
    </row>
    <row r="9488" spans="5:6" x14ac:dyDescent="0.35">
      <c r="E9488">
        <v>9485</v>
      </c>
      <c r="F9488">
        <f t="shared" ca="1" si="150"/>
        <v>-1.8810521943273147E-2</v>
      </c>
    </row>
    <row r="9489" spans="5:6" x14ac:dyDescent="0.35">
      <c r="E9489">
        <v>9486</v>
      </c>
      <c r="F9489">
        <f t="shared" ca="1" si="150"/>
        <v>-2.4524681185486164E-3</v>
      </c>
    </row>
    <row r="9490" spans="5:6" x14ac:dyDescent="0.35">
      <c r="E9490">
        <v>9487</v>
      </c>
      <c r="F9490">
        <f t="shared" ca="1" si="150"/>
        <v>2.4598412785484681E-2</v>
      </c>
    </row>
    <row r="9491" spans="5:6" x14ac:dyDescent="0.35">
      <c r="E9491">
        <v>9488</v>
      </c>
      <c r="F9491">
        <f t="shared" ca="1" si="150"/>
        <v>-3.4022768970021183E-2</v>
      </c>
    </row>
    <row r="9492" spans="5:6" x14ac:dyDescent="0.35">
      <c r="E9492">
        <v>9489</v>
      </c>
      <c r="F9492">
        <f t="shared" ca="1" si="150"/>
        <v>-5.6312173905108424E-3</v>
      </c>
    </row>
    <row r="9493" spans="5:6" x14ac:dyDescent="0.35">
      <c r="E9493">
        <v>9490</v>
      </c>
      <c r="F9493">
        <f t="shared" ca="1" si="150"/>
        <v>1.897800797774208E-2</v>
      </c>
    </row>
    <row r="9494" spans="5:6" x14ac:dyDescent="0.35">
      <c r="E9494">
        <v>9491</v>
      </c>
      <c r="F9494">
        <f t="shared" ca="1" si="150"/>
        <v>-5.2866012335597888E-4</v>
      </c>
    </row>
    <row r="9495" spans="5:6" x14ac:dyDescent="0.35">
      <c r="E9495">
        <v>9492</v>
      </c>
      <c r="F9495">
        <f t="shared" ca="1" si="150"/>
        <v>-1.5393714306699557E-2</v>
      </c>
    </row>
    <row r="9496" spans="5:6" x14ac:dyDescent="0.35">
      <c r="E9496">
        <v>9493</v>
      </c>
      <c r="F9496">
        <f t="shared" ca="1" si="150"/>
        <v>3.3985555618465092E-2</v>
      </c>
    </row>
    <row r="9497" spans="5:6" x14ac:dyDescent="0.35">
      <c r="E9497">
        <v>9494</v>
      </c>
      <c r="F9497">
        <f t="shared" ca="1" si="150"/>
        <v>9.7008867940398084E-3</v>
      </c>
    </row>
    <row r="9498" spans="5:6" x14ac:dyDescent="0.35">
      <c r="E9498">
        <v>9495</v>
      </c>
      <c r="F9498">
        <f t="shared" ca="1" si="150"/>
        <v>-4.9189350003466734E-3</v>
      </c>
    </row>
    <row r="9499" spans="5:6" x14ac:dyDescent="0.35">
      <c r="E9499">
        <v>9496</v>
      </c>
      <c r="F9499">
        <f t="shared" ca="1" si="150"/>
        <v>-1.8043444287763988E-2</v>
      </c>
    </row>
    <row r="9500" spans="5:6" x14ac:dyDescent="0.35">
      <c r="E9500">
        <v>9497</v>
      </c>
      <c r="F9500">
        <f t="shared" ca="1" si="150"/>
        <v>6.7573223221424981E-3</v>
      </c>
    </row>
    <row r="9501" spans="5:6" x14ac:dyDescent="0.35">
      <c r="E9501">
        <v>9498</v>
      </c>
      <c r="F9501">
        <f t="shared" ca="1" si="150"/>
        <v>-4.8212623282678467E-3</v>
      </c>
    </row>
    <row r="9502" spans="5:6" x14ac:dyDescent="0.35">
      <c r="E9502">
        <v>9499</v>
      </c>
      <c r="F9502">
        <f t="shared" ca="1" si="150"/>
        <v>-1.1526280548876663E-2</v>
      </c>
    </row>
    <row r="9503" spans="5:6" x14ac:dyDescent="0.35">
      <c r="E9503">
        <v>9500</v>
      </c>
      <c r="F9503">
        <f t="shared" ca="1" si="150"/>
        <v>2.644738885554198E-2</v>
      </c>
    </row>
    <row r="9504" spans="5:6" x14ac:dyDescent="0.35">
      <c r="E9504">
        <v>9501</v>
      </c>
      <c r="F9504">
        <f t="shared" ca="1" si="150"/>
        <v>-3.1648569389082747E-3</v>
      </c>
    </row>
    <row r="9505" spans="5:6" x14ac:dyDescent="0.35">
      <c r="E9505">
        <v>9502</v>
      </c>
      <c r="F9505">
        <f t="shared" ca="1" si="150"/>
        <v>5.7684818049831945E-3</v>
      </c>
    </row>
    <row r="9506" spans="5:6" x14ac:dyDescent="0.35">
      <c r="E9506">
        <v>9503</v>
      </c>
      <c r="F9506">
        <f t="shared" ca="1" si="150"/>
        <v>7.3941865112626768E-3</v>
      </c>
    </row>
    <row r="9507" spans="5:6" x14ac:dyDescent="0.35">
      <c r="E9507">
        <v>9504</v>
      </c>
      <c r="F9507">
        <f t="shared" ca="1" si="150"/>
        <v>8.2652621862663381E-3</v>
      </c>
    </row>
    <row r="9508" spans="5:6" x14ac:dyDescent="0.35">
      <c r="E9508">
        <v>9505</v>
      </c>
      <c r="F9508">
        <f t="shared" ca="1" si="150"/>
        <v>8.4083795827329579E-3</v>
      </c>
    </row>
    <row r="9509" spans="5:6" x14ac:dyDescent="0.35">
      <c r="E9509">
        <v>9506</v>
      </c>
      <c r="F9509">
        <f t="shared" ca="1" si="150"/>
        <v>-1.4425537825297265E-2</v>
      </c>
    </row>
    <row r="9510" spans="5:6" x14ac:dyDescent="0.35">
      <c r="E9510">
        <v>9507</v>
      </c>
      <c r="F9510">
        <f t="shared" ca="1" si="150"/>
        <v>-7.1990318104794247E-3</v>
      </c>
    </row>
    <row r="9511" spans="5:6" x14ac:dyDescent="0.35">
      <c r="E9511">
        <v>9508</v>
      </c>
      <c r="F9511">
        <f t="shared" ca="1" si="150"/>
        <v>-2.6299060756665438E-3</v>
      </c>
    </row>
    <row r="9512" spans="5:6" x14ac:dyDescent="0.35">
      <c r="E9512">
        <v>9509</v>
      </c>
      <c r="F9512">
        <f t="shared" ca="1" si="150"/>
        <v>-1.6082788785420826E-2</v>
      </c>
    </row>
    <row r="9513" spans="5:6" x14ac:dyDescent="0.35">
      <c r="E9513">
        <v>9510</v>
      </c>
      <c r="F9513">
        <f t="shared" ca="1" si="150"/>
        <v>8.5514095161386074E-4</v>
      </c>
    </row>
    <row r="9514" spans="5:6" x14ac:dyDescent="0.35">
      <c r="E9514">
        <v>9511</v>
      </c>
      <c r="F9514">
        <f t="shared" ca="1" si="150"/>
        <v>1.6409044500191164E-2</v>
      </c>
    </row>
    <row r="9515" spans="5:6" x14ac:dyDescent="0.35">
      <c r="E9515">
        <v>9512</v>
      </c>
      <c r="F9515">
        <f t="shared" ca="1" si="150"/>
        <v>7.7534948140048083E-4</v>
      </c>
    </row>
    <row r="9516" spans="5:6" x14ac:dyDescent="0.35">
      <c r="E9516">
        <v>9513</v>
      </c>
      <c r="F9516">
        <f t="shared" ca="1" si="150"/>
        <v>5.9079666137769266E-3</v>
      </c>
    </row>
    <row r="9517" spans="5:6" x14ac:dyDescent="0.35">
      <c r="E9517">
        <v>9514</v>
      </c>
      <c r="F9517">
        <f t="shared" ca="1" si="150"/>
        <v>1.4081188039150998E-2</v>
      </c>
    </row>
    <row r="9518" spans="5:6" x14ac:dyDescent="0.35">
      <c r="E9518">
        <v>9515</v>
      </c>
      <c r="F9518">
        <f t="shared" ca="1" si="150"/>
        <v>4.3439808351739066E-4</v>
      </c>
    </row>
    <row r="9519" spans="5:6" x14ac:dyDescent="0.35">
      <c r="E9519">
        <v>9516</v>
      </c>
      <c r="F9519">
        <f t="shared" ca="1" si="150"/>
        <v>1.2651220706812282E-2</v>
      </c>
    </row>
    <row r="9520" spans="5:6" x14ac:dyDescent="0.35">
      <c r="E9520">
        <v>9517</v>
      </c>
      <c r="F9520">
        <f t="shared" ca="1" si="150"/>
        <v>-1.3669024040597742E-2</v>
      </c>
    </row>
    <row r="9521" spans="5:6" x14ac:dyDescent="0.35">
      <c r="E9521">
        <v>9518</v>
      </c>
      <c r="F9521">
        <f t="shared" ca="1" si="150"/>
        <v>3.2413840382250836E-3</v>
      </c>
    </row>
    <row r="9522" spans="5:6" x14ac:dyDescent="0.35">
      <c r="E9522">
        <v>9519</v>
      </c>
      <c r="F9522">
        <f t="shared" ca="1" si="150"/>
        <v>-1.3701489723688022E-2</v>
      </c>
    </row>
    <row r="9523" spans="5:6" x14ac:dyDescent="0.35">
      <c r="E9523">
        <v>9520</v>
      </c>
      <c r="F9523">
        <f t="shared" ca="1" si="150"/>
        <v>-1.8482500715988791E-2</v>
      </c>
    </row>
    <row r="9524" spans="5:6" x14ac:dyDescent="0.35">
      <c r="E9524">
        <v>9521</v>
      </c>
      <c r="F9524">
        <f t="shared" ca="1" si="150"/>
        <v>-6.4653273573675512E-3</v>
      </c>
    </row>
    <row r="9525" spans="5:6" x14ac:dyDescent="0.35">
      <c r="E9525">
        <v>9522</v>
      </c>
      <c r="F9525">
        <f t="shared" ca="1" si="150"/>
        <v>-2.0194957396884915E-3</v>
      </c>
    </row>
    <row r="9526" spans="5:6" x14ac:dyDescent="0.35">
      <c r="E9526">
        <v>9523</v>
      </c>
      <c r="F9526">
        <f t="shared" ca="1" si="150"/>
        <v>1.3880694816192356E-2</v>
      </c>
    </row>
    <row r="9527" spans="5:6" x14ac:dyDescent="0.35">
      <c r="E9527">
        <v>9524</v>
      </c>
      <c r="F9527">
        <f t="shared" ca="1" si="150"/>
        <v>2.2079137896530588E-2</v>
      </c>
    </row>
    <row r="9528" spans="5:6" x14ac:dyDescent="0.35">
      <c r="E9528">
        <v>9525</v>
      </c>
      <c r="F9528">
        <f t="shared" ca="1" si="150"/>
        <v>-3.103735065496392E-3</v>
      </c>
    </row>
    <row r="9529" spans="5:6" x14ac:dyDescent="0.35">
      <c r="E9529">
        <v>9526</v>
      </c>
      <c r="F9529">
        <f t="shared" ca="1" si="150"/>
        <v>1.3093963391032137E-2</v>
      </c>
    </row>
    <row r="9530" spans="5:6" x14ac:dyDescent="0.35">
      <c r="E9530">
        <v>9527</v>
      </c>
      <c r="F9530">
        <f t="shared" ca="1" si="150"/>
        <v>-1.2766170874274285E-2</v>
      </c>
    </row>
    <row r="9531" spans="5:6" x14ac:dyDescent="0.35">
      <c r="E9531">
        <v>9528</v>
      </c>
      <c r="F9531">
        <f t="shared" ca="1" si="150"/>
        <v>-2.1122199203574516E-2</v>
      </c>
    </row>
    <row r="9532" spans="5:6" x14ac:dyDescent="0.35">
      <c r="E9532">
        <v>9529</v>
      </c>
      <c r="F9532">
        <f t="shared" ca="1" si="150"/>
        <v>-2.701622210611715E-3</v>
      </c>
    </row>
    <row r="9533" spans="5:6" x14ac:dyDescent="0.35">
      <c r="E9533">
        <v>9530</v>
      </c>
      <c r="F9533">
        <f t="shared" ca="1" si="150"/>
        <v>1.3182360670782078E-2</v>
      </c>
    </row>
    <row r="9534" spans="5:6" x14ac:dyDescent="0.35">
      <c r="E9534">
        <v>9531</v>
      </c>
      <c r="F9534">
        <f t="shared" ca="1" si="150"/>
        <v>-1.2534478901891985E-2</v>
      </c>
    </row>
    <row r="9535" spans="5:6" x14ac:dyDescent="0.35">
      <c r="E9535">
        <v>9532</v>
      </c>
      <c r="F9535">
        <f t="shared" ca="1" si="150"/>
        <v>-1.060720172769565E-2</v>
      </c>
    </row>
    <row r="9536" spans="5:6" x14ac:dyDescent="0.35">
      <c r="E9536">
        <v>9533</v>
      </c>
      <c r="F9536">
        <f t="shared" ca="1" si="150"/>
        <v>1.5954861905739613E-2</v>
      </c>
    </row>
    <row r="9537" spans="5:6" x14ac:dyDescent="0.35">
      <c r="E9537">
        <v>9534</v>
      </c>
      <c r="F9537">
        <f t="shared" ca="1" si="150"/>
        <v>5.7550988571546053E-3</v>
      </c>
    </row>
    <row r="9538" spans="5:6" x14ac:dyDescent="0.35">
      <c r="E9538">
        <v>9535</v>
      </c>
      <c r="F9538">
        <f t="shared" ca="1" si="150"/>
        <v>-3.8196752373644824E-2</v>
      </c>
    </row>
    <row r="9539" spans="5:6" x14ac:dyDescent="0.35">
      <c r="E9539">
        <v>9536</v>
      </c>
      <c r="F9539">
        <f t="shared" ca="1" si="150"/>
        <v>1.5609589883995323E-2</v>
      </c>
    </row>
    <row r="9540" spans="5:6" x14ac:dyDescent="0.35">
      <c r="E9540">
        <v>9537</v>
      </c>
      <c r="F9540">
        <f t="shared" ca="1" si="150"/>
        <v>-8.325527279705815E-3</v>
      </c>
    </row>
    <row r="9541" spans="5:6" x14ac:dyDescent="0.35">
      <c r="E9541">
        <v>9538</v>
      </c>
      <c r="F9541">
        <f t="shared" ref="F9541:F9604" ca="1" si="151">_xlfn.NORM.INV(RAND(),M$6,M$7)</f>
        <v>1.8849544918059458E-2</v>
      </c>
    </row>
    <row r="9542" spans="5:6" x14ac:dyDescent="0.35">
      <c r="E9542">
        <v>9539</v>
      </c>
      <c r="F9542">
        <f t="shared" ca="1" si="151"/>
        <v>1.1521161944326109E-2</v>
      </c>
    </row>
    <row r="9543" spans="5:6" x14ac:dyDescent="0.35">
      <c r="E9543">
        <v>9540</v>
      </c>
      <c r="F9543">
        <f t="shared" ca="1" si="151"/>
        <v>4.227803692851819E-4</v>
      </c>
    </row>
    <row r="9544" spans="5:6" x14ac:dyDescent="0.35">
      <c r="E9544">
        <v>9541</v>
      </c>
      <c r="F9544">
        <f t="shared" ca="1" si="151"/>
        <v>-1.154484301764452E-2</v>
      </c>
    </row>
    <row r="9545" spans="5:6" x14ac:dyDescent="0.35">
      <c r="E9545">
        <v>9542</v>
      </c>
      <c r="F9545">
        <f t="shared" ca="1" si="151"/>
        <v>-1.4499336622289302E-3</v>
      </c>
    </row>
    <row r="9546" spans="5:6" x14ac:dyDescent="0.35">
      <c r="E9546">
        <v>9543</v>
      </c>
      <c r="F9546">
        <f t="shared" ca="1" si="151"/>
        <v>-6.6353741084732346E-4</v>
      </c>
    </row>
    <row r="9547" spans="5:6" x14ac:dyDescent="0.35">
      <c r="E9547">
        <v>9544</v>
      </c>
      <c r="F9547">
        <f t="shared" ca="1" si="151"/>
        <v>-1.8640596856128573E-2</v>
      </c>
    </row>
    <row r="9548" spans="5:6" x14ac:dyDescent="0.35">
      <c r="E9548">
        <v>9545</v>
      </c>
      <c r="F9548">
        <f t="shared" ca="1" si="151"/>
        <v>3.0884625784198812E-3</v>
      </c>
    </row>
    <row r="9549" spans="5:6" x14ac:dyDescent="0.35">
      <c r="E9549">
        <v>9546</v>
      </c>
      <c r="F9549">
        <f t="shared" ca="1" si="151"/>
        <v>-1.9704599699227422E-2</v>
      </c>
    </row>
    <row r="9550" spans="5:6" x14ac:dyDescent="0.35">
      <c r="E9550">
        <v>9547</v>
      </c>
      <c r="F9550">
        <f t="shared" ca="1" si="151"/>
        <v>4.1263645452887444E-2</v>
      </c>
    </row>
    <row r="9551" spans="5:6" x14ac:dyDescent="0.35">
      <c r="E9551">
        <v>9548</v>
      </c>
      <c r="F9551">
        <f t="shared" ca="1" si="151"/>
        <v>-2.0047673564408529E-2</v>
      </c>
    </row>
    <row r="9552" spans="5:6" x14ac:dyDescent="0.35">
      <c r="E9552">
        <v>9549</v>
      </c>
      <c r="F9552">
        <f t="shared" ca="1" si="151"/>
        <v>7.6057213922042597E-3</v>
      </c>
    </row>
    <row r="9553" spans="5:6" x14ac:dyDescent="0.35">
      <c r="E9553">
        <v>9550</v>
      </c>
      <c r="F9553">
        <f t="shared" ca="1" si="151"/>
        <v>2.0404703104610362E-3</v>
      </c>
    </row>
    <row r="9554" spans="5:6" x14ac:dyDescent="0.35">
      <c r="E9554">
        <v>9551</v>
      </c>
      <c r="F9554">
        <f t="shared" ca="1" si="151"/>
        <v>-3.4181637111232843E-2</v>
      </c>
    </row>
    <row r="9555" spans="5:6" x14ac:dyDescent="0.35">
      <c r="E9555">
        <v>9552</v>
      </c>
      <c r="F9555">
        <f t="shared" ca="1" si="151"/>
        <v>1.2262220590798316E-2</v>
      </c>
    </row>
    <row r="9556" spans="5:6" x14ac:dyDescent="0.35">
      <c r="E9556">
        <v>9553</v>
      </c>
      <c r="F9556">
        <f t="shared" ca="1" si="151"/>
        <v>-1.217601860177685E-3</v>
      </c>
    </row>
    <row r="9557" spans="5:6" x14ac:dyDescent="0.35">
      <c r="E9557">
        <v>9554</v>
      </c>
      <c r="F9557">
        <f t="shared" ca="1" si="151"/>
        <v>-1.0276649308436685E-2</v>
      </c>
    </row>
    <row r="9558" spans="5:6" x14ac:dyDescent="0.35">
      <c r="E9558">
        <v>9555</v>
      </c>
      <c r="F9558">
        <f t="shared" ca="1" si="151"/>
        <v>2.1196927088549873E-2</v>
      </c>
    </row>
    <row r="9559" spans="5:6" x14ac:dyDescent="0.35">
      <c r="E9559">
        <v>9556</v>
      </c>
      <c r="F9559">
        <f t="shared" ca="1" si="151"/>
        <v>-2.3324881429713142E-2</v>
      </c>
    </row>
    <row r="9560" spans="5:6" x14ac:dyDescent="0.35">
      <c r="E9560">
        <v>9557</v>
      </c>
      <c r="F9560">
        <f t="shared" ca="1" si="151"/>
        <v>2.4128247666132852E-2</v>
      </c>
    </row>
    <row r="9561" spans="5:6" x14ac:dyDescent="0.35">
      <c r="E9561">
        <v>9558</v>
      </c>
      <c r="F9561">
        <f t="shared" ca="1" si="151"/>
        <v>2.2650736161023287E-3</v>
      </c>
    </row>
    <row r="9562" spans="5:6" x14ac:dyDescent="0.35">
      <c r="E9562">
        <v>9559</v>
      </c>
      <c r="F9562">
        <f t="shared" ca="1" si="151"/>
        <v>-1.8958742008443247E-2</v>
      </c>
    </row>
    <row r="9563" spans="5:6" x14ac:dyDescent="0.35">
      <c r="E9563">
        <v>9560</v>
      </c>
      <c r="F9563">
        <f t="shared" ca="1" si="151"/>
        <v>2.2369633467692981E-2</v>
      </c>
    </row>
    <row r="9564" spans="5:6" x14ac:dyDescent="0.35">
      <c r="E9564">
        <v>9561</v>
      </c>
      <c r="F9564">
        <f t="shared" ca="1" si="151"/>
        <v>1.8903498030282181E-2</v>
      </c>
    </row>
    <row r="9565" spans="5:6" x14ac:dyDescent="0.35">
      <c r="E9565">
        <v>9562</v>
      </c>
      <c r="F9565">
        <f t="shared" ca="1" si="151"/>
        <v>2.7128427340161E-2</v>
      </c>
    </row>
    <row r="9566" spans="5:6" x14ac:dyDescent="0.35">
      <c r="E9566">
        <v>9563</v>
      </c>
      <c r="F9566">
        <f t="shared" ca="1" si="151"/>
        <v>-1.4004361080653954E-2</v>
      </c>
    </row>
    <row r="9567" spans="5:6" x14ac:dyDescent="0.35">
      <c r="E9567">
        <v>9564</v>
      </c>
      <c r="F9567">
        <f t="shared" ca="1" si="151"/>
        <v>-5.1360123983072272E-3</v>
      </c>
    </row>
    <row r="9568" spans="5:6" x14ac:dyDescent="0.35">
      <c r="E9568">
        <v>9565</v>
      </c>
      <c r="F9568">
        <f t="shared" ca="1" si="151"/>
        <v>2.5189797393240138E-2</v>
      </c>
    </row>
    <row r="9569" spans="5:6" x14ac:dyDescent="0.35">
      <c r="E9569">
        <v>9566</v>
      </c>
      <c r="F9569">
        <f t="shared" ca="1" si="151"/>
        <v>1.5166675220729363E-2</v>
      </c>
    </row>
    <row r="9570" spans="5:6" x14ac:dyDescent="0.35">
      <c r="E9570">
        <v>9567</v>
      </c>
      <c r="F9570">
        <f t="shared" ca="1" si="151"/>
        <v>3.9951456597640447E-2</v>
      </c>
    </row>
    <row r="9571" spans="5:6" x14ac:dyDescent="0.35">
      <c r="E9571">
        <v>9568</v>
      </c>
      <c r="F9571">
        <f t="shared" ca="1" si="151"/>
        <v>2.1462205856408054E-2</v>
      </c>
    </row>
    <row r="9572" spans="5:6" x14ac:dyDescent="0.35">
      <c r="E9572">
        <v>9569</v>
      </c>
      <c r="F9572">
        <f t="shared" ca="1" si="151"/>
        <v>1.6860152070713855E-2</v>
      </c>
    </row>
    <row r="9573" spans="5:6" x14ac:dyDescent="0.35">
      <c r="E9573">
        <v>9570</v>
      </c>
      <c r="F9573">
        <f t="shared" ca="1" si="151"/>
        <v>3.5089577954023309E-2</v>
      </c>
    </row>
    <row r="9574" spans="5:6" x14ac:dyDescent="0.35">
      <c r="E9574">
        <v>9571</v>
      </c>
      <c r="F9574">
        <f t="shared" ca="1" si="151"/>
        <v>1.171085887911378E-3</v>
      </c>
    </row>
    <row r="9575" spans="5:6" x14ac:dyDescent="0.35">
      <c r="E9575">
        <v>9572</v>
      </c>
      <c r="F9575">
        <f t="shared" ca="1" si="151"/>
        <v>2.8145543846838109E-2</v>
      </c>
    </row>
    <row r="9576" spans="5:6" x14ac:dyDescent="0.35">
      <c r="E9576">
        <v>9573</v>
      </c>
      <c r="F9576">
        <f t="shared" ca="1" si="151"/>
        <v>-9.5287489804535778E-3</v>
      </c>
    </row>
    <row r="9577" spans="5:6" x14ac:dyDescent="0.35">
      <c r="E9577">
        <v>9574</v>
      </c>
      <c r="F9577">
        <f t="shared" ca="1" si="151"/>
        <v>2.1687058228664E-3</v>
      </c>
    </row>
    <row r="9578" spans="5:6" x14ac:dyDescent="0.35">
      <c r="E9578">
        <v>9575</v>
      </c>
      <c r="F9578">
        <f t="shared" ca="1" si="151"/>
        <v>-8.4210149960974902E-3</v>
      </c>
    </row>
    <row r="9579" spans="5:6" x14ac:dyDescent="0.35">
      <c r="E9579">
        <v>9576</v>
      </c>
      <c r="F9579">
        <f t="shared" ca="1" si="151"/>
        <v>-5.2931486962871453E-3</v>
      </c>
    </row>
    <row r="9580" spans="5:6" x14ac:dyDescent="0.35">
      <c r="E9580">
        <v>9577</v>
      </c>
      <c r="F9580">
        <f t="shared" ca="1" si="151"/>
        <v>1.5370709912508593E-2</v>
      </c>
    </row>
    <row r="9581" spans="5:6" x14ac:dyDescent="0.35">
      <c r="E9581">
        <v>9578</v>
      </c>
      <c r="F9581">
        <f t="shared" ca="1" si="151"/>
        <v>-1.0533645011202873E-2</v>
      </c>
    </row>
    <row r="9582" spans="5:6" x14ac:dyDescent="0.35">
      <c r="E9582">
        <v>9579</v>
      </c>
      <c r="F9582">
        <f t="shared" ca="1" si="151"/>
        <v>1.0108469244986436E-2</v>
      </c>
    </row>
    <row r="9583" spans="5:6" x14ac:dyDescent="0.35">
      <c r="E9583">
        <v>9580</v>
      </c>
      <c r="F9583">
        <f t="shared" ca="1" si="151"/>
        <v>3.5258201745279683E-3</v>
      </c>
    </row>
    <row r="9584" spans="5:6" x14ac:dyDescent="0.35">
      <c r="E9584">
        <v>9581</v>
      </c>
      <c r="F9584">
        <f t="shared" ca="1" si="151"/>
        <v>-1.1205952666739624E-2</v>
      </c>
    </row>
    <row r="9585" spans="5:6" x14ac:dyDescent="0.35">
      <c r="E9585">
        <v>9582</v>
      </c>
      <c r="F9585">
        <f t="shared" ca="1" si="151"/>
        <v>5.0220629628609939E-3</v>
      </c>
    </row>
    <row r="9586" spans="5:6" x14ac:dyDescent="0.35">
      <c r="E9586">
        <v>9583</v>
      </c>
      <c r="F9586">
        <f t="shared" ca="1" si="151"/>
        <v>-1.8555144623623964E-2</v>
      </c>
    </row>
    <row r="9587" spans="5:6" x14ac:dyDescent="0.35">
      <c r="E9587">
        <v>9584</v>
      </c>
      <c r="F9587">
        <f t="shared" ca="1" si="151"/>
        <v>2.2485061735071601E-2</v>
      </c>
    </row>
    <row r="9588" spans="5:6" x14ac:dyDescent="0.35">
      <c r="E9588">
        <v>9585</v>
      </c>
      <c r="F9588">
        <f t="shared" ca="1" si="151"/>
        <v>1.116862864232699E-3</v>
      </c>
    </row>
    <row r="9589" spans="5:6" x14ac:dyDescent="0.35">
      <c r="E9589">
        <v>9586</v>
      </c>
      <c r="F9589">
        <f t="shared" ca="1" si="151"/>
        <v>-1.3451505428836276E-3</v>
      </c>
    </row>
    <row r="9590" spans="5:6" x14ac:dyDescent="0.35">
      <c r="E9590">
        <v>9587</v>
      </c>
      <c r="F9590">
        <f t="shared" ca="1" si="151"/>
        <v>1.4946052980248639E-2</v>
      </c>
    </row>
    <row r="9591" spans="5:6" x14ac:dyDescent="0.35">
      <c r="E9591">
        <v>9588</v>
      </c>
      <c r="F9591">
        <f t="shared" ca="1" si="151"/>
        <v>-6.4258847651708639E-3</v>
      </c>
    </row>
    <row r="9592" spans="5:6" x14ac:dyDescent="0.35">
      <c r="E9592">
        <v>9589</v>
      </c>
      <c r="F9592">
        <f t="shared" ca="1" si="151"/>
        <v>-1.7787895463751945E-2</v>
      </c>
    </row>
    <row r="9593" spans="5:6" x14ac:dyDescent="0.35">
      <c r="E9593">
        <v>9590</v>
      </c>
      <c r="F9593">
        <f t="shared" ca="1" si="151"/>
        <v>-2.0002636365578363E-2</v>
      </c>
    </row>
    <row r="9594" spans="5:6" x14ac:dyDescent="0.35">
      <c r="E9594">
        <v>9591</v>
      </c>
      <c r="F9594">
        <f t="shared" ca="1" si="151"/>
        <v>1.0842418959807977E-2</v>
      </c>
    </row>
    <row r="9595" spans="5:6" x14ac:dyDescent="0.35">
      <c r="E9595">
        <v>9592</v>
      </c>
      <c r="F9595">
        <f t="shared" ca="1" si="151"/>
        <v>5.6973805051590285E-4</v>
      </c>
    </row>
    <row r="9596" spans="5:6" x14ac:dyDescent="0.35">
      <c r="E9596">
        <v>9593</v>
      </c>
      <c r="F9596">
        <f t="shared" ca="1" si="151"/>
        <v>7.2060774172153889E-3</v>
      </c>
    </row>
    <row r="9597" spans="5:6" x14ac:dyDescent="0.35">
      <c r="E9597">
        <v>9594</v>
      </c>
      <c r="F9597">
        <f t="shared" ca="1" si="151"/>
        <v>6.5922084006383129E-3</v>
      </c>
    </row>
    <row r="9598" spans="5:6" x14ac:dyDescent="0.35">
      <c r="E9598">
        <v>9595</v>
      </c>
      <c r="F9598">
        <f t="shared" ca="1" si="151"/>
        <v>-1.8414943265743773E-3</v>
      </c>
    </row>
    <row r="9599" spans="5:6" x14ac:dyDescent="0.35">
      <c r="E9599">
        <v>9596</v>
      </c>
      <c r="F9599">
        <f t="shared" ca="1" si="151"/>
        <v>-6.3297681199797782E-3</v>
      </c>
    </row>
    <row r="9600" spans="5:6" x14ac:dyDescent="0.35">
      <c r="E9600">
        <v>9597</v>
      </c>
      <c r="F9600">
        <f t="shared" ca="1" si="151"/>
        <v>2.2065415688075497E-2</v>
      </c>
    </row>
    <row r="9601" spans="5:6" x14ac:dyDescent="0.35">
      <c r="E9601">
        <v>9598</v>
      </c>
      <c r="F9601">
        <f t="shared" ca="1" si="151"/>
        <v>-8.2696881365994506E-5</v>
      </c>
    </row>
    <row r="9602" spans="5:6" x14ac:dyDescent="0.35">
      <c r="E9602">
        <v>9599</v>
      </c>
      <c r="F9602">
        <f t="shared" ca="1" si="151"/>
        <v>8.6478534815518406E-3</v>
      </c>
    </row>
    <row r="9603" spans="5:6" x14ac:dyDescent="0.35">
      <c r="E9603">
        <v>9600</v>
      </c>
      <c r="F9603">
        <f t="shared" ca="1" si="151"/>
        <v>7.6926145851106999E-3</v>
      </c>
    </row>
    <row r="9604" spans="5:6" x14ac:dyDescent="0.35">
      <c r="E9604">
        <v>9601</v>
      </c>
      <c r="F9604">
        <f t="shared" ca="1" si="151"/>
        <v>-1.5673957322394926E-2</v>
      </c>
    </row>
    <row r="9605" spans="5:6" x14ac:dyDescent="0.35">
      <c r="E9605">
        <v>9602</v>
      </c>
      <c r="F9605">
        <f t="shared" ref="F9605:F9668" ca="1" si="152">_xlfn.NORM.INV(RAND(),M$6,M$7)</f>
        <v>2.7068608552104526E-2</v>
      </c>
    </row>
    <row r="9606" spans="5:6" x14ac:dyDescent="0.35">
      <c r="E9606">
        <v>9603</v>
      </c>
      <c r="F9606">
        <f t="shared" ca="1" si="152"/>
        <v>-2.5470538239166625E-2</v>
      </c>
    </row>
    <row r="9607" spans="5:6" x14ac:dyDescent="0.35">
      <c r="E9607">
        <v>9604</v>
      </c>
      <c r="F9607">
        <f t="shared" ca="1" si="152"/>
        <v>-9.7378572990137365E-3</v>
      </c>
    </row>
    <row r="9608" spans="5:6" x14ac:dyDescent="0.35">
      <c r="E9608">
        <v>9605</v>
      </c>
      <c r="F9608">
        <f t="shared" ca="1" si="152"/>
        <v>1.2061875696860834E-2</v>
      </c>
    </row>
    <row r="9609" spans="5:6" x14ac:dyDescent="0.35">
      <c r="E9609">
        <v>9606</v>
      </c>
      <c r="F9609">
        <f t="shared" ca="1" si="152"/>
        <v>-5.809020486577058E-3</v>
      </c>
    </row>
    <row r="9610" spans="5:6" x14ac:dyDescent="0.35">
      <c r="E9610">
        <v>9607</v>
      </c>
      <c r="F9610">
        <f t="shared" ca="1" si="152"/>
        <v>1.3967161665324286E-2</v>
      </c>
    </row>
    <row r="9611" spans="5:6" x14ac:dyDescent="0.35">
      <c r="E9611">
        <v>9608</v>
      </c>
      <c r="F9611">
        <f t="shared" ca="1" si="152"/>
        <v>-2.690453038004045E-3</v>
      </c>
    </row>
    <row r="9612" spans="5:6" x14ac:dyDescent="0.35">
      <c r="E9612">
        <v>9609</v>
      </c>
      <c r="F9612">
        <f t="shared" ca="1" si="152"/>
        <v>8.2194264840287239E-4</v>
      </c>
    </row>
    <row r="9613" spans="5:6" x14ac:dyDescent="0.35">
      <c r="E9613">
        <v>9610</v>
      </c>
      <c r="F9613">
        <f t="shared" ca="1" si="152"/>
        <v>-1.0229756893841358E-2</v>
      </c>
    </row>
    <row r="9614" spans="5:6" x14ac:dyDescent="0.35">
      <c r="E9614">
        <v>9611</v>
      </c>
      <c r="F9614">
        <f t="shared" ca="1" si="152"/>
        <v>3.0552081632035558E-2</v>
      </c>
    </row>
    <row r="9615" spans="5:6" x14ac:dyDescent="0.35">
      <c r="E9615">
        <v>9612</v>
      </c>
      <c r="F9615">
        <f t="shared" ca="1" si="152"/>
        <v>-1.6123205824970802E-2</v>
      </c>
    </row>
    <row r="9616" spans="5:6" x14ac:dyDescent="0.35">
      <c r="E9616">
        <v>9613</v>
      </c>
      <c r="F9616">
        <f t="shared" ca="1" si="152"/>
        <v>-2.4811958309048969E-2</v>
      </c>
    </row>
    <row r="9617" spans="5:6" x14ac:dyDescent="0.35">
      <c r="E9617">
        <v>9614</v>
      </c>
      <c r="F9617">
        <f t="shared" ca="1" si="152"/>
        <v>-4.8587144541661336E-3</v>
      </c>
    </row>
    <row r="9618" spans="5:6" x14ac:dyDescent="0.35">
      <c r="E9618">
        <v>9615</v>
      </c>
      <c r="F9618">
        <f t="shared" ca="1" si="152"/>
        <v>-8.3638077667101598E-3</v>
      </c>
    </row>
    <row r="9619" spans="5:6" x14ac:dyDescent="0.35">
      <c r="E9619">
        <v>9616</v>
      </c>
      <c r="F9619">
        <f t="shared" ca="1" si="152"/>
        <v>3.7317781266198186E-3</v>
      </c>
    </row>
    <row r="9620" spans="5:6" x14ac:dyDescent="0.35">
      <c r="E9620">
        <v>9617</v>
      </c>
      <c r="F9620">
        <f t="shared" ca="1" si="152"/>
        <v>-1.5868778501180382E-2</v>
      </c>
    </row>
    <row r="9621" spans="5:6" x14ac:dyDescent="0.35">
      <c r="E9621">
        <v>9618</v>
      </c>
      <c r="F9621">
        <f t="shared" ca="1" si="152"/>
        <v>3.3088231975385517E-3</v>
      </c>
    </row>
    <row r="9622" spans="5:6" x14ac:dyDescent="0.35">
      <c r="E9622">
        <v>9619</v>
      </c>
      <c r="F9622">
        <f t="shared" ca="1" si="152"/>
        <v>-7.1510703965206885E-3</v>
      </c>
    </row>
    <row r="9623" spans="5:6" x14ac:dyDescent="0.35">
      <c r="E9623">
        <v>9620</v>
      </c>
      <c r="F9623">
        <f t="shared" ca="1" si="152"/>
        <v>1.0391888759574667E-2</v>
      </c>
    </row>
    <row r="9624" spans="5:6" x14ac:dyDescent="0.35">
      <c r="E9624">
        <v>9621</v>
      </c>
      <c r="F9624">
        <f t="shared" ca="1" si="152"/>
        <v>-7.9332414234290893E-3</v>
      </c>
    </row>
    <row r="9625" spans="5:6" x14ac:dyDescent="0.35">
      <c r="E9625">
        <v>9622</v>
      </c>
      <c r="F9625">
        <f t="shared" ca="1" si="152"/>
        <v>2.9163833102265968E-3</v>
      </c>
    </row>
    <row r="9626" spans="5:6" x14ac:dyDescent="0.35">
      <c r="E9626">
        <v>9623</v>
      </c>
      <c r="F9626">
        <f t="shared" ca="1" si="152"/>
        <v>7.9493935516192198E-3</v>
      </c>
    </row>
    <row r="9627" spans="5:6" x14ac:dyDescent="0.35">
      <c r="E9627">
        <v>9624</v>
      </c>
      <c r="F9627">
        <f t="shared" ca="1" si="152"/>
        <v>-1.286525508137543E-2</v>
      </c>
    </row>
    <row r="9628" spans="5:6" x14ac:dyDescent="0.35">
      <c r="E9628">
        <v>9625</v>
      </c>
      <c r="F9628">
        <f t="shared" ca="1" si="152"/>
        <v>-2.368480792625945E-3</v>
      </c>
    </row>
    <row r="9629" spans="5:6" x14ac:dyDescent="0.35">
      <c r="E9629">
        <v>9626</v>
      </c>
      <c r="F9629">
        <f t="shared" ca="1" si="152"/>
        <v>-2.7528971522239008E-3</v>
      </c>
    </row>
    <row r="9630" spans="5:6" x14ac:dyDescent="0.35">
      <c r="E9630">
        <v>9627</v>
      </c>
      <c r="F9630">
        <f t="shared" ca="1" si="152"/>
        <v>1.3386324229781564E-3</v>
      </c>
    </row>
    <row r="9631" spans="5:6" x14ac:dyDescent="0.35">
      <c r="E9631">
        <v>9628</v>
      </c>
      <c r="F9631">
        <f t="shared" ca="1" si="152"/>
        <v>6.8164366265997742E-3</v>
      </c>
    </row>
    <row r="9632" spans="5:6" x14ac:dyDescent="0.35">
      <c r="E9632">
        <v>9629</v>
      </c>
      <c r="F9632">
        <f t="shared" ca="1" si="152"/>
        <v>3.4871754965189921E-3</v>
      </c>
    </row>
    <row r="9633" spans="5:6" x14ac:dyDescent="0.35">
      <c r="E9633">
        <v>9630</v>
      </c>
      <c r="F9633">
        <f t="shared" ca="1" si="152"/>
        <v>-5.5990201341187223E-4</v>
      </c>
    </row>
    <row r="9634" spans="5:6" x14ac:dyDescent="0.35">
      <c r="E9634">
        <v>9631</v>
      </c>
      <c r="F9634">
        <f t="shared" ca="1" si="152"/>
        <v>1.7250573339018697E-2</v>
      </c>
    </row>
    <row r="9635" spans="5:6" x14ac:dyDescent="0.35">
      <c r="E9635">
        <v>9632</v>
      </c>
      <c r="F9635">
        <f t="shared" ca="1" si="152"/>
        <v>1.4534120287437202E-2</v>
      </c>
    </row>
    <row r="9636" spans="5:6" x14ac:dyDescent="0.35">
      <c r="E9636">
        <v>9633</v>
      </c>
      <c r="F9636">
        <f t="shared" ca="1" si="152"/>
        <v>2.2855220997028119E-2</v>
      </c>
    </row>
    <row r="9637" spans="5:6" x14ac:dyDescent="0.35">
      <c r="E9637">
        <v>9634</v>
      </c>
      <c r="F9637">
        <f t="shared" ca="1" si="152"/>
        <v>9.9713873404491862E-3</v>
      </c>
    </row>
    <row r="9638" spans="5:6" x14ac:dyDescent="0.35">
      <c r="E9638">
        <v>9635</v>
      </c>
      <c r="F9638">
        <f t="shared" ca="1" si="152"/>
        <v>7.857168307578064E-4</v>
      </c>
    </row>
    <row r="9639" spans="5:6" x14ac:dyDescent="0.35">
      <c r="E9639">
        <v>9636</v>
      </c>
      <c r="F9639">
        <f t="shared" ca="1" si="152"/>
        <v>9.6102434148730171E-3</v>
      </c>
    </row>
    <row r="9640" spans="5:6" x14ac:dyDescent="0.35">
      <c r="E9640">
        <v>9637</v>
      </c>
      <c r="F9640">
        <f t="shared" ca="1" si="152"/>
        <v>1.3425684610623349E-2</v>
      </c>
    </row>
    <row r="9641" spans="5:6" x14ac:dyDescent="0.35">
      <c r="E9641">
        <v>9638</v>
      </c>
      <c r="F9641">
        <f t="shared" ca="1" si="152"/>
        <v>8.1764583075380533E-3</v>
      </c>
    </row>
    <row r="9642" spans="5:6" x14ac:dyDescent="0.35">
      <c r="E9642">
        <v>9639</v>
      </c>
      <c r="F9642">
        <f t="shared" ca="1" si="152"/>
        <v>-9.0006644096784112E-3</v>
      </c>
    </row>
    <row r="9643" spans="5:6" x14ac:dyDescent="0.35">
      <c r="E9643">
        <v>9640</v>
      </c>
      <c r="F9643">
        <f t="shared" ca="1" si="152"/>
        <v>1.8688373597440008E-2</v>
      </c>
    </row>
    <row r="9644" spans="5:6" x14ac:dyDescent="0.35">
      <c r="E9644">
        <v>9641</v>
      </c>
      <c r="F9644">
        <f t="shared" ca="1" si="152"/>
        <v>-1.4194824201625947E-2</v>
      </c>
    </row>
    <row r="9645" spans="5:6" x14ac:dyDescent="0.35">
      <c r="E9645">
        <v>9642</v>
      </c>
      <c r="F9645">
        <f t="shared" ca="1" si="152"/>
        <v>1.8680677819839788E-3</v>
      </c>
    </row>
    <row r="9646" spans="5:6" x14ac:dyDescent="0.35">
      <c r="E9646">
        <v>9643</v>
      </c>
      <c r="F9646">
        <f t="shared" ca="1" si="152"/>
        <v>3.0494044558923403E-3</v>
      </c>
    </row>
    <row r="9647" spans="5:6" x14ac:dyDescent="0.35">
      <c r="E9647">
        <v>9644</v>
      </c>
      <c r="F9647">
        <f t="shared" ca="1" si="152"/>
        <v>-1.0067913738564537E-2</v>
      </c>
    </row>
    <row r="9648" spans="5:6" x14ac:dyDescent="0.35">
      <c r="E9648">
        <v>9645</v>
      </c>
      <c r="F9648">
        <f t="shared" ca="1" si="152"/>
        <v>-1.8598547498060301E-2</v>
      </c>
    </row>
    <row r="9649" spans="5:6" x14ac:dyDescent="0.35">
      <c r="E9649">
        <v>9646</v>
      </c>
      <c r="F9649">
        <f t="shared" ca="1" si="152"/>
        <v>1.0090176567681056E-2</v>
      </c>
    </row>
    <row r="9650" spans="5:6" x14ac:dyDescent="0.35">
      <c r="E9650">
        <v>9647</v>
      </c>
      <c r="F9650">
        <f t="shared" ca="1" si="152"/>
        <v>-1.7085833192429282E-3</v>
      </c>
    </row>
    <row r="9651" spans="5:6" x14ac:dyDescent="0.35">
      <c r="E9651">
        <v>9648</v>
      </c>
      <c r="F9651">
        <f t="shared" ca="1" si="152"/>
        <v>-7.2649399230333579E-3</v>
      </c>
    </row>
    <row r="9652" spans="5:6" x14ac:dyDescent="0.35">
      <c r="E9652">
        <v>9649</v>
      </c>
      <c r="F9652">
        <f t="shared" ca="1" si="152"/>
        <v>7.9507249451507625E-3</v>
      </c>
    </row>
    <row r="9653" spans="5:6" x14ac:dyDescent="0.35">
      <c r="E9653">
        <v>9650</v>
      </c>
      <c r="F9653">
        <f t="shared" ca="1" si="152"/>
        <v>4.414967392369365E-3</v>
      </c>
    </row>
    <row r="9654" spans="5:6" x14ac:dyDescent="0.35">
      <c r="E9654">
        <v>9651</v>
      </c>
      <c r="F9654">
        <f t="shared" ca="1" si="152"/>
        <v>-5.0156391371420864E-3</v>
      </c>
    </row>
    <row r="9655" spans="5:6" x14ac:dyDescent="0.35">
      <c r="E9655">
        <v>9652</v>
      </c>
      <c r="F9655">
        <f t="shared" ca="1" si="152"/>
        <v>-4.1778742113173142E-3</v>
      </c>
    </row>
    <row r="9656" spans="5:6" x14ac:dyDescent="0.35">
      <c r="E9656">
        <v>9653</v>
      </c>
      <c r="F9656">
        <f t="shared" ca="1" si="152"/>
        <v>5.8134174843583915E-3</v>
      </c>
    </row>
    <row r="9657" spans="5:6" x14ac:dyDescent="0.35">
      <c r="E9657">
        <v>9654</v>
      </c>
      <c r="F9657">
        <f t="shared" ca="1" si="152"/>
        <v>1.6464336585183408E-2</v>
      </c>
    </row>
    <row r="9658" spans="5:6" x14ac:dyDescent="0.35">
      <c r="E9658">
        <v>9655</v>
      </c>
      <c r="F9658">
        <f t="shared" ca="1" si="152"/>
        <v>3.913113098769341E-3</v>
      </c>
    </row>
    <row r="9659" spans="5:6" x14ac:dyDescent="0.35">
      <c r="E9659">
        <v>9656</v>
      </c>
      <c r="F9659">
        <f t="shared" ca="1" si="152"/>
        <v>-1.8433338215013632E-2</v>
      </c>
    </row>
    <row r="9660" spans="5:6" x14ac:dyDescent="0.35">
      <c r="E9660">
        <v>9657</v>
      </c>
      <c r="F9660">
        <f t="shared" ca="1" si="152"/>
        <v>2.5530664613247735E-2</v>
      </c>
    </row>
    <row r="9661" spans="5:6" x14ac:dyDescent="0.35">
      <c r="E9661">
        <v>9658</v>
      </c>
      <c r="F9661">
        <f t="shared" ca="1" si="152"/>
        <v>2.2097504602682515E-2</v>
      </c>
    </row>
    <row r="9662" spans="5:6" x14ac:dyDescent="0.35">
      <c r="E9662">
        <v>9659</v>
      </c>
      <c r="F9662">
        <f t="shared" ca="1" si="152"/>
        <v>1.3097726532049062E-2</v>
      </c>
    </row>
    <row r="9663" spans="5:6" x14ac:dyDescent="0.35">
      <c r="E9663">
        <v>9660</v>
      </c>
      <c r="F9663">
        <f t="shared" ca="1" si="152"/>
        <v>3.1704152615415267E-2</v>
      </c>
    </row>
    <row r="9664" spans="5:6" x14ac:dyDescent="0.35">
      <c r="E9664">
        <v>9661</v>
      </c>
      <c r="F9664">
        <f t="shared" ca="1" si="152"/>
        <v>7.3658353981494217E-3</v>
      </c>
    </row>
    <row r="9665" spans="5:6" x14ac:dyDescent="0.35">
      <c r="E9665">
        <v>9662</v>
      </c>
      <c r="F9665">
        <f t="shared" ca="1" si="152"/>
        <v>-3.8385691164448534E-4</v>
      </c>
    </row>
    <row r="9666" spans="5:6" x14ac:dyDescent="0.35">
      <c r="E9666">
        <v>9663</v>
      </c>
      <c r="F9666">
        <f t="shared" ca="1" si="152"/>
        <v>-6.7097999749934495E-3</v>
      </c>
    </row>
    <row r="9667" spans="5:6" x14ac:dyDescent="0.35">
      <c r="E9667">
        <v>9664</v>
      </c>
      <c r="F9667">
        <f t="shared" ca="1" si="152"/>
        <v>-3.8905011221535809E-3</v>
      </c>
    </row>
    <row r="9668" spans="5:6" x14ac:dyDescent="0.35">
      <c r="E9668">
        <v>9665</v>
      </c>
      <c r="F9668">
        <f t="shared" ca="1" si="152"/>
        <v>-3.3520026109748143E-2</v>
      </c>
    </row>
    <row r="9669" spans="5:6" x14ac:dyDescent="0.35">
      <c r="E9669">
        <v>9666</v>
      </c>
      <c r="F9669">
        <f t="shared" ref="F9669:F9732" ca="1" si="153">_xlfn.NORM.INV(RAND(),M$6,M$7)</f>
        <v>-8.4024799237850372E-3</v>
      </c>
    </row>
    <row r="9670" spans="5:6" x14ac:dyDescent="0.35">
      <c r="E9670">
        <v>9667</v>
      </c>
      <c r="F9670">
        <f t="shared" ca="1" si="153"/>
        <v>-6.5025385005345448E-3</v>
      </c>
    </row>
    <row r="9671" spans="5:6" x14ac:dyDescent="0.35">
      <c r="E9671">
        <v>9668</v>
      </c>
      <c r="F9671">
        <f t="shared" ca="1" si="153"/>
        <v>-2.0053289839157668E-3</v>
      </c>
    </row>
    <row r="9672" spans="5:6" x14ac:dyDescent="0.35">
      <c r="E9672">
        <v>9669</v>
      </c>
      <c r="F9672">
        <f t="shared" ca="1" si="153"/>
        <v>1.8103164316252895E-3</v>
      </c>
    </row>
    <row r="9673" spans="5:6" x14ac:dyDescent="0.35">
      <c r="E9673">
        <v>9670</v>
      </c>
      <c r="F9673">
        <f t="shared" ca="1" si="153"/>
        <v>1.4449839553187061E-2</v>
      </c>
    </row>
    <row r="9674" spans="5:6" x14ac:dyDescent="0.35">
      <c r="E9674">
        <v>9671</v>
      </c>
      <c r="F9674">
        <f t="shared" ca="1" si="153"/>
        <v>-2.6988093094036207E-3</v>
      </c>
    </row>
    <row r="9675" spans="5:6" x14ac:dyDescent="0.35">
      <c r="E9675">
        <v>9672</v>
      </c>
      <c r="F9675">
        <f t="shared" ca="1" si="153"/>
        <v>-4.4293559630601258E-3</v>
      </c>
    </row>
    <row r="9676" spans="5:6" x14ac:dyDescent="0.35">
      <c r="E9676">
        <v>9673</v>
      </c>
      <c r="F9676">
        <f t="shared" ca="1" si="153"/>
        <v>1.0949512439330504E-3</v>
      </c>
    </row>
    <row r="9677" spans="5:6" x14ac:dyDescent="0.35">
      <c r="E9677">
        <v>9674</v>
      </c>
      <c r="F9677">
        <f t="shared" ca="1" si="153"/>
        <v>-2.1904678177921043E-2</v>
      </c>
    </row>
    <row r="9678" spans="5:6" x14ac:dyDescent="0.35">
      <c r="E9678">
        <v>9675</v>
      </c>
      <c r="F9678">
        <f t="shared" ca="1" si="153"/>
        <v>-2.0524783114467246E-2</v>
      </c>
    </row>
    <row r="9679" spans="5:6" x14ac:dyDescent="0.35">
      <c r="E9679">
        <v>9676</v>
      </c>
      <c r="F9679">
        <f t="shared" ca="1" si="153"/>
        <v>-1.2655493725722823E-4</v>
      </c>
    </row>
    <row r="9680" spans="5:6" x14ac:dyDescent="0.35">
      <c r="E9680">
        <v>9677</v>
      </c>
      <c r="F9680">
        <f t="shared" ca="1" si="153"/>
        <v>5.5159683109902297E-3</v>
      </c>
    </row>
    <row r="9681" spans="5:6" x14ac:dyDescent="0.35">
      <c r="E9681">
        <v>9678</v>
      </c>
      <c r="F9681">
        <f t="shared" ca="1" si="153"/>
        <v>2.2435869286856543E-2</v>
      </c>
    </row>
    <row r="9682" spans="5:6" x14ac:dyDescent="0.35">
      <c r="E9682">
        <v>9679</v>
      </c>
      <c r="F9682">
        <f t="shared" ca="1" si="153"/>
        <v>-9.1970126090837843E-3</v>
      </c>
    </row>
    <row r="9683" spans="5:6" x14ac:dyDescent="0.35">
      <c r="E9683">
        <v>9680</v>
      </c>
      <c r="F9683">
        <f t="shared" ca="1" si="153"/>
        <v>3.4044562226884911E-3</v>
      </c>
    </row>
    <row r="9684" spans="5:6" x14ac:dyDescent="0.35">
      <c r="E9684">
        <v>9681</v>
      </c>
      <c r="F9684">
        <f t="shared" ca="1" si="153"/>
        <v>-1.0898865867502591E-2</v>
      </c>
    </row>
    <row r="9685" spans="5:6" x14ac:dyDescent="0.35">
      <c r="E9685">
        <v>9682</v>
      </c>
      <c r="F9685">
        <f t="shared" ca="1" si="153"/>
        <v>-1.0100758801197035E-3</v>
      </c>
    </row>
    <row r="9686" spans="5:6" x14ac:dyDescent="0.35">
      <c r="E9686">
        <v>9683</v>
      </c>
      <c r="F9686">
        <f t="shared" ca="1" si="153"/>
        <v>5.4670284084191983E-3</v>
      </c>
    </row>
    <row r="9687" spans="5:6" x14ac:dyDescent="0.35">
      <c r="E9687">
        <v>9684</v>
      </c>
      <c r="F9687">
        <f t="shared" ca="1" si="153"/>
        <v>1.2098915083509588E-2</v>
      </c>
    </row>
    <row r="9688" spans="5:6" x14ac:dyDescent="0.35">
      <c r="E9688">
        <v>9685</v>
      </c>
      <c r="F9688">
        <f t="shared" ca="1" si="153"/>
        <v>-1.63355004407587E-2</v>
      </c>
    </row>
    <row r="9689" spans="5:6" x14ac:dyDescent="0.35">
      <c r="E9689">
        <v>9686</v>
      </c>
      <c r="F9689">
        <f t="shared" ca="1" si="153"/>
        <v>-1.1145755002515682E-2</v>
      </c>
    </row>
    <row r="9690" spans="5:6" x14ac:dyDescent="0.35">
      <c r="E9690">
        <v>9687</v>
      </c>
      <c r="F9690">
        <f t="shared" ca="1" si="153"/>
        <v>9.9941066860051476E-3</v>
      </c>
    </row>
    <row r="9691" spans="5:6" x14ac:dyDescent="0.35">
      <c r="E9691">
        <v>9688</v>
      </c>
      <c r="F9691">
        <f t="shared" ca="1" si="153"/>
        <v>1.7390751598978611E-3</v>
      </c>
    </row>
    <row r="9692" spans="5:6" x14ac:dyDescent="0.35">
      <c r="E9692">
        <v>9689</v>
      </c>
      <c r="F9692">
        <f t="shared" ca="1" si="153"/>
        <v>6.3794131705617778E-3</v>
      </c>
    </row>
    <row r="9693" spans="5:6" x14ac:dyDescent="0.35">
      <c r="E9693">
        <v>9690</v>
      </c>
      <c r="F9693">
        <f t="shared" ca="1" si="153"/>
        <v>-7.2648987075177879E-3</v>
      </c>
    </row>
    <row r="9694" spans="5:6" x14ac:dyDescent="0.35">
      <c r="E9694">
        <v>9691</v>
      </c>
      <c r="F9694">
        <f t="shared" ca="1" si="153"/>
        <v>2.2903173940076274E-3</v>
      </c>
    </row>
    <row r="9695" spans="5:6" x14ac:dyDescent="0.35">
      <c r="E9695">
        <v>9692</v>
      </c>
      <c r="F9695">
        <f t="shared" ca="1" si="153"/>
        <v>9.5548609794365927E-3</v>
      </c>
    </row>
    <row r="9696" spans="5:6" x14ac:dyDescent="0.35">
      <c r="E9696">
        <v>9693</v>
      </c>
      <c r="F9696">
        <f t="shared" ca="1" si="153"/>
        <v>1.0371377468894933E-2</v>
      </c>
    </row>
    <row r="9697" spans="5:6" x14ac:dyDescent="0.35">
      <c r="E9697">
        <v>9694</v>
      </c>
      <c r="F9697">
        <f t="shared" ca="1" si="153"/>
        <v>3.7404259531414624E-3</v>
      </c>
    </row>
    <row r="9698" spans="5:6" x14ac:dyDescent="0.35">
      <c r="E9698">
        <v>9695</v>
      </c>
      <c r="F9698">
        <f t="shared" ca="1" si="153"/>
        <v>-2.4432195061333789E-2</v>
      </c>
    </row>
    <row r="9699" spans="5:6" x14ac:dyDescent="0.35">
      <c r="E9699">
        <v>9696</v>
      </c>
      <c r="F9699">
        <f t="shared" ca="1" si="153"/>
        <v>2.0711042288314393E-3</v>
      </c>
    </row>
    <row r="9700" spans="5:6" x14ac:dyDescent="0.35">
      <c r="E9700">
        <v>9697</v>
      </c>
      <c r="F9700">
        <f t="shared" ca="1" si="153"/>
        <v>5.2720353810394634E-5</v>
      </c>
    </row>
    <row r="9701" spans="5:6" x14ac:dyDescent="0.35">
      <c r="E9701">
        <v>9698</v>
      </c>
      <c r="F9701">
        <f t="shared" ca="1" si="153"/>
        <v>1.8750807903959515E-3</v>
      </c>
    </row>
    <row r="9702" spans="5:6" x14ac:dyDescent="0.35">
      <c r="E9702">
        <v>9699</v>
      </c>
      <c r="F9702">
        <f t="shared" ca="1" si="153"/>
        <v>-1.8187908538874011E-2</v>
      </c>
    </row>
    <row r="9703" spans="5:6" x14ac:dyDescent="0.35">
      <c r="E9703">
        <v>9700</v>
      </c>
      <c r="F9703">
        <f t="shared" ca="1" si="153"/>
        <v>-1.9081911403973761E-2</v>
      </c>
    </row>
    <row r="9704" spans="5:6" x14ac:dyDescent="0.35">
      <c r="E9704">
        <v>9701</v>
      </c>
      <c r="F9704">
        <f t="shared" ca="1" si="153"/>
        <v>-1.6862528488049765E-2</v>
      </c>
    </row>
    <row r="9705" spans="5:6" x14ac:dyDescent="0.35">
      <c r="E9705">
        <v>9702</v>
      </c>
      <c r="F9705">
        <f t="shared" ca="1" si="153"/>
        <v>-8.4198741538405071E-3</v>
      </c>
    </row>
    <row r="9706" spans="5:6" x14ac:dyDescent="0.35">
      <c r="E9706">
        <v>9703</v>
      </c>
      <c r="F9706">
        <f t="shared" ca="1" si="153"/>
        <v>1.3347996575084776E-3</v>
      </c>
    </row>
    <row r="9707" spans="5:6" x14ac:dyDescent="0.35">
      <c r="E9707">
        <v>9704</v>
      </c>
      <c r="F9707">
        <f t="shared" ca="1" si="153"/>
        <v>2.3596154311112663E-3</v>
      </c>
    </row>
    <row r="9708" spans="5:6" x14ac:dyDescent="0.35">
      <c r="E9708">
        <v>9705</v>
      </c>
      <c r="F9708">
        <f t="shared" ca="1" si="153"/>
        <v>6.6756110186271204E-3</v>
      </c>
    </row>
    <row r="9709" spans="5:6" x14ac:dyDescent="0.35">
      <c r="E9709">
        <v>9706</v>
      </c>
      <c r="F9709">
        <f t="shared" ca="1" si="153"/>
        <v>-3.3773486080501736E-2</v>
      </c>
    </row>
    <row r="9710" spans="5:6" x14ac:dyDescent="0.35">
      <c r="E9710">
        <v>9707</v>
      </c>
      <c r="F9710">
        <f t="shared" ca="1" si="153"/>
        <v>6.5677334281845755E-3</v>
      </c>
    </row>
    <row r="9711" spans="5:6" x14ac:dyDescent="0.35">
      <c r="E9711">
        <v>9708</v>
      </c>
      <c r="F9711">
        <f t="shared" ca="1" si="153"/>
        <v>2.1533935823058207E-3</v>
      </c>
    </row>
    <row r="9712" spans="5:6" x14ac:dyDescent="0.35">
      <c r="E9712">
        <v>9709</v>
      </c>
      <c r="F9712">
        <f t="shared" ca="1" si="153"/>
        <v>9.2146288278115098E-4</v>
      </c>
    </row>
    <row r="9713" spans="5:6" x14ac:dyDescent="0.35">
      <c r="E9713">
        <v>9710</v>
      </c>
      <c r="F9713">
        <f t="shared" ca="1" si="153"/>
        <v>-2.8531037134275805E-3</v>
      </c>
    </row>
    <row r="9714" spans="5:6" x14ac:dyDescent="0.35">
      <c r="E9714">
        <v>9711</v>
      </c>
      <c r="F9714">
        <f t="shared" ca="1" si="153"/>
        <v>4.6309542335577865E-3</v>
      </c>
    </row>
    <row r="9715" spans="5:6" x14ac:dyDescent="0.35">
      <c r="E9715">
        <v>9712</v>
      </c>
      <c r="F9715">
        <f t="shared" ca="1" si="153"/>
        <v>8.9351007000444162E-3</v>
      </c>
    </row>
    <row r="9716" spans="5:6" x14ac:dyDescent="0.35">
      <c r="E9716">
        <v>9713</v>
      </c>
      <c r="F9716">
        <f t="shared" ca="1" si="153"/>
        <v>-1.1537830429012991E-2</v>
      </c>
    </row>
    <row r="9717" spans="5:6" x14ac:dyDescent="0.35">
      <c r="E9717">
        <v>9714</v>
      </c>
      <c r="F9717">
        <f t="shared" ca="1" si="153"/>
        <v>2.9325639470800966E-3</v>
      </c>
    </row>
    <row r="9718" spans="5:6" x14ac:dyDescent="0.35">
      <c r="E9718">
        <v>9715</v>
      </c>
      <c r="F9718">
        <f t="shared" ca="1" si="153"/>
        <v>4.7070712956342204E-3</v>
      </c>
    </row>
    <row r="9719" spans="5:6" x14ac:dyDescent="0.35">
      <c r="E9719">
        <v>9716</v>
      </c>
      <c r="F9719">
        <f t="shared" ca="1" si="153"/>
        <v>5.8170240635057966E-3</v>
      </c>
    </row>
    <row r="9720" spans="5:6" x14ac:dyDescent="0.35">
      <c r="E9720">
        <v>9717</v>
      </c>
      <c r="F9720">
        <f t="shared" ca="1" si="153"/>
        <v>3.8866691641620617E-3</v>
      </c>
    </row>
    <row r="9721" spans="5:6" x14ac:dyDescent="0.35">
      <c r="E9721">
        <v>9718</v>
      </c>
      <c r="F9721">
        <f t="shared" ca="1" si="153"/>
        <v>-1.2029871021218864E-2</v>
      </c>
    </row>
    <row r="9722" spans="5:6" x14ac:dyDescent="0.35">
      <c r="E9722">
        <v>9719</v>
      </c>
      <c r="F9722">
        <f t="shared" ca="1" si="153"/>
        <v>1.0644444741409369E-2</v>
      </c>
    </row>
    <row r="9723" spans="5:6" x14ac:dyDescent="0.35">
      <c r="E9723">
        <v>9720</v>
      </c>
      <c r="F9723">
        <f t="shared" ca="1" si="153"/>
        <v>1.9020734428247656E-3</v>
      </c>
    </row>
    <row r="9724" spans="5:6" x14ac:dyDescent="0.35">
      <c r="E9724">
        <v>9721</v>
      </c>
      <c r="F9724">
        <f t="shared" ca="1" si="153"/>
        <v>-1.9516937664954648E-2</v>
      </c>
    </row>
    <row r="9725" spans="5:6" x14ac:dyDescent="0.35">
      <c r="E9725">
        <v>9722</v>
      </c>
      <c r="F9725">
        <f t="shared" ca="1" si="153"/>
        <v>6.8374858349636415E-4</v>
      </c>
    </row>
    <row r="9726" spans="5:6" x14ac:dyDescent="0.35">
      <c r="E9726">
        <v>9723</v>
      </c>
      <c r="F9726">
        <f t="shared" ca="1" si="153"/>
        <v>1.6852244271569308E-2</v>
      </c>
    </row>
    <row r="9727" spans="5:6" x14ac:dyDescent="0.35">
      <c r="E9727">
        <v>9724</v>
      </c>
      <c r="F9727">
        <f t="shared" ca="1" si="153"/>
        <v>-1.4055082567516331E-4</v>
      </c>
    </row>
    <row r="9728" spans="5:6" x14ac:dyDescent="0.35">
      <c r="E9728">
        <v>9725</v>
      </c>
      <c r="F9728">
        <f t="shared" ca="1" si="153"/>
        <v>1.7597125665639046E-2</v>
      </c>
    </row>
    <row r="9729" spans="5:6" x14ac:dyDescent="0.35">
      <c r="E9729">
        <v>9726</v>
      </c>
      <c r="F9729">
        <f t="shared" ca="1" si="153"/>
        <v>1.6355569053580137E-2</v>
      </c>
    </row>
    <row r="9730" spans="5:6" x14ac:dyDescent="0.35">
      <c r="E9730">
        <v>9727</v>
      </c>
      <c r="F9730">
        <f t="shared" ca="1" si="153"/>
        <v>-1.7207857779887127E-2</v>
      </c>
    </row>
    <row r="9731" spans="5:6" x14ac:dyDescent="0.35">
      <c r="E9731">
        <v>9728</v>
      </c>
      <c r="F9731">
        <f t="shared" ca="1" si="153"/>
        <v>-4.5320395391014292E-3</v>
      </c>
    </row>
    <row r="9732" spans="5:6" x14ac:dyDescent="0.35">
      <c r="E9732">
        <v>9729</v>
      </c>
      <c r="F9732">
        <f t="shared" ca="1" si="153"/>
        <v>3.0108170975133838E-2</v>
      </c>
    </row>
    <row r="9733" spans="5:6" x14ac:dyDescent="0.35">
      <c r="E9733">
        <v>9730</v>
      </c>
      <c r="F9733">
        <f t="shared" ref="F9733:F9796" ca="1" si="154">_xlfn.NORM.INV(RAND(),M$6,M$7)</f>
        <v>1.5014143576220522E-2</v>
      </c>
    </row>
    <row r="9734" spans="5:6" x14ac:dyDescent="0.35">
      <c r="E9734">
        <v>9731</v>
      </c>
      <c r="F9734">
        <f t="shared" ca="1" si="154"/>
        <v>-4.0918230671254781E-2</v>
      </c>
    </row>
    <row r="9735" spans="5:6" x14ac:dyDescent="0.35">
      <c r="E9735">
        <v>9732</v>
      </c>
      <c r="F9735">
        <f t="shared" ca="1" si="154"/>
        <v>1.9092154581785439E-2</v>
      </c>
    </row>
    <row r="9736" spans="5:6" x14ac:dyDescent="0.35">
      <c r="E9736">
        <v>9733</v>
      </c>
      <c r="F9736">
        <f t="shared" ca="1" si="154"/>
        <v>-3.4389439301131404E-3</v>
      </c>
    </row>
    <row r="9737" spans="5:6" x14ac:dyDescent="0.35">
      <c r="E9737">
        <v>9734</v>
      </c>
      <c r="F9737">
        <f t="shared" ca="1" si="154"/>
        <v>3.1146768150618989E-3</v>
      </c>
    </row>
    <row r="9738" spans="5:6" x14ac:dyDescent="0.35">
      <c r="E9738">
        <v>9735</v>
      </c>
      <c r="F9738">
        <f t="shared" ca="1" si="154"/>
        <v>2.5143693413156771E-2</v>
      </c>
    </row>
    <row r="9739" spans="5:6" x14ac:dyDescent="0.35">
      <c r="E9739">
        <v>9736</v>
      </c>
      <c r="F9739">
        <f t="shared" ca="1" si="154"/>
        <v>1.5386750695582693E-2</v>
      </c>
    </row>
    <row r="9740" spans="5:6" x14ac:dyDescent="0.35">
      <c r="E9740">
        <v>9737</v>
      </c>
      <c r="F9740">
        <f t="shared" ca="1" si="154"/>
        <v>-3.1770019750131932E-2</v>
      </c>
    </row>
    <row r="9741" spans="5:6" x14ac:dyDescent="0.35">
      <c r="E9741">
        <v>9738</v>
      </c>
      <c r="F9741">
        <f t="shared" ca="1" si="154"/>
        <v>1.8512826311490461E-2</v>
      </c>
    </row>
    <row r="9742" spans="5:6" x14ac:dyDescent="0.35">
      <c r="E9742">
        <v>9739</v>
      </c>
      <c r="F9742">
        <f t="shared" ca="1" si="154"/>
        <v>-1.0717604088312082E-2</v>
      </c>
    </row>
    <row r="9743" spans="5:6" x14ac:dyDescent="0.35">
      <c r="E9743">
        <v>9740</v>
      </c>
      <c r="F9743">
        <f t="shared" ca="1" si="154"/>
        <v>1.1871709634570675E-2</v>
      </c>
    </row>
    <row r="9744" spans="5:6" x14ac:dyDescent="0.35">
      <c r="E9744">
        <v>9741</v>
      </c>
      <c r="F9744">
        <f t="shared" ca="1" si="154"/>
        <v>1.827387917439478E-2</v>
      </c>
    </row>
    <row r="9745" spans="5:6" x14ac:dyDescent="0.35">
      <c r="E9745">
        <v>9742</v>
      </c>
      <c r="F9745">
        <f t="shared" ca="1" si="154"/>
        <v>1.3341645268393831E-2</v>
      </c>
    </row>
    <row r="9746" spans="5:6" x14ac:dyDescent="0.35">
      <c r="E9746">
        <v>9743</v>
      </c>
      <c r="F9746">
        <f t="shared" ca="1" si="154"/>
        <v>5.6801640666081414E-3</v>
      </c>
    </row>
    <row r="9747" spans="5:6" x14ac:dyDescent="0.35">
      <c r="E9747">
        <v>9744</v>
      </c>
      <c r="F9747">
        <f t="shared" ca="1" si="154"/>
        <v>-1.8413047540868487E-2</v>
      </c>
    </row>
    <row r="9748" spans="5:6" x14ac:dyDescent="0.35">
      <c r="E9748">
        <v>9745</v>
      </c>
      <c r="F9748">
        <f t="shared" ca="1" si="154"/>
        <v>1.5393741113679651E-2</v>
      </c>
    </row>
    <row r="9749" spans="5:6" x14ac:dyDescent="0.35">
      <c r="E9749">
        <v>9746</v>
      </c>
      <c r="F9749">
        <f t="shared" ca="1" si="154"/>
        <v>-7.2862098878077987E-3</v>
      </c>
    </row>
    <row r="9750" spans="5:6" x14ac:dyDescent="0.35">
      <c r="E9750">
        <v>9747</v>
      </c>
      <c r="F9750">
        <f t="shared" ca="1" si="154"/>
        <v>-4.0146527578750729E-2</v>
      </c>
    </row>
    <row r="9751" spans="5:6" x14ac:dyDescent="0.35">
      <c r="E9751">
        <v>9748</v>
      </c>
      <c r="F9751">
        <f t="shared" ca="1" si="154"/>
        <v>1.324987102606962E-2</v>
      </c>
    </row>
    <row r="9752" spans="5:6" x14ac:dyDescent="0.35">
      <c r="E9752">
        <v>9749</v>
      </c>
      <c r="F9752">
        <f t="shared" ca="1" si="154"/>
        <v>-3.2254545441282961E-4</v>
      </c>
    </row>
    <row r="9753" spans="5:6" x14ac:dyDescent="0.35">
      <c r="E9753">
        <v>9750</v>
      </c>
      <c r="F9753">
        <f t="shared" ca="1" si="154"/>
        <v>1.5825252629829027E-2</v>
      </c>
    </row>
    <row r="9754" spans="5:6" x14ac:dyDescent="0.35">
      <c r="E9754">
        <v>9751</v>
      </c>
      <c r="F9754">
        <f t="shared" ca="1" si="154"/>
        <v>1.417303747936444E-2</v>
      </c>
    </row>
    <row r="9755" spans="5:6" x14ac:dyDescent="0.35">
      <c r="E9755">
        <v>9752</v>
      </c>
      <c r="F9755">
        <f t="shared" ca="1" si="154"/>
        <v>-1.4408549061244466E-2</v>
      </c>
    </row>
    <row r="9756" spans="5:6" x14ac:dyDescent="0.35">
      <c r="E9756">
        <v>9753</v>
      </c>
      <c r="F9756">
        <f t="shared" ca="1" si="154"/>
        <v>3.4216135476631215E-2</v>
      </c>
    </row>
    <row r="9757" spans="5:6" x14ac:dyDescent="0.35">
      <c r="E9757">
        <v>9754</v>
      </c>
      <c r="F9757">
        <f t="shared" ca="1" si="154"/>
        <v>1.8719244090948231E-2</v>
      </c>
    </row>
    <row r="9758" spans="5:6" x14ac:dyDescent="0.35">
      <c r="E9758">
        <v>9755</v>
      </c>
      <c r="F9758">
        <f t="shared" ca="1" si="154"/>
        <v>6.0620356003715826E-3</v>
      </c>
    </row>
    <row r="9759" spans="5:6" x14ac:dyDescent="0.35">
      <c r="E9759">
        <v>9756</v>
      </c>
      <c r="F9759">
        <f t="shared" ca="1" si="154"/>
        <v>3.3399148015178719E-3</v>
      </c>
    </row>
    <row r="9760" spans="5:6" x14ac:dyDescent="0.35">
      <c r="E9760">
        <v>9757</v>
      </c>
      <c r="F9760">
        <f t="shared" ca="1" si="154"/>
        <v>-3.84964664841467E-3</v>
      </c>
    </row>
    <row r="9761" spans="5:6" x14ac:dyDescent="0.35">
      <c r="E9761">
        <v>9758</v>
      </c>
      <c r="F9761">
        <f t="shared" ca="1" si="154"/>
        <v>3.6581985303534236E-3</v>
      </c>
    </row>
    <row r="9762" spans="5:6" x14ac:dyDescent="0.35">
      <c r="E9762">
        <v>9759</v>
      </c>
      <c r="F9762">
        <f t="shared" ca="1" si="154"/>
        <v>1.451039702092816E-2</v>
      </c>
    </row>
    <row r="9763" spans="5:6" x14ac:dyDescent="0.35">
      <c r="E9763">
        <v>9760</v>
      </c>
      <c r="F9763">
        <f t="shared" ca="1" si="154"/>
        <v>-1.390456721232052E-2</v>
      </c>
    </row>
    <row r="9764" spans="5:6" x14ac:dyDescent="0.35">
      <c r="E9764">
        <v>9761</v>
      </c>
      <c r="F9764">
        <f t="shared" ca="1" si="154"/>
        <v>3.8934981638883717E-2</v>
      </c>
    </row>
    <row r="9765" spans="5:6" x14ac:dyDescent="0.35">
      <c r="E9765">
        <v>9762</v>
      </c>
      <c r="F9765">
        <f t="shared" ca="1" si="154"/>
        <v>-1.1722657077899818E-2</v>
      </c>
    </row>
    <row r="9766" spans="5:6" x14ac:dyDescent="0.35">
      <c r="E9766">
        <v>9763</v>
      </c>
      <c r="F9766">
        <f t="shared" ca="1" si="154"/>
        <v>4.2963842843997185E-3</v>
      </c>
    </row>
    <row r="9767" spans="5:6" x14ac:dyDescent="0.35">
      <c r="E9767">
        <v>9764</v>
      </c>
      <c r="F9767">
        <f t="shared" ca="1" si="154"/>
        <v>1.4373563305457698E-2</v>
      </c>
    </row>
    <row r="9768" spans="5:6" x14ac:dyDescent="0.35">
      <c r="E9768">
        <v>9765</v>
      </c>
      <c r="F9768">
        <f t="shared" ca="1" si="154"/>
        <v>1.0809858792366012E-2</v>
      </c>
    </row>
    <row r="9769" spans="5:6" x14ac:dyDescent="0.35">
      <c r="E9769">
        <v>9766</v>
      </c>
      <c r="F9769">
        <f t="shared" ca="1" si="154"/>
        <v>-8.5496002510191058E-3</v>
      </c>
    </row>
    <row r="9770" spans="5:6" x14ac:dyDescent="0.35">
      <c r="E9770">
        <v>9767</v>
      </c>
      <c r="F9770">
        <f t="shared" ca="1" si="154"/>
        <v>1.3735366535739738E-2</v>
      </c>
    </row>
    <row r="9771" spans="5:6" x14ac:dyDescent="0.35">
      <c r="E9771">
        <v>9768</v>
      </c>
      <c r="F9771">
        <f t="shared" ca="1" si="154"/>
        <v>5.3781825450407239E-3</v>
      </c>
    </row>
    <row r="9772" spans="5:6" x14ac:dyDescent="0.35">
      <c r="E9772">
        <v>9769</v>
      </c>
      <c r="F9772">
        <f t="shared" ca="1" si="154"/>
        <v>2.7295060715824149E-3</v>
      </c>
    </row>
    <row r="9773" spans="5:6" x14ac:dyDescent="0.35">
      <c r="E9773">
        <v>9770</v>
      </c>
      <c r="F9773">
        <f t="shared" ca="1" si="154"/>
        <v>2.4645899889394147E-2</v>
      </c>
    </row>
    <row r="9774" spans="5:6" x14ac:dyDescent="0.35">
      <c r="E9774">
        <v>9771</v>
      </c>
      <c r="F9774">
        <f t="shared" ca="1" si="154"/>
        <v>2.1726393568069435E-2</v>
      </c>
    </row>
    <row r="9775" spans="5:6" x14ac:dyDescent="0.35">
      <c r="E9775">
        <v>9772</v>
      </c>
      <c r="F9775">
        <f t="shared" ca="1" si="154"/>
        <v>-2.3469849075650972E-3</v>
      </c>
    </row>
    <row r="9776" spans="5:6" x14ac:dyDescent="0.35">
      <c r="E9776">
        <v>9773</v>
      </c>
      <c r="F9776">
        <f t="shared" ca="1" si="154"/>
        <v>1.1288094062747124E-2</v>
      </c>
    </row>
    <row r="9777" spans="5:6" x14ac:dyDescent="0.35">
      <c r="E9777">
        <v>9774</v>
      </c>
      <c r="F9777">
        <f t="shared" ca="1" si="154"/>
        <v>4.6276166879497102E-4</v>
      </c>
    </row>
    <row r="9778" spans="5:6" x14ac:dyDescent="0.35">
      <c r="E9778">
        <v>9775</v>
      </c>
      <c r="F9778">
        <f t="shared" ca="1" si="154"/>
        <v>9.8093927133486337E-3</v>
      </c>
    </row>
    <row r="9779" spans="5:6" x14ac:dyDescent="0.35">
      <c r="E9779">
        <v>9776</v>
      </c>
      <c r="F9779">
        <f t="shared" ca="1" si="154"/>
        <v>-3.3027562935518839E-2</v>
      </c>
    </row>
    <row r="9780" spans="5:6" x14ac:dyDescent="0.35">
      <c r="E9780">
        <v>9777</v>
      </c>
      <c r="F9780">
        <f t="shared" ca="1" si="154"/>
        <v>6.7982891115031868E-3</v>
      </c>
    </row>
    <row r="9781" spans="5:6" x14ac:dyDescent="0.35">
      <c r="E9781">
        <v>9778</v>
      </c>
      <c r="F9781">
        <f t="shared" ca="1" si="154"/>
        <v>-5.485460411797738E-4</v>
      </c>
    </row>
    <row r="9782" spans="5:6" x14ac:dyDescent="0.35">
      <c r="E9782">
        <v>9779</v>
      </c>
      <c r="F9782">
        <f t="shared" ca="1" si="154"/>
        <v>1.5478230512909547E-2</v>
      </c>
    </row>
    <row r="9783" spans="5:6" x14ac:dyDescent="0.35">
      <c r="E9783">
        <v>9780</v>
      </c>
      <c r="F9783">
        <f t="shared" ca="1" si="154"/>
        <v>2.1375003445397943E-3</v>
      </c>
    </row>
    <row r="9784" spans="5:6" x14ac:dyDescent="0.35">
      <c r="E9784">
        <v>9781</v>
      </c>
      <c r="F9784">
        <f t="shared" ca="1" si="154"/>
        <v>-1.4794934592427296E-2</v>
      </c>
    </row>
    <row r="9785" spans="5:6" x14ac:dyDescent="0.35">
      <c r="E9785">
        <v>9782</v>
      </c>
      <c r="F9785">
        <f t="shared" ca="1" si="154"/>
        <v>-1.052537729305977E-2</v>
      </c>
    </row>
    <row r="9786" spans="5:6" x14ac:dyDescent="0.35">
      <c r="E9786">
        <v>9783</v>
      </c>
      <c r="F9786">
        <f t="shared" ca="1" si="154"/>
        <v>6.0941100441096723E-3</v>
      </c>
    </row>
    <row r="9787" spans="5:6" x14ac:dyDescent="0.35">
      <c r="E9787">
        <v>9784</v>
      </c>
      <c r="F9787">
        <f t="shared" ca="1" si="154"/>
        <v>1.6612908368160852E-2</v>
      </c>
    </row>
    <row r="9788" spans="5:6" x14ac:dyDescent="0.35">
      <c r="E9788">
        <v>9785</v>
      </c>
      <c r="F9788">
        <f t="shared" ca="1" si="154"/>
        <v>-7.8837732454840551E-3</v>
      </c>
    </row>
    <row r="9789" spans="5:6" x14ac:dyDescent="0.35">
      <c r="E9789">
        <v>9786</v>
      </c>
      <c r="F9789">
        <f t="shared" ca="1" si="154"/>
        <v>4.3882419118298792E-3</v>
      </c>
    </row>
    <row r="9790" spans="5:6" x14ac:dyDescent="0.35">
      <c r="E9790">
        <v>9787</v>
      </c>
      <c r="F9790">
        <f t="shared" ca="1" si="154"/>
        <v>1.4235568658526758E-2</v>
      </c>
    </row>
    <row r="9791" spans="5:6" x14ac:dyDescent="0.35">
      <c r="E9791">
        <v>9788</v>
      </c>
      <c r="F9791">
        <f t="shared" ca="1" si="154"/>
        <v>1.673359858100908E-2</v>
      </c>
    </row>
    <row r="9792" spans="5:6" x14ac:dyDescent="0.35">
      <c r="E9792">
        <v>9789</v>
      </c>
      <c r="F9792">
        <f t="shared" ca="1" si="154"/>
        <v>-2.709196122449941E-2</v>
      </c>
    </row>
    <row r="9793" spans="5:6" x14ac:dyDescent="0.35">
      <c r="E9793">
        <v>9790</v>
      </c>
      <c r="F9793">
        <f t="shared" ca="1" si="154"/>
        <v>1.9676967966662439E-3</v>
      </c>
    </row>
    <row r="9794" spans="5:6" x14ac:dyDescent="0.35">
      <c r="E9794">
        <v>9791</v>
      </c>
      <c r="F9794">
        <f t="shared" ca="1" si="154"/>
        <v>-4.2909730960761325E-2</v>
      </c>
    </row>
    <row r="9795" spans="5:6" x14ac:dyDescent="0.35">
      <c r="E9795">
        <v>9792</v>
      </c>
      <c r="F9795">
        <f t="shared" ca="1" si="154"/>
        <v>1.2240286103008174E-2</v>
      </c>
    </row>
    <row r="9796" spans="5:6" x14ac:dyDescent="0.35">
      <c r="E9796">
        <v>9793</v>
      </c>
      <c r="F9796">
        <f t="shared" ca="1" si="154"/>
        <v>-3.232323890377259E-3</v>
      </c>
    </row>
    <row r="9797" spans="5:6" x14ac:dyDescent="0.35">
      <c r="E9797">
        <v>9794</v>
      </c>
      <c r="F9797">
        <f t="shared" ref="F9797:F9860" ca="1" si="155">_xlfn.NORM.INV(RAND(),M$6,M$7)</f>
        <v>4.7964114999856023E-4</v>
      </c>
    </row>
    <row r="9798" spans="5:6" x14ac:dyDescent="0.35">
      <c r="E9798">
        <v>9795</v>
      </c>
      <c r="F9798">
        <f t="shared" ca="1" si="155"/>
        <v>-2.0854333961770285E-3</v>
      </c>
    </row>
    <row r="9799" spans="5:6" x14ac:dyDescent="0.35">
      <c r="E9799">
        <v>9796</v>
      </c>
      <c r="F9799">
        <f t="shared" ca="1" si="155"/>
        <v>-2.8214533870046594E-2</v>
      </c>
    </row>
    <row r="9800" spans="5:6" x14ac:dyDescent="0.35">
      <c r="E9800">
        <v>9797</v>
      </c>
      <c r="F9800">
        <f t="shared" ca="1" si="155"/>
        <v>-9.4873320997072037E-3</v>
      </c>
    </row>
    <row r="9801" spans="5:6" x14ac:dyDescent="0.35">
      <c r="E9801">
        <v>9798</v>
      </c>
      <c r="F9801">
        <f t="shared" ca="1" si="155"/>
        <v>3.8815217085980346E-3</v>
      </c>
    </row>
    <row r="9802" spans="5:6" x14ac:dyDescent="0.35">
      <c r="E9802">
        <v>9799</v>
      </c>
      <c r="F9802">
        <f t="shared" ca="1" si="155"/>
        <v>2.3415220052851581E-2</v>
      </c>
    </row>
    <row r="9803" spans="5:6" x14ac:dyDescent="0.35">
      <c r="E9803">
        <v>9800</v>
      </c>
      <c r="F9803">
        <f t="shared" ca="1" si="155"/>
        <v>2.4496580089329392E-2</v>
      </c>
    </row>
    <row r="9804" spans="5:6" x14ac:dyDescent="0.35">
      <c r="E9804">
        <v>9801</v>
      </c>
      <c r="F9804">
        <f t="shared" ca="1" si="155"/>
        <v>3.51088693216998E-3</v>
      </c>
    </row>
    <row r="9805" spans="5:6" x14ac:dyDescent="0.35">
      <c r="E9805">
        <v>9802</v>
      </c>
      <c r="F9805">
        <f t="shared" ca="1" si="155"/>
        <v>6.9304866021802809E-3</v>
      </c>
    </row>
    <row r="9806" spans="5:6" x14ac:dyDescent="0.35">
      <c r="E9806">
        <v>9803</v>
      </c>
      <c r="F9806">
        <f t="shared" ca="1" si="155"/>
        <v>-7.9524955050560304E-3</v>
      </c>
    </row>
    <row r="9807" spans="5:6" x14ac:dyDescent="0.35">
      <c r="E9807">
        <v>9804</v>
      </c>
      <c r="F9807">
        <f t="shared" ca="1" si="155"/>
        <v>5.7331317653888077E-3</v>
      </c>
    </row>
    <row r="9808" spans="5:6" x14ac:dyDescent="0.35">
      <c r="E9808">
        <v>9805</v>
      </c>
      <c r="F9808">
        <f t="shared" ca="1" si="155"/>
        <v>-4.0873084298212016E-3</v>
      </c>
    </row>
    <row r="9809" spans="5:6" x14ac:dyDescent="0.35">
      <c r="E9809">
        <v>9806</v>
      </c>
      <c r="F9809">
        <f t="shared" ca="1" si="155"/>
        <v>-1.4176462425901697E-2</v>
      </c>
    </row>
    <row r="9810" spans="5:6" x14ac:dyDescent="0.35">
      <c r="E9810">
        <v>9807</v>
      </c>
      <c r="F9810">
        <f t="shared" ca="1" si="155"/>
        <v>-1.2885992161223284E-2</v>
      </c>
    </row>
    <row r="9811" spans="5:6" x14ac:dyDescent="0.35">
      <c r="E9811">
        <v>9808</v>
      </c>
      <c r="F9811">
        <f t="shared" ca="1" si="155"/>
        <v>-1.8473355269002498E-2</v>
      </c>
    </row>
    <row r="9812" spans="5:6" x14ac:dyDescent="0.35">
      <c r="E9812">
        <v>9809</v>
      </c>
      <c r="F9812">
        <f t="shared" ca="1" si="155"/>
        <v>-1.5259239458491223E-2</v>
      </c>
    </row>
    <row r="9813" spans="5:6" x14ac:dyDescent="0.35">
      <c r="E9813">
        <v>9810</v>
      </c>
      <c r="F9813">
        <f t="shared" ca="1" si="155"/>
        <v>-1.7991056174931651E-2</v>
      </c>
    </row>
    <row r="9814" spans="5:6" x14ac:dyDescent="0.35">
      <c r="E9814">
        <v>9811</v>
      </c>
      <c r="F9814">
        <f t="shared" ca="1" si="155"/>
        <v>-5.3078823199446011E-3</v>
      </c>
    </row>
    <row r="9815" spans="5:6" x14ac:dyDescent="0.35">
      <c r="E9815">
        <v>9812</v>
      </c>
      <c r="F9815">
        <f t="shared" ca="1" si="155"/>
        <v>-4.366585292080883E-3</v>
      </c>
    </row>
    <row r="9816" spans="5:6" x14ac:dyDescent="0.35">
      <c r="E9816">
        <v>9813</v>
      </c>
      <c r="F9816">
        <f t="shared" ca="1" si="155"/>
        <v>2.6316388782672818E-3</v>
      </c>
    </row>
    <row r="9817" spans="5:6" x14ac:dyDescent="0.35">
      <c r="E9817">
        <v>9814</v>
      </c>
      <c r="F9817">
        <f t="shared" ca="1" si="155"/>
        <v>-1.0110305579727561E-2</v>
      </c>
    </row>
    <row r="9818" spans="5:6" x14ac:dyDescent="0.35">
      <c r="E9818">
        <v>9815</v>
      </c>
      <c r="F9818">
        <f t="shared" ca="1" si="155"/>
        <v>1.522160030583106E-2</v>
      </c>
    </row>
    <row r="9819" spans="5:6" x14ac:dyDescent="0.35">
      <c r="E9819">
        <v>9816</v>
      </c>
      <c r="F9819">
        <f t="shared" ca="1" si="155"/>
        <v>-3.018392926492507E-2</v>
      </c>
    </row>
    <row r="9820" spans="5:6" x14ac:dyDescent="0.35">
      <c r="E9820">
        <v>9817</v>
      </c>
      <c r="F9820">
        <f t="shared" ca="1" si="155"/>
        <v>-3.3395775716739818E-3</v>
      </c>
    </row>
    <row r="9821" spans="5:6" x14ac:dyDescent="0.35">
      <c r="E9821">
        <v>9818</v>
      </c>
      <c r="F9821">
        <f t="shared" ca="1" si="155"/>
        <v>4.4041554127222998E-3</v>
      </c>
    </row>
    <row r="9822" spans="5:6" x14ac:dyDescent="0.35">
      <c r="E9822">
        <v>9819</v>
      </c>
      <c r="F9822">
        <f t="shared" ca="1" si="155"/>
        <v>-2.237396583073334E-3</v>
      </c>
    </row>
    <row r="9823" spans="5:6" x14ac:dyDescent="0.35">
      <c r="E9823">
        <v>9820</v>
      </c>
      <c r="F9823">
        <f t="shared" ca="1" si="155"/>
        <v>3.2165126860825722E-3</v>
      </c>
    </row>
    <row r="9824" spans="5:6" x14ac:dyDescent="0.35">
      <c r="E9824">
        <v>9821</v>
      </c>
      <c r="F9824">
        <f t="shared" ca="1" si="155"/>
        <v>-1.0820847040669056E-2</v>
      </c>
    </row>
    <row r="9825" spans="5:6" x14ac:dyDescent="0.35">
      <c r="E9825">
        <v>9822</v>
      </c>
      <c r="F9825">
        <f t="shared" ca="1" si="155"/>
        <v>-2.2116333151131123E-2</v>
      </c>
    </row>
    <row r="9826" spans="5:6" x14ac:dyDescent="0.35">
      <c r="E9826">
        <v>9823</v>
      </c>
      <c r="F9826">
        <f t="shared" ca="1" si="155"/>
        <v>1.4952217528450039E-2</v>
      </c>
    </row>
    <row r="9827" spans="5:6" x14ac:dyDescent="0.35">
      <c r="E9827">
        <v>9824</v>
      </c>
      <c r="F9827">
        <f t="shared" ca="1" si="155"/>
        <v>2.470582725856196E-2</v>
      </c>
    </row>
    <row r="9828" spans="5:6" x14ac:dyDescent="0.35">
      <c r="E9828">
        <v>9825</v>
      </c>
      <c r="F9828">
        <f t="shared" ca="1" si="155"/>
        <v>-2.374694039822724E-2</v>
      </c>
    </row>
    <row r="9829" spans="5:6" x14ac:dyDescent="0.35">
      <c r="E9829">
        <v>9826</v>
      </c>
      <c r="F9829">
        <f t="shared" ca="1" si="155"/>
        <v>-1.8205511682735646E-2</v>
      </c>
    </row>
    <row r="9830" spans="5:6" x14ac:dyDescent="0.35">
      <c r="E9830">
        <v>9827</v>
      </c>
      <c r="F9830">
        <f t="shared" ca="1" si="155"/>
        <v>-7.3298835585233766E-3</v>
      </c>
    </row>
    <row r="9831" spans="5:6" x14ac:dyDescent="0.35">
      <c r="E9831">
        <v>9828</v>
      </c>
      <c r="F9831">
        <f t="shared" ca="1" si="155"/>
        <v>2.7095023969995701E-2</v>
      </c>
    </row>
    <row r="9832" spans="5:6" x14ac:dyDescent="0.35">
      <c r="E9832">
        <v>9829</v>
      </c>
      <c r="F9832">
        <f t="shared" ca="1" si="155"/>
        <v>1.644531184524408E-2</v>
      </c>
    </row>
    <row r="9833" spans="5:6" x14ac:dyDescent="0.35">
      <c r="E9833">
        <v>9830</v>
      </c>
      <c r="F9833">
        <f t="shared" ca="1" si="155"/>
        <v>1.0555762342280521E-2</v>
      </c>
    </row>
    <row r="9834" spans="5:6" x14ac:dyDescent="0.35">
      <c r="E9834">
        <v>9831</v>
      </c>
      <c r="F9834">
        <f t="shared" ca="1" si="155"/>
        <v>2.0663586248899843E-2</v>
      </c>
    </row>
    <row r="9835" spans="5:6" x14ac:dyDescent="0.35">
      <c r="E9835">
        <v>9832</v>
      </c>
      <c r="F9835">
        <f t="shared" ca="1" si="155"/>
        <v>6.3752108243954235E-3</v>
      </c>
    </row>
    <row r="9836" spans="5:6" x14ac:dyDescent="0.35">
      <c r="E9836">
        <v>9833</v>
      </c>
      <c r="F9836">
        <f t="shared" ca="1" si="155"/>
        <v>-2.6794450484960325E-4</v>
      </c>
    </row>
    <row r="9837" spans="5:6" x14ac:dyDescent="0.35">
      <c r="E9837">
        <v>9834</v>
      </c>
      <c r="F9837">
        <f t="shared" ca="1" si="155"/>
        <v>2.9204212178502248E-2</v>
      </c>
    </row>
    <row r="9838" spans="5:6" x14ac:dyDescent="0.35">
      <c r="E9838">
        <v>9835</v>
      </c>
      <c r="F9838">
        <f t="shared" ca="1" si="155"/>
        <v>-1.5708043827215405E-2</v>
      </c>
    </row>
    <row r="9839" spans="5:6" x14ac:dyDescent="0.35">
      <c r="E9839">
        <v>9836</v>
      </c>
      <c r="F9839">
        <f t="shared" ca="1" si="155"/>
        <v>-7.069640959882351E-3</v>
      </c>
    </row>
    <row r="9840" spans="5:6" x14ac:dyDescent="0.35">
      <c r="E9840">
        <v>9837</v>
      </c>
      <c r="F9840">
        <f t="shared" ca="1" si="155"/>
        <v>4.6398279351445295E-3</v>
      </c>
    </row>
    <row r="9841" spans="5:6" x14ac:dyDescent="0.35">
      <c r="E9841">
        <v>9838</v>
      </c>
      <c r="F9841">
        <f t="shared" ca="1" si="155"/>
        <v>9.7914075944983952E-3</v>
      </c>
    </row>
    <row r="9842" spans="5:6" x14ac:dyDescent="0.35">
      <c r="E9842">
        <v>9839</v>
      </c>
      <c r="F9842">
        <f t="shared" ca="1" si="155"/>
        <v>-1.1203342169975154E-2</v>
      </c>
    </row>
    <row r="9843" spans="5:6" x14ac:dyDescent="0.35">
      <c r="E9843">
        <v>9840</v>
      </c>
      <c r="F9843">
        <f t="shared" ca="1" si="155"/>
        <v>1.1703904367334811E-3</v>
      </c>
    </row>
    <row r="9844" spans="5:6" x14ac:dyDescent="0.35">
      <c r="E9844">
        <v>9841</v>
      </c>
      <c r="F9844">
        <f t="shared" ca="1" si="155"/>
        <v>-1.3407990286488387E-2</v>
      </c>
    </row>
    <row r="9845" spans="5:6" x14ac:dyDescent="0.35">
      <c r="E9845">
        <v>9842</v>
      </c>
      <c r="F9845">
        <f t="shared" ca="1" si="155"/>
        <v>-1.5492787983022387E-2</v>
      </c>
    </row>
    <row r="9846" spans="5:6" x14ac:dyDescent="0.35">
      <c r="E9846">
        <v>9843</v>
      </c>
      <c r="F9846">
        <f t="shared" ca="1" si="155"/>
        <v>-3.4595660886340778E-3</v>
      </c>
    </row>
    <row r="9847" spans="5:6" x14ac:dyDescent="0.35">
      <c r="E9847">
        <v>9844</v>
      </c>
      <c r="F9847">
        <f t="shared" ca="1" si="155"/>
        <v>-1.4210601646718491E-2</v>
      </c>
    </row>
    <row r="9848" spans="5:6" x14ac:dyDescent="0.35">
      <c r="E9848">
        <v>9845</v>
      </c>
      <c r="F9848">
        <f t="shared" ca="1" si="155"/>
        <v>-5.433464715170892E-3</v>
      </c>
    </row>
    <row r="9849" spans="5:6" x14ac:dyDescent="0.35">
      <c r="E9849">
        <v>9846</v>
      </c>
      <c r="F9849">
        <f t="shared" ca="1" si="155"/>
        <v>-1.3760450079110625E-2</v>
      </c>
    </row>
    <row r="9850" spans="5:6" x14ac:dyDescent="0.35">
      <c r="E9850">
        <v>9847</v>
      </c>
      <c r="F9850">
        <f t="shared" ca="1" si="155"/>
        <v>1.7423397584941942E-2</v>
      </c>
    </row>
    <row r="9851" spans="5:6" x14ac:dyDescent="0.35">
      <c r="E9851">
        <v>9848</v>
      </c>
      <c r="F9851">
        <f t="shared" ca="1" si="155"/>
        <v>9.299660206182744E-4</v>
      </c>
    </row>
    <row r="9852" spans="5:6" x14ac:dyDescent="0.35">
      <c r="E9852">
        <v>9849</v>
      </c>
      <c r="F9852">
        <f t="shared" ca="1" si="155"/>
        <v>4.4317426978914103E-3</v>
      </c>
    </row>
    <row r="9853" spans="5:6" x14ac:dyDescent="0.35">
      <c r="E9853">
        <v>9850</v>
      </c>
      <c r="F9853">
        <f t="shared" ca="1" si="155"/>
        <v>1.6199970371383841E-2</v>
      </c>
    </row>
    <row r="9854" spans="5:6" x14ac:dyDescent="0.35">
      <c r="E9854">
        <v>9851</v>
      </c>
      <c r="F9854">
        <f t="shared" ca="1" si="155"/>
        <v>-2.6322506952697763E-3</v>
      </c>
    </row>
    <row r="9855" spans="5:6" x14ac:dyDescent="0.35">
      <c r="E9855">
        <v>9852</v>
      </c>
      <c r="F9855">
        <f t="shared" ca="1" si="155"/>
        <v>-5.9224898628673791E-4</v>
      </c>
    </row>
    <row r="9856" spans="5:6" x14ac:dyDescent="0.35">
      <c r="E9856">
        <v>9853</v>
      </c>
      <c r="F9856">
        <f t="shared" ca="1" si="155"/>
        <v>-7.1873705173902723E-3</v>
      </c>
    </row>
    <row r="9857" spans="5:6" x14ac:dyDescent="0.35">
      <c r="E9857">
        <v>9854</v>
      </c>
      <c r="F9857">
        <f t="shared" ca="1" si="155"/>
        <v>1.0215355796543348E-2</v>
      </c>
    </row>
    <row r="9858" spans="5:6" x14ac:dyDescent="0.35">
      <c r="E9858">
        <v>9855</v>
      </c>
      <c r="F9858">
        <f t="shared" ca="1" si="155"/>
        <v>-1.1768017116820339E-2</v>
      </c>
    </row>
    <row r="9859" spans="5:6" x14ac:dyDescent="0.35">
      <c r="E9859">
        <v>9856</v>
      </c>
      <c r="F9859">
        <f t="shared" ca="1" si="155"/>
        <v>-2.4602224167764836E-2</v>
      </c>
    </row>
    <row r="9860" spans="5:6" x14ac:dyDescent="0.35">
      <c r="E9860">
        <v>9857</v>
      </c>
      <c r="F9860">
        <f t="shared" ca="1" si="155"/>
        <v>1.3336340180444665E-3</v>
      </c>
    </row>
    <row r="9861" spans="5:6" x14ac:dyDescent="0.35">
      <c r="E9861">
        <v>9858</v>
      </c>
      <c r="F9861">
        <f t="shared" ref="F9861:F9924" ca="1" si="156">_xlfn.NORM.INV(RAND(),M$6,M$7)</f>
        <v>2.875546219532568E-3</v>
      </c>
    </row>
    <row r="9862" spans="5:6" x14ac:dyDescent="0.35">
      <c r="E9862">
        <v>9859</v>
      </c>
      <c r="F9862">
        <f t="shared" ca="1" si="156"/>
        <v>1.6436970338470768E-3</v>
      </c>
    </row>
    <row r="9863" spans="5:6" x14ac:dyDescent="0.35">
      <c r="E9863">
        <v>9860</v>
      </c>
      <c r="F9863">
        <f t="shared" ca="1" si="156"/>
        <v>3.8391680355013523E-3</v>
      </c>
    </row>
    <row r="9864" spans="5:6" x14ac:dyDescent="0.35">
      <c r="E9864">
        <v>9861</v>
      </c>
      <c r="F9864">
        <f t="shared" ca="1" si="156"/>
        <v>-2.7720211559189635E-3</v>
      </c>
    </row>
    <row r="9865" spans="5:6" x14ac:dyDescent="0.35">
      <c r="E9865">
        <v>9862</v>
      </c>
      <c r="F9865">
        <f t="shared" ca="1" si="156"/>
        <v>1.8618437271964407E-2</v>
      </c>
    </row>
    <row r="9866" spans="5:6" x14ac:dyDescent="0.35">
      <c r="E9866">
        <v>9863</v>
      </c>
      <c r="F9866">
        <f t="shared" ca="1" si="156"/>
        <v>3.6137898164273216E-3</v>
      </c>
    </row>
    <row r="9867" spans="5:6" x14ac:dyDescent="0.35">
      <c r="E9867">
        <v>9864</v>
      </c>
      <c r="F9867">
        <f t="shared" ca="1" si="156"/>
        <v>-9.1846656012569434E-3</v>
      </c>
    </row>
    <row r="9868" spans="5:6" x14ac:dyDescent="0.35">
      <c r="E9868">
        <v>9865</v>
      </c>
      <c r="F9868">
        <f t="shared" ca="1" si="156"/>
        <v>-1.3513931015432723E-2</v>
      </c>
    </row>
    <row r="9869" spans="5:6" x14ac:dyDescent="0.35">
      <c r="E9869">
        <v>9866</v>
      </c>
      <c r="F9869">
        <f t="shared" ca="1" si="156"/>
        <v>-1.4897619627142586E-3</v>
      </c>
    </row>
    <row r="9870" spans="5:6" x14ac:dyDescent="0.35">
      <c r="E9870">
        <v>9867</v>
      </c>
      <c r="F9870">
        <f t="shared" ca="1" si="156"/>
        <v>6.9582057243655557E-3</v>
      </c>
    </row>
    <row r="9871" spans="5:6" x14ac:dyDescent="0.35">
      <c r="E9871">
        <v>9868</v>
      </c>
      <c r="F9871">
        <f t="shared" ca="1" si="156"/>
        <v>2.2618985975982862E-2</v>
      </c>
    </row>
    <row r="9872" spans="5:6" x14ac:dyDescent="0.35">
      <c r="E9872">
        <v>9869</v>
      </c>
      <c r="F9872">
        <f t="shared" ca="1" si="156"/>
        <v>-2.6151364535277607E-2</v>
      </c>
    </row>
    <row r="9873" spans="5:6" x14ac:dyDescent="0.35">
      <c r="E9873">
        <v>9870</v>
      </c>
      <c r="F9873">
        <f t="shared" ca="1" si="156"/>
        <v>-1.5833563466248878E-2</v>
      </c>
    </row>
    <row r="9874" spans="5:6" x14ac:dyDescent="0.35">
      <c r="E9874">
        <v>9871</v>
      </c>
      <c r="F9874">
        <f t="shared" ca="1" si="156"/>
        <v>-3.0443057187576675E-2</v>
      </c>
    </row>
    <row r="9875" spans="5:6" x14ac:dyDescent="0.35">
      <c r="E9875">
        <v>9872</v>
      </c>
      <c r="F9875">
        <f t="shared" ca="1" si="156"/>
        <v>-7.3918433087550124E-3</v>
      </c>
    </row>
    <row r="9876" spans="5:6" x14ac:dyDescent="0.35">
      <c r="E9876">
        <v>9873</v>
      </c>
      <c r="F9876">
        <f t="shared" ca="1" si="156"/>
        <v>3.1553292493765026E-3</v>
      </c>
    </row>
    <row r="9877" spans="5:6" x14ac:dyDescent="0.35">
      <c r="E9877">
        <v>9874</v>
      </c>
      <c r="F9877">
        <f t="shared" ca="1" si="156"/>
        <v>-3.6178345124189409E-3</v>
      </c>
    </row>
    <row r="9878" spans="5:6" x14ac:dyDescent="0.35">
      <c r="E9878">
        <v>9875</v>
      </c>
      <c r="F9878">
        <f t="shared" ca="1" si="156"/>
        <v>2.4520727472179464E-3</v>
      </c>
    </row>
    <row r="9879" spans="5:6" x14ac:dyDescent="0.35">
      <c r="E9879">
        <v>9876</v>
      </c>
      <c r="F9879">
        <f t="shared" ca="1" si="156"/>
        <v>-7.0182543403452076E-3</v>
      </c>
    </row>
    <row r="9880" spans="5:6" x14ac:dyDescent="0.35">
      <c r="E9880">
        <v>9877</v>
      </c>
      <c r="F9880">
        <f t="shared" ca="1" si="156"/>
        <v>1.8157760713270812E-2</v>
      </c>
    </row>
    <row r="9881" spans="5:6" x14ac:dyDescent="0.35">
      <c r="E9881">
        <v>9878</v>
      </c>
      <c r="F9881">
        <f t="shared" ca="1" si="156"/>
        <v>1.4016688055577105E-2</v>
      </c>
    </row>
    <row r="9882" spans="5:6" x14ac:dyDescent="0.35">
      <c r="E9882">
        <v>9879</v>
      </c>
      <c r="F9882">
        <f t="shared" ca="1" si="156"/>
        <v>9.0461842060932558E-3</v>
      </c>
    </row>
    <row r="9883" spans="5:6" x14ac:dyDescent="0.35">
      <c r="E9883">
        <v>9880</v>
      </c>
      <c r="F9883">
        <f t="shared" ca="1" si="156"/>
        <v>1.06509681290689E-2</v>
      </c>
    </row>
    <row r="9884" spans="5:6" x14ac:dyDescent="0.35">
      <c r="E9884">
        <v>9881</v>
      </c>
      <c r="F9884">
        <f t="shared" ca="1" si="156"/>
        <v>-1.0475241550418249E-2</v>
      </c>
    </row>
    <row r="9885" spans="5:6" x14ac:dyDescent="0.35">
      <c r="E9885">
        <v>9882</v>
      </c>
      <c r="F9885">
        <f t="shared" ca="1" si="156"/>
        <v>-1.4511965964581271E-2</v>
      </c>
    </row>
    <row r="9886" spans="5:6" x14ac:dyDescent="0.35">
      <c r="E9886">
        <v>9883</v>
      </c>
      <c r="F9886">
        <f t="shared" ca="1" si="156"/>
        <v>-3.0049549746556008E-3</v>
      </c>
    </row>
    <row r="9887" spans="5:6" x14ac:dyDescent="0.35">
      <c r="E9887">
        <v>9884</v>
      </c>
      <c r="F9887">
        <f t="shared" ca="1" si="156"/>
        <v>-6.1636967540882378E-4</v>
      </c>
    </row>
    <row r="9888" spans="5:6" x14ac:dyDescent="0.35">
      <c r="E9888">
        <v>9885</v>
      </c>
      <c r="F9888">
        <f t="shared" ca="1" si="156"/>
        <v>-7.9979231878515057E-3</v>
      </c>
    </row>
    <row r="9889" spans="5:6" x14ac:dyDescent="0.35">
      <c r="E9889">
        <v>9886</v>
      </c>
      <c r="F9889">
        <f t="shared" ca="1" si="156"/>
        <v>-5.3501001156082599E-3</v>
      </c>
    </row>
    <row r="9890" spans="5:6" x14ac:dyDescent="0.35">
      <c r="E9890">
        <v>9887</v>
      </c>
      <c r="F9890">
        <f t="shared" ca="1" si="156"/>
        <v>-1.648393746489412E-2</v>
      </c>
    </row>
    <row r="9891" spans="5:6" x14ac:dyDescent="0.35">
      <c r="E9891">
        <v>9888</v>
      </c>
      <c r="F9891">
        <f t="shared" ca="1" si="156"/>
        <v>-1.4098220459303198E-2</v>
      </c>
    </row>
    <row r="9892" spans="5:6" x14ac:dyDescent="0.35">
      <c r="E9892">
        <v>9889</v>
      </c>
      <c r="F9892">
        <f t="shared" ca="1" si="156"/>
        <v>2.8080522030161908E-3</v>
      </c>
    </row>
    <row r="9893" spans="5:6" x14ac:dyDescent="0.35">
      <c r="E9893">
        <v>9890</v>
      </c>
      <c r="F9893">
        <f t="shared" ca="1" si="156"/>
        <v>1.4599158190648437E-3</v>
      </c>
    </row>
    <row r="9894" spans="5:6" x14ac:dyDescent="0.35">
      <c r="E9894">
        <v>9891</v>
      </c>
      <c r="F9894">
        <f t="shared" ca="1" si="156"/>
        <v>1.0051966811714214E-2</v>
      </c>
    </row>
    <row r="9895" spans="5:6" x14ac:dyDescent="0.35">
      <c r="E9895">
        <v>9892</v>
      </c>
      <c r="F9895">
        <f t="shared" ca="1" si="156"/>
        <v>1.7970186127251114E-3</v>
      </c>
    </row>
    <row r="9896" spans="5:6" x14ac:dyDescent="0.35">
      <c r="E9896">
        <v>9893</v>
      </c>
      <c r="F9896">
        <f t="shared" ca="1" si="156"/>
        <v>2.3824967821324074E-2</v>
      </c>
    </row>
    <row r="9897" spans="5:6" x14ac:dyDescent="0.35">
      <c r="E9897">
        <v>9894</v>
      </c>
      <c r="F9897">
        <f t="shared" ca="1" si="156"/>
        <v>-1.2162341067276991E-2</v>
      </c>
    </row>
    <row r="9898" spans="5:6" x14ac:dyDescent="0.35">
      <c r="E9898">
        <v>9895</v>
      </c>
      <c r="F9898">
        <f t="shared" ca="1" si="156"/>
        <v>-5.1837522524657616E-3</v>
      </c>
    </row>
    <row r="9899" spans="5:6" x14ac:dyDescent="0.35">
      <c r="E9899">
        <v>9896</v>
      </c>
      <c r="F9899">
        <f t="shared" ca="1" si="156"/>
        <v>-2.1468360158568071E-2</v>
      </c>
    </row>
    <row r="9900" spans="5:6" x14ac:dyDescent="0.35">
      <c r="E9900">
        <v>9897</v>
      </c>
      <c r="F9900">
        <f t="shared" ca="1" si="156"/>
        <v>-1.4232352562086242E-2</v>
      </c>
    </row>
    <row r="9901" spans="5:6" x14ac:dyDescent="0.35">
      <c r="E9901">
        <v>9898</v>
      </c>
      <c r="F9901">
        <f t="shared" ca="1" si="156"/>
        <v>-9.8225545831601199E-3</v>
      </c>
    </row>
    <row r="9902" spans="5:6" x14ac:dyDescent="0.35">
      <c r="E9902">
        <v>9899</v>
      </c>
      <c r="F9902">
        <f t="shared" ca="1" si="156"/>
        <v>-1.117421106956953E-4</v>
      </c>
    </row>
    <row r="9903" spans="5:6" x14ac:dyDescent="0.35">
      <c r="E9903">
        <v>9900</v>
      </c>
      <c r="F9903">
        <f t="shared" ca="1" si="156"/>
        <v>6.5381143819615408E-3</v>
      </c>
    </row>
    <row r="9904" spans="5:6" x14ac:dyDescent="0.35">
      <c r="E9904">
        <v>9901</v>
      </c>
      <c r="F9904">
        <f t="shared" ca="1" si="156"/>
        <v>-1.1987546154584271E-2</v>
      </c>
    </row>
    <row r="9905" spans="5:6" x14ac:dyDescent="0.35">
      <c r="E9905">
        <v>9902</v>
      </c>
      <c r="F9905">
        <f t="shared" ca="1" si="156"/>
        <v>1.5687790708617633E-2</v>
      </c>
    </row>
    <row r="9906" spans="5:6" x14ac:dyDescent="0.35">
      <c r="E9906">
        <v>9903</v>
      </c>
      <c r="F9906">
        <f t="shared" ca="1" si="156"/>
        <v>1.3419493729274336E-4</v>
      </c>
    </row>
    <row r="9907" spans="5:6" x14ac:dyDescent="0.35">
      <c r="E9907">
        <v>9904</v>
      </c>
      <c r="F9907">
        <f t="shared" ca="1" si="156"/>
        <v>-1.9321752895234402E-2</v>
      </c>
    </row>
    <row r="9908" spans="5:6" x14ac:dyDescent="0.35">
      <c r="E9908">
        <v>9905</v>
      </c>
      <c r="F9908">
        <f t="shared" ca="1" si="156"/>
        <v>9.9503581078467674E-3</v>
      </c>
    </row>
    <row r="9909" spans="5:6" x14ac:dyDescent="0.35">
      <c r="E9909">
        <v>9906</v>
      </c>
      <c r="F9909">
        <f t="shared" ca="1" si="156"/>
        <v>-5.4006135269312038E-3</v>
      </c>
    </row>
    <row r="9910" spans="5:6" x14ac:dyDescent="0.35">
      <c r="E9910">
        <v>9907</v>
      </c>
      <c r="F9910">
        <f t="shared" ca="1" si="156"/>
        <v>-2.4139061900127958E-2</v>
      </c>
    </row>
    <row r="9911" spans="5:6" x14ac:dyDescent="0.35">
      <c r="E9911">
        <v>9908</v>
      </c>
      <c r="F9911">
        <f t="shared" ca="1" si="156"/>
        <v>-1.0662130254151077E-2</v>
      </c>
    </row>
    <row r="9912" spans="5:6" x14ac:dyDescent="0.35">
      <c r="E9912">
        <v>9909</v>
      </c>
      <c r="F9912">
        <f t="shared" ca="1" si="156"/>
        <v>-2.020124685410902E-3</v>
      </c>
    </row>
    <row r="9913" spans="5:6" x14ac:dyDescent="0.35">
      <c r="E9913">
        <v>9910</v>
      </c>
      <c r="F9913">
        <f t="shared" ca="1" si="156"/>
        <v>-2.2309788179230877E-2</v>
      </c>
    </row>
    <row r="9914" spans="5:6" x14ac:dyDescent="0.35">
      <c r="E9914">
        <v>9911</v>
      </c>
      <c r="F9914">
        <f t="shared" ca="1" si="156"/>
        <v>-5.0796882203047039E-3</v>
      </c>
    </row>
    <row r="9915" spans="5:6" x14ac:dyDescent="0.35">
      <c r="E9915">
        <v>9912</v>
      </c>
      <c r="F9915">
        <f t="shared" ca="1" si="156"/>
        <v>-1.6556061706722872E-2</v>
      </c>
    </row>
    <row r="9916" spans="5:6" x14ac:dyDescent="0.35">
      <c r="E9916">
        <v>9913</v>
      </c>
      <c r="F9916">
        <f t="shared" ca="1" si="156"/>
        <v>-3.1225500691572507E-3</v>
      </c>
    </row>
    <row r="9917" spans="5:6" x14ac:dyDescent="0.35">
      <c r="E9917">
        <v>9914</v>
      </c>
      <c r="F9917">
        <f t="shared" ca="1" si="156"/>
        <v>-1.344466631351442E-2</v>
      </c>
    </row>
    <row r="9918" spans="5:6" x14ac:dyDescent="0.35">
      <c r="E9918">
        <v>9915</v>
      </c>
      <c r="F9918">
        <f t="shared" ca="1" si="156"/>
        <v>8.3829788873768206E-3</v>
      </c>
    </row>
    <row r="9919" spans="5:6" x14ac:dyDescent="0.35">
      <c r="E9919">
        <v>9916</v>
      </c>
      <c r="F9919">
        <f t="shared" ca="1" si="156"/>
        <v>-1.3756607510271652E-2</v>
      </c>
    </row>
    <row r="9920" spans="5:6" x14ac:dyDescent="0.35">
      <c r="E9920">
        <v>9917</v>
      </c>
      <c r="F9920">
        <f t="shared" ca="1" si="156"/>
        <v>-1.4662088471067895E-2</v>
      </c>
    </row>
    <row r="9921" spans="5:6" x14ac:dyDescent="0.35">
      <c r="E9921">
        <v>9918</v>
      </c>
      <c r="F9921">
        <f t="shared" ca="1" si="156"/>
        <v>-3.6744245311060263E-3</v>
      </c>
    </row>
    <row r="9922" spans="5:6" x14ac:dyDescent="0.35">
      <c r="E9922">
        <v>9919</v>
      </c>
      <c r="F9922">
        <f t="shared" ca="1" si="156"/>
        <v>1.0085084741856386E-2</v>
      </c>
    </row>
    <row r="9923" spans="5:6" x14ac:dyDescent="0.35">
      <c r="E9923">
        <v>9920</v>
      </c>
      <c r="F9923">
        <f t="shared" ca="1" si="156"/>
        <v>1.0469416659584022E-2</v>
      </c>
    </row>
    <row r="9924" spans="5:6" x14ac:dyDescent="0.35">
      <c r="E9924">
        <v>9921</v>
      </c>
      <c r="F9924">
        <f t="shared" ca="1" si="156"/>
        <v>-8.5768293360428439E-3</v>
      </c>
    </row>
    <row r="9925" spans="5:6" x14ac:dyDescent="0.35">
      <c r="E9925">
        <v>9922</v>
      </c>
      <c r="F9925">
        <f t="shared" ref="F9925:F9988" ca="1" si="157">_xlfn.NORM.INV(RAND(),M$6,M$7)</f>
        <v>-8.8952361206876326E-3</v>
      </c>
    </row>
    <row r="9926" spans="5:6" x14ac:dyDescent="0.35">
      <c r="E9926">
        <v>9923</v>
      </c>
      <c r="F9926">
        <f t="shared" ca="1" si="157"/>
        <v>-7.2528685236479388E-4</v>
      </c>
    </row>
    <row r="9927" spans="5:6" x14ac:dyDescent="0.35">
      <c r="E9927">
        <v>9924</v>
      </c>
      <c r="F9927">
        <f t="shared" ca="1" si="157"/>
        <v>2.434752783294078E-2</v>
      </c>
    </row>
    <row r="9928" spans="5:6" x14ac:dyDescent="0.35">
      <c r="E9928">
        <v>9925</v>
      </c>
      <c r="F9928">
        <f t="shared" ca="1" si="157"/>
        <v>1.634849155758413E-3</v>
      </c>
    </row>
    <row r="9929" spans="5:6" x14ac:dyDescent="0.35">
      <c r="E9929">
        <v>9926</v>
      </c>
      <c r="F9929">
        <f t="shared" ca="1" si="157"/>
        <v>2.5563879818590435E-3</v>
      </c>
    </row>
    <row r="9930" spans="5:6" x14ac:dyDescent="0.35">
      <c r="E9930">
        <v>9927</v>
      </c>
      <c r="F9930">
        <f t="shared" ca="1" si="157"/>
        <v>-1.4424395074387806E-2</v>
      </c>
    </row>
    <row r="9931" spans="5:6" x14ac:dyDescent="0.35">
      <c r="E9931">
        <v>9928</v>
      </c>
      <c r="F9931">
        <f t="shared" ca="1" si="157"/>
        <v>9.5149078867864979E-3</v>
      </c>
    </row>
    <row r="9932" spans="5:6" x14ac:dyDescent="0.35">
      <c r="E9932">
        <v>9929</v>
      </c>
      <c r="F9932">
        <f t="shared" ca="1" si="157"/>
        <v>3.5222525904450332E-3</v>
      </c>
    </row>
    <row r="9933" spans="5:6" x14ac:dyDescent="0.35">
      <c r="E9933">
        <v>9930</v>
      </c>
      <c r="F9933">
        <f t="shared" ca="1" si="157"/>
        <v>-1.6104983009819177E-2</v>
      </c>
    </row>
    <row r="9934" spans="5:6" x14ac:dyDescent="0.35">
      <c r="E9934">
        <v>9931</v>
      </c>
      <c r="F9934">
        <f t="shared" ca="1" si="157"/>
        <v>1.4098334055996247E-3</v>
      </c>
    </row>
    <row r="9935" spans="5:6" x14ac:dyDescent="0.35">
      <c r="E9935">
        <v>9932</v>
      </c>
      <c r="F9935">
        <f t="shared" ca="1" si="157"/>
        <v>-1.3794261687044441E-2</v>
      </c>
    </row>
    <row r="9936" spans="5:6" x14ac:dyDescent="0.35">
      <c r="E9936">
        <v>9933</v>
      </c>
      <c r="F9936">
        <f t="shared" ca="1" si="157"/>
        <v>-6.6698800796541682E-3</v>
      </c>
    </row>
    <row r="9937" spans="5:6" x14ac:dyDescent="0.35">
      <c r="E9937">
        <v>9934</v>
      </c>
      <c r="F9937">
        <f t="shared" ca="1" si="157"/>
        <v>3.0798499971637749E-2</v>
      </c>
    </row>
    <row r="9938" spans="5:6" x14ac:dyDescent="0.35">
      <c r="E9938">
        <v>9935</v>
      </c>
      <c r="F9938">
        <f t="shared" ca="1" si="157"/>
        <v>1.1871299644530766E-2</v>
      </c>
    </row>
    <row r="9939" spans="5:6" x14ac:dyDescent="0.35">
      <c r="E9939">
        <v>9936</v>
      </c>
      <c r="F9939">
        <f t="shared" ca="1" si="157"/>
        <v>1.6327040568016545E-3</v>
      </c>
    </row>
    <row r="9940" spans="5:6" x14ac:dyDescent="0.35">
      <c r="E9940">
        <v>9937</v>
      </c>
      <c r="F9940">
        <f t="shared" ca="1" si="157"/>
        <v>1.8867568744921879E-2</v>
      </c>
    </row>
    <row r="9941" spans="5:6" x14ac:dyDescent="0.35">
      <c r="E9941">
        <v>9938</v>
      </c>
      <c r="F9941">
        <f t="shared" ca="1" si="157"/>
        <v>-1.0672146827710569E-2</v>
      </c>
    </row>
    <row r="9942" spans="5:6" x14ac:dyDescent="0.35">
      <c r="E9942">
        <v>9939</v>
      </c>
      <c r="F9942">
        <f t="shared" ca="1" si="157"/>
        <v>-2.9044407385406916E-2</v>
      </c>
    </row>
    <row r="9943" spans="5:6" x14ac:dyDescent="0.35">
      <c r="E9943">
        <v>9940</v>
      </c>
      <c r="F9943">
        <f t="shared" ca="1" si="157"/>
        <v>-2.1275385048807327E-3</v>
      </c>
    </row>
    <row r="9944" spans="5:6" x14ac:dyDescent="0.35">
      <c r="E9944">
        <v>9941</v>
      </c>
      <c r="F9944">
        <f t="shared" ca="1" si="157"/>
        <v>1.7411048773252418E-3</v>
      </c>
    </row>
    <row r="9945" spans="5:6" x14ac:dyDescent="0.35">
      <c r="E9945">
        <v>9942</v>
      </c>
      <c r="F9945">
        <f t="shared" ca="1" si="157"/>
        <v>1.8572810516675807E-3</v>
      </c>
    </row>
    <row r="9946" spans="5:6" x14ac:dyDescent="0.35">
      <c r="E9946">
        <v>9943</v>
      </c>
      <c r="F9946">
        <f t="shared" ca="1" si="157"/>
        <v>1.2032240506935216E-2</v>
      </c>
    </row>
    <row r="9947" spans="5:6" x14ac:dyDescent="0.35">
      <c r="E9947">
        <v>9944</v>
      </c>
      <c r="F9947">
        <f t="shared" ca="1" si="157"/>
        <v>1.9749878589920958E-2</v>
      </c>
    </row>
    <row r="9948" spans="5:6" x14ac:dyDescent="0.35">
      <c r="E9948">
        <v>9945</v>
      </c>
      <c r="F9948">
        <f t="shared" ca="1" si="157"/>
        <v>9.1491954349345681E-3</v>
      </c>
    </row>
    <row r="9949" spans="5:6" x14ac:dyDescent="0.35">
      <c r="E9949">
        <v>9946</v>
      </c>
      <c r="F9949">
        <f t="shared" ca="1" si="157"/>
        <v>7.374635753465481E-3</v>
      </c>
    </row>
    <row r="9950" spans="5:6" x14ac:dyDescent="0.35">
      <c r="E9950">
        <v>9947</v>
      </c>
      <c r="F9950">
        <f t="shared" ca="1" si="157"/>
        <v>-1.5872043490478514E-2</v>
      </c>
    </row>
    <row r="9951" spans="5:6" x14ac:dyDescent="0.35">
      <c r="E9951">
        <v>9948</v>
      </c>
      <c r="F9951">
        <f t="shared" ca="1" si="157"/>
        <v>7.8706149342463692E-3</v>
      </c>
    </row>
    <row r="9952" spans="5:6" x14ac:dyDescent="0.35">
      <c r="E9952">
        <v>9949</v>
      </c>
      <c r="F9952">
        <f t="shared" ca="1" si="157"/>
        <v>3.1560127384327673E-3</v>
      </c>
    </row>
    <row r="9953" spans="5:6" x14ac:dyDescent="0.35">
      <c r="E9953">
        <v>9950</v>
      </c>
      <c r="F9953">
        <f t="shared" ca="1" si="157"/>
        <v>8.525488377636151E-3</v>
      </c>
    </row>
    <row r="9954" spans="5:6" x14ac:dyDescent="0.35">
      <c r="E9954">
        <v>9951</v>
      </c>
      <c r="F9954">
        <f t="shared" ca="1" si="157"/>
        <v>-3.1380928916915893E-2</v>
      </c>
    </row>
    <row r="9955" spans="5:6" x14ac:dyDescent="0.35">
      <c r="E9955">
        <v>9952</v>
      </c>
      <c r="F9955">
        <f t="shared" ca="1" si="157"/>
        <v>2.8936906772872771E-2</v>
      </c>
    </row>
    <row r="9956" spans="5:6" x14ac:dyDescent="0.35">
      <c r="E9956">
        <v>9953</v>
      </c>
      <c r="F9956">
        <f t="shared" ca="1" si="157"/>
        <v>1.5277639780288293E-2</v>
      </c>
    </row>
    <row r="9957" spans="5:6" x14ac:dyDescent="0.35">
      <c r="E9957">
        <v>9954</v>
      </c>
      <c r="F9957">
        <f t="shared" ca="1" si="157"/>
        <v>4.0313551753913927E-3</v>
      </c>
    </row>
    <row r="9958" spans="5:6" x14ac:dyDescent="0.35">
      <c r="E9958">
        <v>9955</v>
      </c>
      <c r="F9958">
        <f t="shared" ca="1" si="157"/>
        <v>1.1357099910055608E-2</v>
      </c>
    </row>
    <row r="9959" spans="5:6" x14ac:dyDescent="0.35">
      <c r="E9959">
        <v>9956</v>
      </c>
      <c r="F9959">
        <f t="shared" ca="1" si="157"/>
        <v>3.1548746077390013E-3</v>
      </c>
    </row>
    <row r="9960" spans="5:6" x14ac:dyDescent="0.35">
      <c r="E9960">
        <v>9957</v>
      </c>
      <c r="F9960">
        <f t="shared" ca="1" si="157"/>
        <v>-2.5929509283117358E-3</v>
      </c>
    </row>
    <row r="9961" spans="5:6" x14ac:dyDescent="0.35">
      <c r="E9961">
        <v>9958</v>
      </c>
      <c r="F9961">
        <f t="shared" ca="1" si="157"/>
        <v>-8.4933875457237837E-3</v>
      </c>
    </row>
    <row r="9962" spans="5:6" x14ac:dyDescent="0.35">
      <c r="E9962">
        <v>9959</v>
      </c>
      <c r="F9962">
        <f t="shared" ca="1" si="157"/>
        <v>1.6184175213933342E-2</v>
      </c>
    </row>
    <row r="9963" spans="5:6" x14ac:dyDescent="0.35">
      <c r="E9963">
        <v>9960</v>
      </c>
      <c r="F9963">
        <f t="shared" ca="1" si="157"/>
        <v>1.082863472820667E-2</v>
      </c>
    </row>
    <row r="9964" spans="5:6" x14ac:dyDescent="0.35">
      <c r="E9964">
        <v>9961</v>
      </c>
      <c r="F9964">
        <f t="shared" ca="1" si="157"/>
        <v>5.4027661902247602E-3</v>
      </c>
    </row>
    <row r="9965" spans="5:6" x14ac:dyDescent="0.35">
      <c r="E9965">
        <v>9962</v>
      </c>
      <c r="F9965">
        <f t="shared" ca="1" si="157"/>
        <v>1.1028436769045335E-2</v>
      </c>
    </row>
    <row r="9966" spans="5:6" x14ac:dyDescent="0.35">
      <c r="E9966">
        <v>9963</v>
      </c>
      <c r="F9966">
        <f t="shared" ca="1" si="157"/>
        <v>-4.4426308627147967E-3</v>
      </c>
    </row>
    <row r="9967" spans="5:6" x14ac:dyDescent="0.35">
      <c r="E9967">
        <v>9964</v>
      </c>
      <c r="F9967">
        <f t="shared" ca="1" si="157"/>
        <v>5.9403582896078895E-3</v>
      </c>
    </row>
    <row r="9968" spans="5:6" x14ac:dyDescent="0.35">
      <c r="E9968">
        <v>9965</v>
      </c>
      <c r="F9968">
        <f t="shared" ca="1" si="157"/>
        <v>-3.4243201952413407E-3</v>
      </c>
    </row>
    <row r="9969" spans="5:6" x14ac:dyDescent="0.35">
      <c r="E9969">
        <v>9966</v>
      </c>
      <c r="F9969">
        <f t="shared" ca="1" si="157"/>
        <v>3.1412880106633134E-3</v>
      </c>
    </row>
    <row r="9970" spans="5:6" x14ac:dyDescent="0.35">
      <c r="E9970">
        <v>9967</v>
      </c>
      <c r="F9970">
        <f t="shared" ca="1" si="157"/>
        <v>6.6691259568019594E-3</v>
      </c>
    </row>
    <row r="9971" spans="5:6" x14ac:dyDescent="0.35">
      <c r="E9971">
        <v>9968</v>
      </c>
      <c r="F9971">
        <f t="shared" ca="1" si="157"/>
        <v>-1.4765739114932459E-2</v>
      </c>
    </row>
    <row r="9972" spans="5:6" x14ac:dyDescent="0.35">
      <c r="E9972">
        <v>9969</v>
      </c>
      <c r="F9972">
        <f t="shared" ca="1" si="157"/>
        <v>-6.021730926295492E-3</v>
      </c>
    </row>
    <row r="9973" spans="5:6" x14ac:dyDescent="0.35">
      <c r="E9973">
        <v>9970</v>
      </c>
      <c r="F9973">
        <f t="shared" ca="1" si="157"/>
        <v>6.9418318627536202E-3</v>
      </c>
    </row>
    <row r="9974" spans="5:6" x14ac:dyDescent="0.35">
      <c r="E9974">
        <v>9971</v>
      </c>
      <c r="F9974">
        <f t="shared" ca="1" si="157"/>
        <v>-7.8099397557653549E-3</v>
      </c>
    </row>
    <row r="9975" spans="5:6" x14ac:dyDescent="0.35">
      <c r="E9975">
        <v>9972</v>
      </c>
      <c r="F9975">
        <f t="shared" ca="1" si="157"/>
        <v>-3.1778748520135316E-3</v>
      </c>
    </row>
    <row r="9976" spans="5:6" x14ac:dyDescent="0.35">
      <c r="E9976">
        <v>9973</v>
      </c>
      <c r="F9976">
        <f t="shared" ca="1" si="157"/>
        <v>7.2631293276047369E-4</v>
      </c>
    </row>
    <row r="9977" spans="5:6" x14ac:dyDescent="0.35">
      <c r="E9977">
        <v>9974</v>
      </c>
      <c r="F9977">
        <f t="shared" ca="1" si="157"/>
        <v>4.7232620657981896E-3</v>
      </c>
    </row>
    <row r="9978" spans="5:6" x14ac:dyDescent="0.35">
      <c r="E9978">
        <v>9975</v>
      </c>
      <c r="F9978">
        <f t="shared" ca="1" si="157"/>
        <v>2.4248649680584804E-2</v>
      </c>
    </row>
    <row r="9979" spans="5:6" x14ac:dyDescent="0.35">
      <c r="E9979">
        <v>9976</v>
      </c>
      <c r="F9979">
        <f t="shared" ca="1" si="157"/>
        <v>2.6534737267480443E-2</v>
      </c>
    </row>
    <row r="9980" spans="5:6" x14ac:dyDescent="0.35">
      <c r="E9980">
        <v>9977</v>
      </c>
      <c r="F9980">
        <f t="shared" ca="1" si="157"/>
        <v>-1.2749029771364813E-2</v>
      </c>
    </row>
    <row r="9981" spans="5:6" x14ac:dyDescent="0.35">
      <c r="E9981">
        <v>9978</v>
      </c>
      <c r="F9981">
        <f t="shared" ca="1" si="157"/>
        <v>4.1509728815688268E-3</v>
      </c>
    </row>
    <row r="9982" spans="5:6" x14ac:dyDescent="0.35">
      <c r="E9982">
        <v>9979</v>
      </c>
      <c r="F9982">
        <f t="shared" ca="1" si="157"/>
        <v>-1.0356066909775447E-2</v>
      </c>
    </row>
    <row r="9983" spans="5:6" x14ac:dyDescent="0.35">
      <c r="E9983">
        <v>9980</v>
      </c>
      <c r="F9983">
        <f t="shared" ca="1" si="157"/>
        <v>-4.6333815907337143E-3</v>
      </c>
    </row>
    <row r="9984" spans="5:6" x14ac:dyDescent="0.35">
      <c r="E9984">
        <v>9981</v>
      </c>
      <c r="F9984">
        <f t="shared" ca="1" si="157"/>
        <v>-2.3378094554739812E-2</v>
      </c>
    </row>
    <row r="9985" spans="5:6" x14ac:dyDescent="0.35">
      <c r="E9985">
        <v>9982</v>
      </c>
      <c r="F9985">
        <f t="shared" ca="1" si="157"/>
        <v>1.1560042847864447E-2</v>
      </c>
    </row>
    <row r="9986" spans="5:6" x14ac:dyDescent="0.35">
      <c r="E9986">
        <v>9983</v>
      </c>
      <c r="F9986">
        <f t="shared" ca="1" si="157"/>
        <v>-2.4062283021192753E-2</v>
      </c>
    </row>
    <row r="9987" spans="5:6" x14ac:dyDescent="0.35">
      <c r="E9987">
        <v>9984</v>
      </c>
      <c r="F9987">
        <f t="shared" ca="1" si="157"/>
        <v>-1.0396671573547657E-4</v>
      </c>
    </row>
    <row r="9988" spans="5:6" x14ac:dyDescent="0.35">
      <c r="E9988">
        <v>9985</v>
      </c>
      <c r="F9988">
        <f t="shared" ca="1" si="157"/>
        <v>9.8118217024089679E-3</v>
      </c>
    </row>
    <row r="9989" spans="5:6" x14ac:dyDescent="0.35">
      <c r="E9989">
        <v>9986</v>
      </c>
      <c r="F9989">
        <f t="shared" ref="F9989:F10003" ca="1" si="158">_xlfn.NORM.INV(RAND(),M$6,M$7)</f>
        <v>5.9462638805401055E-3</v>
      </c>
    </row>
    <row r="9990" spans="5:6" x14ac:dyDescent="0.35">
      <c r="E9990">
        <v>9987</v>
      </c>
      <c r="F9990">
        <f t="shared" ca="1" si="158"/>
        <v>-1.1974181576690307E-2</v>
      </c>
    </row>
    <row r="9991" spans="5:6" x14ac:dyDescent="0.35">
      <c r="E9991">
        <v>9988</v>
      </c>
      <c r="F9991">
        <f t="shared" ca="1" si="158"/>
        <v>4.087984070193877E-3</v>
      </c>
    </row>
    <row r="9992" spans="5:6" x14ac:dyDescent="0.35">
      <c r="E9992">
        <v>9989</v>
      </c>
      <c r="F9992">
        <f t="shared" ca="1" si="158"/>
        <v>9.9676543893281056E-3</v>
      </c>
    </row>
    <row r="9993" spans="5:6" x14ac:dyDescent="0.35">
      <c r="E9993">
        <v>9990</v>
      </c>
      <c r="F9993">
        <f t="shared" ca="1" si="158"/>
        <v>1.8782405171922943E-2</v>
      </c>
    </row>
    <row r="9994" spans="5:6" x14ac:dyDescent="0.35">
      <c r="E9994">
        <v>9991</v>
      </c>
      <c r="F9994">
        <f t="shared" ca="1" si="158"/>
        <v>-3.8874382303629466E-3</v>
      </c>
    </row>
    <row r="9995" spans="5:6" x14ac:dyDescent="0.35">
      <c r="E9995">
        <v>9992</v>
      </c>
      <c r="F9995">
        <f t="shared" ca="1" si="158"/>
        <v>-1.1557652761567663E-2</v>
      </c>
    </row>
    <row r="9996" spans="5:6" x14ac:dyDescent="0.35">
      <c r="E9996">
        <v>9993</v>
      </c>
      <c r="F9996">
        <f t="shared" ca="1" si="158"/>
        <v>-1.0179868332194609E-3</v>
      </c>
    </row>
    <row r="9997" spans="5:6" x14ac:dyDescent="0.35">
      <c r="E9997">
        <v>9994</v>
      </c>
      <c r="F9997">
        <f t="shared" ca="1" si="158"/>
        <v>8.2002244614978335E-4</v>
      </c>
    </row>
    <row r="9998" spans="5:6" x14ac:dyDescent="0.35">
      <c r="E9998">
        <v>9995</v>
      </c>
      <c r="F9998">
        <f t="shared" ca="1" si="158"/>
        <v>1.2947277153365862E-2</v>
      </c>
    </row>
    <row r="9999" spans="5:6" x14ac:dyDescent="0.35">
      <c r="E9999">
        <v>9996</v>
      </c>
      <c r="F9999">
        <f t="shared" ca="1" si="158"/>
        <v>-6.5021238864054753E-3</v>
      </c>
    </row>
    <row r="10000" spans="5:6" x14ac:dyDescent="0.35">
      <c r="E10000">
        <v>9997</v>
      </c>
      <c r="F10000">
        <f t="shared" ca="1" si="158"/>
        <v>-4.0872281565026555E-3</v>
      </c>
    </row>
    <row r="10001" spans="5:6" x14ac:dyDescent="0.35">
      <c r="E10001">
        <v>9998</v>
      </c>
      <c r="F10001">
        <f t="shared" ca="1" si="158"/>
        <v>7.0666656445683134E-3</v>
      </c>
    </row>
    <row r="10002" spans="5:6" x14ac:dyDescent="0.35">
      <c r="E10002">
        <v>9999</v>
      </c>
      <c r="F10002">
        <f t="shared" ca="1" si="158"/>
        <v>3.5254731295287869E-3</v>
      </c>
    </row>
    <row r="10003" spans="5:6" x14ac:dyDescent="0.35">
      <c r="E10003">
        <v>10000</v>
      </c>
      <c r="F10003">
        <f t="shared" ca="1" si="158"/>
        <v>6.8628825655289282E-4</v>
      </c>
    </row>
  </sheetData>
  <mergeCells count="1">
    <mergeCell ref="I3:M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9"/>
  <sheetViews>
    <sheetView showGridLines="0" workbookViewId="0">
      <selection activeCell="I20" sqref="I20"/>
    </sheetView>
  </sheetViews>
  <sheetFormatPr defaultRowHeight="14.5" x14ac:dyDescent="0.35"/>
  <cols>
    <col min="1" max="1" width="2.1796875" customWidth="1"/>
    <col min="3" max="3" width="16.26953125" bestFit="1" customWidth="1"/>
    <col min="4" max="4" width="7.81640625" bestFit="1" customWidth="1"/>
    <col min="5" max="5" width="15.7265625" bestFit="1" customWidth="1"/>
    <col min="6" max="6" width="12.90625" customWidth="1"/>
    <col min="7" max="7" width="10.08984375" bestFit="1" customWidth="1"/>
    <col min="8" max="8" width="13.81640625" bestFit="1" customWidth="1"/>
    <col min="9" max="9" width="13.81640625" customWidth="1"/>
    <col min="10" max="10" width="9.36328125" style="42" bestFit="1" customWidth="1"/>
    <col min="11" max="11" width="10.26953125" bestFit="1" customWidth="1"/>
    <col min="12" max="12" width="8.7265625" style="42"/>
    <col min="13" max="13" width="12.54296875" style="42" bestFit="1" customWidth="1"/>
  </cols>
  <sheetData>
    <row r="2" spans="1:13" x14ac:dyDescent="0.35">
      <c r="B2" s="10" t="s">
        <v>467</v>
      </c>
    </row>
    <row r="3" spans="1:13" ht="7.5" customHeight="1" x14ac:dyDescent="0.35">
      <c r="B3" s="10"/>
    </row>
    <row r="4" spans="1:13" x14ac:dyDescent="0.35">
      <c r="A4" s="223"/>
      <c r="B4" s="225" t="s">
        <v>431</v>
      </c>
      <c r="C4" s="225" t="s">
        <v>430</v>
      </c>
      <c r="D4" s="241" t="s">
        <v>470</v>
      </c>
      <c r="E4" s="241" t="s">
        <v>468</v>
      </c>
      <c r="F4" s="241" t="s">
        <v>450</v>
      </c>
      <c r="G4" s="241" t="s">
        <v>472</v>
      </c>
      <c r="H4" s="241" t="s">
        <v>471</v>
      </c>
      <c r="I4" s="241" t="s">
        <v>423</v>
      </c>
      <c r="J4" s="241" t="s">
        <v>451</v>
      </c>
      <c r="K4" s="241" t="s">
        <v>469</v>
      </c>
      <c r="L4" s="241" t="s">
        <v>103</v>
      </c>
      <c r="M4" s="241" t="s">
        <v>452</v>
      </c>
    </row>
    <row r="5" spans="1:13" x14ac:dyDescent="0.35">
      <c r="B5" s="226">
        <v>1</v>
      </c>
      <c r="C5" s="226" t="s">
        <v>272</v>
      </c>
      <c r="D5" s="242">
        <v>4420.55</v>
      </c>
      <c r="E5" s="242">
        <v>88.78</v>
      </c>
      <c r="F5" s="242">
        <f>D5*E5</f>
        <v>392456.429</v>
      </c>
      <c r="G5" s="242">
        <v>30621</v>
      </c>
      <c r="H5" s="242">
        <v>1917</v>
      </c>
      <c r="I5" s="242">
        <f>G5-H5</f>
        <v>28704</v>
      </c>
      <c r="J5" s="242">
        <f>F5+G5-H5</f>
        <v>421160.429</v>
      </c>
      <c r="K5" s="242">
        <v>92417</v>
      </c>
      <c r="L5" s="242">
        <v>10012</v>
      </c>
      <c r="M5" s="242">
        <v>5760</v>
      </c>
    </row>
    <row r="6" spans="1:13" x14ac:dyDescent="0.35">
      <c r="B6" s="226">
        <v>2</v>
      </c>
      <c r="C6" s="226" t="s">
        <v>273</v>
      </c>
      <c r="D6" s="242">
        <v>553.6</v>
      </c>
      <c r="E6" s="242">
        <v>103.28</v>
      </c>
      <c r="F6" s="242">
        <f t="shared" ref="F6:F39" si="0">D6*E6</f>
        <v>57175.808000000005</v>
      </c>
      <c r="G6" s="242">
        <v>6117.34</v>
      </c>
      <c r="H6" s="242">
        <v>860.91</v>
      </c>
      <c r="I6" s="242">
        <f t="shared" ref="I6:I14" si="1">G6-H6</f>
        <v>5256.43</v>
      </c>
      <c r="J6" s="242">
        <f t="shared" ref="J6:J39" si="2">F6+G6-H6</f>
        <v>62432.237999999998</v>
      </c>
      <c r="K6" s="242">
        <v>39063.32</v>
      </c>
      <c r="L6" s="242">
        <v>2833.19</v>
      </c>
      <c r="M6" s="242">
        <v>1434.98</v>
      </c>
    </row>
    <row r="7" spans="1:13" x14ac:dyDescent="0.35">
      <c r="B7" s="226">
        <v>3</v>
      </c>
      <c r="C7" s="226" t="s">
        <v>274</v>
      </c>
      <c r="D7" s="242">
        <v>381.9</v>
      </c>
      <c r="E7" s="242">
        <v>55.97</v>
      </c>
      <c r="F7" s="242">
        <f t="shared" si="0"/>
        <v>21374.942999999999</v>
      </c>
      <c r="G7" s="242">
        <v>2045.4</v>
      </c>
      <c r="H7" s="242">
        <v>38.06</v>
      </c>
      <c r="I7" s="242">
        <f t="shared" si="1"/>
        <v>2007.3400000000001</v>
      </c>
      <c r="J7" s="242">
        <f t="shared" si="2"/>
        <v>23382.282999999999</v>
      </c>
      <c r="K7" s="242">
        <v>25039.040000000001</v>
      </c>
      <c r="L7" s="242">
        <v>1734.5500000000002</v>
      </c>
      <c r="M7" s="242">
        <v>1008.79</v>
      </c>
    </row>
    <row r="8" spans="1:13" x14ac:dyDescent="0.35">
      <c r="B8" s="226">
        <v>4</v>
      </c>
      <c r="C8" s="226" t="s">
        <v>275</v>
      </c>
      <c r="D8" s="242">
        <v>4905.2</v>
      </c>
      <c r="E8" s="242">
        <v>3.11</v>
      </c>
      <c r="F8" s="242">
        <f t="shared" si="0"/>
        <v>15255.171999999999</v>
      </c>
      <c r="G8" s="242">
        <v>913.21</v>
      </c>
      <c r="H8" s="242">
        <v>381.23</v>
      </c>
      <c r="I8" s="242">
        <f t="shared" si="1"/>
        <v>531.98</v>
      </c>
      <c r="J8" s="242">
        <f t="shared" si="2"/>
        <v>15787.151999999998</v>
      </c>
      <c r="K8" s="242">
        <v>9622.2800000000007</v>
      </c>
      <c r="L8" s="242">
        <v>636.82000000000005</v>
      </c>
      <c r="M8" s="242">
        <v>391.04</v>
      </c>
    </row>
    <row r="9" spans="1:13" x14ac:dyDescent="0.35">
      <c r="B9" s="226">
        <v>5</v>
      </c>
      <c r="C9" s="226" t="s">
        <v>276</v>
      </c>
      <c r="D9" s="242">
        <v>14.95</v>
      </c>
      <c r="E9" s="242">
        <v>980.78</v>
      </c>
      <c r="F9" s="242">
        <f t="shared" si="0"/>
        <v>14662.660999999998</v>
      </c>
      <c r="G9" s="242">
        <v>1166.56</v>
      </c>
      <c r="H9" s="242">
        <v>136.16999999999999</v>
      </c>
      <c r="I9" s="242">
        <f t="shared" si="1"/>
        <v>1030.3899999999999</v>
      </c>
      <c r="J9" s="242">
        <f t="shared" si="2"/>
        <v>15693.050999999998</v>
      </c>
      <c r="K9" s="242">
        <v>3505.01</v>
      </c>
      <c r="L9" s="242">
        <v>901.34999999999991</v>
      </c>
      <c r="M9" s="242">
        <v>774.41</v>
      </c>
    </row>
    <row r="10" spans="1:13" x14ac:dyDescent="0.35">
      <c r="B10" s="226">
        <v>6</v>
      </c>
      <c r="C10" s="226" t="s">
        <v>277</v>
      </c>
      <c r="D10" s="242">
        <v>923.6</v>
      </c>
      <c r="E10" s="242">
        <v>15.49</v>
      </c>
      <c r="F10" s="242">
        <f t="shared" si="0"/>
        <v>14306.564</v>
      </c>
      <c r="G10" s="242">
        <v>869.1</v>
      </c>
      <c r="H10" s="242">
        <v>235.44</v>
      </c>
      <c r="I10" s="242">
        <f t="shared" si="1"/>
        <v>633.66000000000008</v>
      </c>
      <c r="J10" s="242">
        <f t="shared" si="2"/>
        <v>14940.224</v>
      </c>
      <c r="K10" s="242">
        <v>7176.44</v>
      </c>
      <c r="L10" s="242">
        <v>559.71999999999991</v>
      </c>
      <c r="M10" s="242">
        <v>343.15</v>
      </c>
    </row>
    <row r="11" spans="1:13" x14ac:dyDescent="0.35">
      <c r="B11" s="226">
        <v>7</v>
      </c>
      <c r="C11" s="226" t="s">
        <v>278</v>
      </c>
      <c r="D11" s="242">
        <v>822</v>
      </c>
      <c r="E11" s="242">
        <v>15.28</v>
      </c>
      <c r="F11" s="242">
        <f t="shared" si="0"/>
        <v>12560.16</v>
      </c>
      <c r="G11" s="242">
        <v>1983.89</v>
      </c>
      <c r="H11" s="242">
        <v>511.67</v>
      </c>
      <c r="I11" s="242">
        <f t="shared" si="1"/>
        <v>1472.22</v>
      </c>
      <c r="J11" s="242">
        <f t="shared" si="2"/>
        <v>14032.38</v>
      </c>
      <c r="K11" s="242">
        <v>2680.6</v>
      </c>
      <c r="L11" s="242">
        <v>488.49</v>
      </c>
      <c r="M11" s="242">
        <v>53.89</v>
      </c>
    </row>
    <row r="12" spans="1:13" x14ac:dyDescent="0.35">
      <c r="B12" s="226">
        <v>8</v>
      </c>
      <c r="C12" s="226" t="s">
        <v>432</v>
      </c>
      <c r="D12" s="242">
        <v>599.95000000000005</v>
      </c>
      <c r="E12" s="242">
        <v>14.72</v>
      </c>
      <c r="F12" s="242">
        <f t="shared" si="0"/>
        <v>8831.264000000001</v>
      </c>
      <c r="G12" s="242">
        <v>1737.09</v>
      </c>
      <c r="H12" s="242">
        <v>504.45</v>
      </c>
      <c r="I12" s="242">
        <f t="shared" si="1"/>
        <v>1232.6399999999999</v>
      </c>
      <c r="J12" s="242">
        <f t="shared" si="2"/>
        <v>10063.904</v>
      </c>
      <c r="K12" s="242">
        <v>11437.52</v>
      </c>
      <c r="L12" s="242">
        <v>773.39</v>
      </c>
      <c r="M12" s="242">
        <v>445.82</v>
      </c>
    </row>
    <row r="13" spans="1:13" x14ac:dyDescent="0.35">
      <c r="B13" s="226">
        <v>9</v>
      </c>
      <c r="C13" s="226" t="s">
        <v>433</v>
      </c>
      <c r="D13" s="242">
        <v>728.05</v>
      </c>
      <c r="E13" s="242">
        <v>10.1</v>
      </c>
      <c r="F13" s="242">
        <f t="shared" si="0"/>
        <v>7353.3049999999994</v>
      </c>
      <c r="G13" s="242">
        <v>71.41</v>
      </c>
      <c r="H13" s="242">
        <v>33.97</v>
      </c>
      <c r="I13" s="242">
        <f t="shared" si="1"/>
        <v>37.44</v>
      </c>
      <c r="J13" s="242">
        <f t="shared" si="2"/>
        <v>7390.744999999999</v>
      </c>
      <c r="K13" s="242">
        <v>848.55</v>
      </c>
      <c r="L13" s="242">
        <v>129.97</v>
      </c>
      <c r="M13" s="242">
        <v>85.79</v>
      </c>
    </row>
    <row r="14" spans="1:13" x14ac:dyDescent="0.35">
      <c r="B14" s="226">
        <v>10</v>
      </c>
      <c r="C14" s="226" t="s">
        <v>434</v>
      </c>
      <c r="D14" s="242">
        <v>2575.0500000000002</v>
      </c>
      <c r="E14" s="242">
        <v>2.68</v>
      </c>
      <c r="F14" s="242">
        <f t="shared" si="0"/>
        <v>6901.1340000000009</v>
      </c>
      <c r="G14" s="242">
        <v>322.32</v>
      </c>
      <c r="H14" s="242">
        <v>661.65</v>
      </c>
      <c r="I14" s="242">
        <f t="shared" si="1"/>
        <v>-339.33</v>
      </c>
      <c r="J14" s="242">
        <f t="shared" si="2"/>
        <v>6561.804000000001</v>
      </c>
      <c r="K14" s="242">
        <v>1727.63</v>
      </c>
      <c r="L14" s="242">
        <v>271.77</v>
      </c>
      <c r="M14" s="242">
        <v>105.78</v>
      </c>
    </row>
    <row r="15" spans="1:13" x14ac:dyDescent="0.35">
      <c r="D15" s="76"/>
      <c r="E15" s="76"/>
      <c r="F15" s="76"/>
      <c r="G15" s="76"/>
      <c r="H15" s="76"/>
      <c r="I15" s="76"/>
      <c r="J15" s="227"/>
      <c r="K15" s="76"/>
      <c r="L15" s="227"/>
      <c r="M15" s="227"/>
    </row>
    <row r="16" spans="1:13" x14ac:dyDescent="0.35">
      <c r="D16" s="76"/>
      <c r="E16" s="76"/>
      <c r="F16" s="76"/>
      <c r="G16" s="76"/>
      <c r="H16" s="76"/>
      <c r="I16" s="76"/>
      <c r="J16" s="227"/>
      <c r="K16" s="76"/>
      <c r="L16" s="227"/>
      <c r="M16" s="227"/>
    </row>
    <row r="17" spans="2:13" x14ac:dyDescent="0.35">
      <c r="D17" s="76"/>
      <c r="E17" s="76"/>
      <c r="F17" s="76"/>
      <c r="G17" s="76"/>
      <c r="H17" s="76"/>
      <c r="I17" s="76"/>
      <c r="J17" s="227"/>
      <c r="K17" s="76"/>
      <c r="L17" s="227"/>
      <c r="M17" s="227"/>
    </row>
    <row r="18" spans="2:13" x14ac:dyDescent="0.35">
      <c r="D18" s="76"/>
      <c r="E18" s="76"/>
      <c r="F18" s="76"/>
      <c r="G18" s="76"/>
      <c r="H18" s="76"/>
      <c r="I18" s="76"/>
      <c r="J18" s="227"/>
      <c r="K18" s="76"/>
      <c r="L18" s="227"/>
      <c r="M18" s="227"/>
    </row>
    <row r="19" spans="2:13" x14ac:dyDescent="0.35">
      <c r="D19" s="76"/>
      <c r="E19" s="76"/>
      <c r="F19" s="76"/>
      <c r="G19" s="76"/>
      <c r="H19" s="76"/>
      <c r="I19" s="76"/>
      <c r="J19" s="227"/>
      <c r="K19" s="76"/>
      <c r="L19" s="227"/>
      <c r="M19" s="227"/>
    </row>
    <row r="20" spans="2:13" x14ac:dyDescent="0.35">
      <c r="D20" s="76"/>
      <c r="E20" s="76"/>
      <c r="F20" s="76"/>
      <c r="G20" s="76"/>
      <c r="H20" s="76"/>
      <c r="I20" s="76"/>
      <c r="J20" s="227"/>
      <c r="K20" s="76"/>
      <c r="L20" s="227"/>
      <c r="M20" s="227"/>
    </row>
    <row r="21" spans="2:13" x14ac:dyDescent="0.35">
      <c r="D21" s="76"/>
      <c r="E21" s="76"/>
      <c r="F21" s="76"/>
      <c r="G21" s="76"/>
      <c r="H21" s="76"/>
      <c r="I21" s="76"/>
      <c r="J21" s="227"/>
      <c r="K21" s="76"/>
      <c r="L21" s="227"/>
      <c r="M21" s="227"/>
    </row>
    <row r="22" spans="2:13" x14ac:dyDescent="0.35">
      <c r="D22" s="76"/>
      <c r="E22" s="76"/>
      <c r="F22" s="76"/>
      <c r="G22" s="76"/>
      <c r="H22" s="76"/>
      <c r="I22" s="76"/>
      <c r="J22" s="227"/>
      <c r="K22" s="76"/>
      <c r="L22" s="227"/>
      <c r="M22" s="227"/>
    </row>
    <row r="23" spans="2:13" x14ac:dyDescent="0.35">
      <c r="D23" s="76"/>
      <c r="E23" s="76"/>
      <c r="F23" s="76"/>
      <c r="G23" s="76"/>
      <c r="H23" s="76"/>
      <c r="I23" s="76"/>
      <c r="J23" s="227"/>
      <c r="K23" s="76"/>
      <c r="L23" s="227"/>
      <c r="M23" s="227"/>
    </row>
    <row r="24" spans="2:13" x14ac:dyDescent="0.35">
      <c r="D24" s="76"/>
      <c r="E24" s="76"/>
      <c r="F24" s="76"/>
      <c r="G24" s="76"/>
      <c r="H24" s="76"/>
      <c r="I24" s="76"/>
      <c r="J24" s="227"/>
      <c r="K24" s="76"/>
      <c r="L24" s="227"/>
      <c r="M24" s="227"/>
    </row>
    <row r="25" spans="2:13" x14ac:dyDescent="0.35">
      <c r="B25">
        <v>11</v>
      </c>
      <c r="C25" t="s">
        <v>435</v>
      </c>
      <c r="D25" s="76">
        <v>335.9</v>
      </c>
      <c r="E25" s="76">
        <v>16.39</v>
      </c>
      <c r="F25" s="76">
        <f t="shared" si="0"/>
        <v>5505.4009999999998</v>
      </c>
      <c r="G25" s="76">
        <v>2699.11</v>
      </c>
      <c r="H25" s="76">
        <v>516.64</v>
      </c>
      <c r="I25" s="76"/>
      <c r="J25" s="227">
        <f t="shared" si="2"/>
        <v>7687.8710000000001</v>
      </c>
      <c r="K25" s="76">
        <v>9659.7900000000009</v>
      </c>
      <c r="L25" s="227">
        <v>1075.07</v>
      </c>
      <c r="M25" s="227">
        <v>570.79999999999995</v>
      </c>
    </row>
    <row r="26" spans="2:13" x14ac:dyDescent="0.35">
      <c r="B26">
        <v>12</v>
      </c>
      <c r="C26" t="s">
        <v>436</v>
      </c>
      <c r="D26" s="76">
        <v>2339.3000000000002</v>
      </c>
      <c r="E26" s="76">
        <v>2.2799999999999998</v>
      </c>
      <c r="F26" s="76">
        <f t="shared" si="0"/>
        <v>5333.6040000000003</v>
      </c>
      <c r="G26" s="76">
        <v>303.83</v>
      </c>
      <c r="H26" s="76">
        <v>25.75</v>
      </c>
      <c r="I26" s="76"/>
      <c r="J26" s="227">
        <f t="shared" si="2"/>
        <v>5611.6840000000002</v>
      </c>
      <c r="K26" s="76">
        <v>4377.16</v>
      </c>
      <c r="L26" s="227">
        <v>348.43</v>
      </c>
      <c r="M26" s="227">
        <v>239.86</v>
      </c>
    </row>
    <row r="27" spans="2:13" x14ac:dyDescent="0.35">
      <c r="B27">
        <v>13</v>
      </c>
      <c r="C27" t="s">
        <v>437</v>
      </c>
      <c r="D27" s="76">
        <v>3773.4</v>
      </c>
      <c r="E27" s="76">
        <v>1.23</v>
      </c>
      <c r="F27" s="76">
        <f t="shared" si="0"/>
        <v>4641.2820000000002</v>
      </c>
      <c r="G27" s="76">
        <v>511.83</v>
      </c>
      <c r="H27" s="76">
        <v>735.04</v>
      </c>
      <c r="I27" s="76"/>
      <c r="J27" s="227">
        <f t="shared" si="2"/>
        <v>4418.0720000000001</v>
      </c>
      <c r="K27" s="76">
        <v>2322.23</v>
      </c>
      <c r="L27" s="227">
        <v>305.45</v>
      </c>
      <c r="M27" s="227">
        <v>150.24</v>
      </c>
    </row>
    <row r="28" spans="2:13" x14ac:dyDescent="0.35">
      <c r="B28">
        <v>14</v>
      </c>
      <c r="C28" t="s">
        <v>438</v>
      </c>
      <c r="D28" s="76">
        <v>308.10000000000002</v>
      </c>
      <c r="E28" s="76">
        <v>15.06</v>
      </c>
      <c r="F28" s="76">
        <f t="shared" si="0"/>
        <v>4639.9860000000008</v>
      </c>
      <c r="G28" s="76">
        <v>77.010000000000005</v>
      </c>
      <c r="H28" s="76">
        <v>306.02</v>
      </c>
      <c r="I28" s="76"/>
      <c r="J28" s="227">
        <f t="shared" si="2"/>
        <v>4410.9760000000006</v>
      </c>
      <c r="K28" s="76">
        <v>1073.1500000000001</v>
      </c>
      <c r="L28" s="227">
        <v>391.03999999999996</v>
      </c>
      <c r="M28" s="227">
        <v>210.96</v>
      </c>
    </row>
    <row r="29" spans="2:13" x14ac:dyDescent="0.35">
      <c r="B29">
        <v>15</v>
      </c>
      <c r="C29" t="s">
        <v>439</v>
      </c>
      <c r="D29" s="76">
        <v>596.15</v>
      </c>
      <c r="E29" s="76">
        <v>6.67</v>
      </c>
      <c r="F29" s="76">
        <f t="shared" si="0"/>
        <v>3976.3204999999998</v>
      </c>
      <c r="G29" s="76">
        <v>886.21</v>
      </c>
      <c r="H29" s="76">
        <v>101.83</v>
      </c>
      <c r="I29" s="76"/>
      <c r="J29" s="227">
        <f t="shared" si="2"/>
        <v>4760.7004999999999</v>
      </c>
      <c r="K29" s="76">
        <v>3419.92</v>
      </c>
      <c r="L29" s="227">
        <v>387.28000000000003</v>
      </c>
      <c r="M29" s="227">
        <v>213.72</v>
      </c>
    </row>
    <row r="30" spans="2:13" x14ac:dyDescent="0.35">
      <c r="B30">
        <v>16</v>
      </c>
      <c r="C30" t="s">
        <v>440</v>
      </c>
      <c r="D30" s="76">
        <v>201.8</v>
      </c>
      <c r="E30" s="76">
        <v>16.78</v>
      </c>
      <c r="F30" s="76">
        <f t="shared" si="0"/>
        <v>3386.2040000000006</v>
      </c>
      <c r="G30" s="76">
        <v>415.84</v>
      </c>
      <c r="H30" s="76">
        <v>371.39</v>
      </c>
      <c r="I30" s="76"/>
      <c r="J30" s="227">
        <f t="shared" si="2"/>
        <v>3430.6540000000009</v>
      </c>
      <c r="K30" s="76">
        <v>3795.13</v>
      </c>
      <c r="L30" s="227">
        <v>426.91999999999996</v>
      </c>
      <c r="M30" s="227">
        <v>284.87</v>
      </c>
    </row>
    <row r="31" spans="2:13" x14ac:dyDescent="0.35">
      <c r="B31">
        <v>17</v>
      </c>
      <c r="C31" t="s">
        <v>441</v>
      </c>
      <c r="D31" s="76">
        <v>387.5</v>
      </c>
      <c r="E31" s="76">
        <v>7.67</v>
      </c>
      <c r="F31" s="76">
        <f t="shared" si="0"/>
        <v>2972.125</v>
      </c>
      <c r="G31" s="76">
        <v>216.24</v>
      </c>
      <c r="H31" s="76">
        <v>49.18</v>
      </c>
      <c r="I31" s="76"/>
      <c r="J31" s="227">
        <f t="shared" si="2"/>
        <v>3139.1849999999999</v>
      </c>
      <c r="K31" s="76">
        <v>2442.3200000000002</v>
      </c>
      <c r="L31" s="227">
        <v>269.54999999999995</v>
      </c>
      <c r="M31" s="227">
        <v>186.36</v>
      </c>
    </row>
    <row r="32" spans="2:13" x14ac:dyDescent="0.35">
      <c r="B32">
        <v>18</v>
      </c>
      <c r="C32" t="s">
        <v>442</v>
      </c>
      <c r="D32" s="76">
        <v>246</v>
      </c>
      <c r="E32" s="76">
        <v>9.61</v>
      </c>
      <c r="F32" s="76">
        <f t="shared" si="0"/>
        <v>2364.06</v>
      </c>
      <c r="G32" s="76">
        <v>116.78</v>
      </c>
      <c r="H32" s="76">
        <v>0.1</v>
      </c>
      <c r="I32" s="76"/>
      <c r="J32" s="227">
        <f t="shared" si="2"/>
        <v>2480.7400000000002</v>
      </c>
      <c r="K32" s="76">
        <v>1926.68</v>
      </c>
      <c r="L32" s="227">
        <v>147.38</v>
      </c>
      <c r="M32" s="227">
        <v>104.79</v>
      </c>
    </row>
    <row r="33" spans="2:13" x14ac:dyDescent="0.35">
      <c r="B33">
        <v>19</v>
      </c>
      <c r="C33" t="s">
        <v>443</v>
      </c>
      <c r="D33" s="76">
        <v>688.35</v>
      </c>
      <c r="E33" s="76">
        <v>3.17</v>
      </c>
      <c r="F33" s="76">
        <f t="shared" si="0"/>
        <v>2182.0695000000001</v>
      </c>
      <c r="G33" s="76">
        <v>169.71</v>
      </c>
      <c r="H33" s="76">
        <v>324.23</v>
      </c>
      <c r="I33" s="76"/>
      <c r="J33" s="227">
        <f t="shared" si="2"/>
        <v>2027.5495000000001</v>
      </c>
      <c r="K33" s="76">
        <v>503.25</v>
      </c>
      <c r="L33" s="227">
        <v>124.64</v>
      </c>
      <c r="M33" s="227">
        <v>84.41</v>
      </c>
    </row>
    <row r="34" spans="2:13" x14ac:dyDescent="0.35">
      <c r="B34">
        <v>20</v>
      </c>
      <c r="C34" t="s">
        <v>444</v>
      </c>
      <c r="D34" s="76">
        <v>221.3</v>
      </c>
      <c r="E34" s="76">
        <v>9.64</v>
      </c>
      <c r="F34" s="76">
        <f t="shared" si="0"/>
        <v>2133.3320000000003</v>
      </c>
      <c r="G34" s="76">
        <v>189.09</v>
      </c>
      <c r="H34" s="76">
        <v>127.24</v>
      </c>
      <c r="I34" s="76"/>
      <c r="J34" s="227">
        <f t="shared" si="2"/>
        <v>2195.1820000000007</v>
      </c>
      <c r="K34" s="76">
        <v>2461.71</v>
      </c>
      <c r="L34" s="227">
        <v>172.35999999999999</v>
      </c>
      <c r="M34" s="227">
        <v>120.99</v>
      </c>
    </row>
    <row r="35" spans="2:13" x14ac:dyDescent="0.35">
      <c r="B35">
        <v>21</v>
      </c>
      <c r="C35" t="s">
        <v>445</v>
      </c>
      <c r="D35" s="76">
        <v>17.89</v>
      </c>
      <c r="E35" s="76">
        <v>113.75</v>
      </c>
      <c r="F35" s="76">
        <f t="shared" si="0"/>
        <v>2034.9875</v>
      </c>
      <c r="G35" s="76">
        <v>38.909999999999997</v>
      </c>
      <c r="H35" s="76">
        <v>15.73</v>
      </c>
      <c r="I35" s="76"/>
      <c r="J35" s="227">
        <f t="shared" si="2"/>
        <v>2058.1675</v>
      </c>
      <c r="K35" s="76">
        <v>509.83</v>
      </c>
      <c r="L35" s="227">
        <v>96.87</v>
      </c>
      <c r="M35" s="227">
        <v>66.72</v>
      </c>
    </row>
    <row r="36" spans="2:13" x14ac:dyDescent="0.35">
      <c r="B36">
        <v>22</v>
      </c>
      <c r="C36" t="s">
        <v>446</v>
      </c>
      <c r="D36" s="76">
        <v>837.3</v>
      </c>
      <c r="E36" s="76">
        <v>2.41</v>
      </c>
      <c r="F36" s="76">
        <f t="shared" si="0"/>
        <v>2017.893</v>
      </c>
      <c r="G36" s="76">
        <v>186.22</v>
      </c>
      <c r="H36" s="76">
        <v>51.57</v>
      </c>
      <c r="I36" s="76"/>
      <c r="J36" s="227">
        <f t="shared" si="2"/>
        <v>2152.5429999999997</v>
      </c>
      <c r="K36" s="76">
        <v>1154.9000000000001</v>
      </c>
      <c r="L36" s="227">
        <v>93.7</v>
      </c>
      <c r="M36" s="227">
        <v>59.06</v>
      </c>
    </row>
    <row r="37" spans="2:13" x14ac:dyDescent="0.35">
      <c r="B37">
        <v>23</v>
      </c>
      <c r="C37" t="s">
        <v>447</v>
      </c>
      <c r="D37" s="76">
        <v>706.9</v>
      </c>
      <c r="E37" s="76">
        <v>2.4700000000000002</v>
      </c>
      <c r="F37" s="76">
        <f t="shared" si="0"/>
        <v>1746.0430000000001</v>
      </c>
      <c r="G37" s="76">
        <v>111.38</v>
      </c>
      <c r="H37" s="76">
        <v>3.51</v>
      </c>
      <c r="I37" s="76"/>
      <c r="J37" s="227">
        <f t="shared" si="2"/>
        <v>1853.9130000000002</v>
      </c>
      <c r="K37" s="76">
        <v>2231.19</v>
      </c>
      <c r="L37" s="227">
        <v>145.80999999999997</v>
      </c>
      <c r="M37" s="227">
        <v>102.1</v>
      </c>
    </row>
    <row r="38" spans="2:13" x14ac:dyDescent="0.35">
      <c r="B38">
        <v>24</v>
      </c>
      <c r="C38" t="s">
        <v>448</v>
      </c>
      <c r="D38" s="76">
        <v>58.8</v>
      </c>
      <c r="E38" s="76">
        <v>29.53</v>
      </c>
      <c r="F38" s="76">
        <f t="shared" si="0"/>
        <v>1736.364</v>
      </c>
      <c r="G38" s="76">
        <v>1015.89</v>
      </c>
      <c r="H38" s="76">
        <v>2615.2199999999998</v>
      </c>
      <c r="I38" s="76"/>
      <c r="J38" s="227">
        <f t="shared" si="2"/>
        <v>137.03400000000011</v>
      </c>
      <c r="K38" s="76">
        <v>887509.97</v>
      </c>
      <c r="L38" s="227">
        <v>212.91000000000003</v>
      </c>
      <c r="M38" s="227">
        <v>169.22</v>
      </c>
    </row>
    <row r="39" spans="2:13" x14ac:dyDescent="0.35">
      <c r="B39">
        <v>25</v>
      </c>
      <c r="C39" t="s">
        <v>449</v>
      </c>
      <c r="D39" s="76">
        <v>160.69999999999999</v>
      </c>
      <c r="E39" s="76">
        <v>10.74</v>
      </c>
      <c r="F39" s="76">
        <f t="shared" si="0"/>
        <v>1725.9179999999999</v>
      </c>
      <c r="G39" s="76">
        <v>641.37</v>
      </c>
      <c r="H39" s="76">
        <v>107.48</v>
      </c>
      <c r="I39" s="76"/>
      <c r="J39" s="227">
        <f t="shared" si="2"/>
        <v>2259.808</v>
      </c>
      <c r="K39" s="76">
        <v>3063.16</v>
      </c>
      <c r="L39" s="227">
        <v>398.69</v>
      </c>
      <c r="M39" s="227">
        <v>109.3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42"/>
  <sheetViews>
    <sheetView showGridLines="0" workbookViewId="0">
      <pane ySplit="3" topLeftCell="A31" activePane="bottomLeft" state="frozen"/>
      <selection pane="bottomLeft" activeCell="R11" sqref="R11"/>
    </sheetView>
  </sheetViews>
  <sheetFormatPr defaultRowHeight="14.5" x14ac:dyDescent="0.35"/>
  <cols>
    <col min="1" max="1" width="3.453125" customWidth="1"/>
    <col min="2" max="2" width="23" bestFit="1" customWidth="1"/>
    <col min="3" max="6" width="8.81640625" bestFit="1" customWidth="1"/>
    <col min="7" max="14" width="8.90625" bestFit="1" customWidth="1"/>
  </cols>
  <sheetData>
    <row r="3" spans="2:14" x14ac:dyDescent="0.35">
      <c r="B3" s="279" t="s">
        <v>319</v>
      </c>
      <c r="C3" s="297">
        <v>42064</v>
      </c>
      <c r="D3" s="297">
        <v>42430</v>
      </c>
      <c r="E3" s="297">
        <v>42795</v>
      </c>
      <c r="F3" s="297">
        <v>43160</v>
      </c>
      <c r="G3" s="297">
        <v>43525</v>
      </c>
      <c r="H3" s="297">
        <v>43891</v>
      </c>
      <c r="I3" s="297">
        <v>44256</v>
      </c>
      <c r="J3" s="297">
        <v>44621</v>
      </c>
      <c r="K3" s="297">
        <v>44986</v>
      </c>
      <c r="L3" s="297">
        <v>45352</v>
      </c>
      <c r="M3" s="297">
        <v>45717</v>
      </c>
      <c r="N3" s="297">
        <v>46082</v>
      </c>
    </row>
    <row r="5" spans="2:14" x14ac:dyDescent="0.35">
      <c r="B5" t="s">
        <v>290</v>
      </c>
      <c r="C5" s="138">
        <v>89</v>
      </c>
      <c r="D5" s="138">
        <v>89</v>
      </c>
      <c r="E5" s="138">
        <v>89</v>
      </c>
      <c r="F5" s="138">
        <v>89</v>
      </c>
      <c r="G5" s="138">
        <v>89</v>
      </c>
      <c r="H5" s="138">
        <v>89</v>
      </c>
      <c r="I5" s="138">
        <v>89</v>
      </c>
      <c r="J5" s="138">
        <v>89</v>
      </c>
      <c r="K5" s="138">
        <v>89</v>
      </c>
      <c r="L5" s="138">
        <v>89</v>
      </c>
      <c r="M5" s="138">
        <v>89</v>
      </c>
      <c r="N5" s="138">
        <v>89</v>
      </c>
    </row>
    <row r="6" spans="2:14" x14ac:dyDescent="0.35">
      <c r="B6" t="s">
        <v>32</v>
      </c>
      <c r="C6" s="138">
        <v>2995</v>
      </c>
      <c r="D6" s="138">
        <v>3418</v>
      </c>
      <c r="E6" s="138">
        <v>4144</v>
      </c>
      <c r="F6" s="138">
        <v>5001</v>
      </c>
      <c r="G6" s="138">
        <v>5981</v>
      </c>
      <c r="H6" s="138">
        <v>6580</v>
      </c>
      <c r="I6" s="138">
        <v>7408</v>
      </c>
      <c r="J6" s="138">
        <v>9214</v>
      </c>
      <c r="K6" s="138">
        <v>11762</v>
      </c>
      <c r="L6" s="138">
        <v>9304</v>
      </c>
      <c r="M6" s="138">
        <v>11535</v>
      </c>
      <c r="N6" s="138">
        <v>15614</v>
      </c>
    </row>
    <row r="7" spans="2:14" x14ac:dyDescent="0.35">
      <c r="B7" s="10" t="s">
        <v>315</v>
      </c>
      <c r="C7" s="138"/>
      <c r="D7" s="138"/>
      <c r="E7" s="138"/>
      <c r="F7" s="138"/>
      <c r="G7" s="138"/>
      <c r="H7" s="138"/>
      <c r="I7" s="138"/>
      <c r="J7" s="138"/>
      <c r="K7" s="138"/>
      <c r="L7" s="138"/>
      <c r="M7" s="138"/>
      <c r="N7" s="138"/>
    </row>
    <row r="8" spans="2:14" x14ac:dyDescent="0.35">
      <c r="B8" t="s">
        <v>291</v>
      </c>
      <c r="C8" s="138">
        <v>0</v>
      </c>
      <c r="D8" s="138">
        <v>0</v>
      </c>
      <c r="E8" s="138">
        <v>0</v>
      </c>
      <c r="F8" s="138">
        <v>0</v>
      </c>
      <c r="G8" s="138">
        <v>32</v>
      </c>
      <c r="H8" s="138">
        <v>17</v>
      </c>
      <c r="I8" s="138">
        <v>9</v>
      </c>
      <c r="J8" s="138">
        <v>2</v>
      </c>
      <c r="K8" s="138">
        <v>0</v>
      </c>
      <c r="L8" s="138">
        <v>3302</v>
      </c>
      <c r="M8" s="138">
        <v>595</v>
      </c>
      <c r="N8" s="138">
        <v>93</v>
      </c>
    </row>
    <row r="9" spans="2:14" x14ac:dyDescent="0.35">
      <c r="B9" t="s">
        <v>292</v>
      </c>
      <c r="C9" s="138">
        <v>100</v>
      </c>
      <c r="D9" s="138">
        <v>113</v>
      </c>
      <c r="E9" s="138">
        <v>1882</v>
      </c>
      <c r="F9" s="138">
        <v>1691</v>
      </c>
      <c r="G9" s="138">
        <v>2353</v>
      </c>
      <c r="H9" s="138">
        <v>2291</v>
      </c>
      <c r="I9" s="138">
        <v>4367</v>
      </c>
      <c r="J9" s="138">
        <v>5914</v>
      </c>
      <c r="K9" s="138">
        <v>7494</v>
      </c>
      <c r="L9" s="138">
        <v>9877</v>
      </c>
      <c r="M9" s="138">
        <v>17501</v>
      </c>
      <c r="N9" s="138">
        <v>27355</v>
      </c>
    </row>
    <row r="10" spans="2:14" x14ac:dyDescent="0.35">
      <c r="B10" t="s">
        <v>293</v>
      </c>
      <c r="C10" s="138">
        <v>0</v>
      </c>
      <c r="D10" s="138">
        <v>0</v>
      </c>
      <c r="E10" s="138">
        <v>0</v>
      </c>
      <c r="F10" s="138">
        <v>0</v>
      </c>
      <c r="G10" s="138">
        <v>0</v>
      </c>
      <c r="H10" s="138">
        <v>1243</v>
      </c>
      <c r="I10" s="138">
        <v>1256</v>
      </c>
      <c r="J10" s="138">
        <v>1359</v>
      </c>
      <c r="K10" s="138">
        <v>1873</v>
      </c>
      <c r="L10" s="138">
        <v>2349</v>
      </c>
      <c r="M10" s="138">
        <v>2681</v>
      </c>
      <c r="N10" s="138">
        <v>3173</v>
      </c>
    </row>
    <row r="11" spans="2:14" x14ac:dyDescent="0.35">
      <c r="B11" t="s">
        <v>294</v>
      </c>
      <c r="C11" s="138">
        <v>0</v>
      </c>
      <c r="D11" s="138">
        <v>0</v>
      </c>
      <c r="E11" s="138">
        <v>0</v>
      </c>
      <c r="F11" s="138">
        <v>0</v>
      </c>
      <c r="G11" s="138">
        <v>8</v>
      </c>
      <c r="H11" s="138">
        <v>11</v>
      </c>
      <c r="I11" s="138">
        <v>6</v>
      </c>
      <c r="J11" s="138">
        <v>0</v>
      </c>
      <c r="K11" s="138">
        <v>0</v>
      </c>
      <c r="L11" s="138">
        <v>0</v>
      </c>
      <c r="M11" s="138">
        <v>0</v>
      </c>
      <c r="N11" s="138">
        <v>0</v>
      </c>
    </row>
    <row r="12" spans="2:14" x14ac:dyDescent="0.35">
      <c r="B12" s="10" t="s">
        <v>316</v>
      </c>
      <c r="C12" s="138"/>
      <c r="D12" s="138"/>
      <c r="E12" s="138"/>
      <c r="F12" s="138"/>
      <c r="G12" s="138"/>
      <c r="H12" s="138"/>
      <c r="I12" s="138"/>
      <c r="J12" s="138"/>
      <c r="K12" s="138"/>
      <c r="L12" s="138"/>
      <c r="M12" s="138"/>
      <c r="N12" s="138"/>
    </row>
    <row r="13" spans="2:14" x14ac:dyDescent="0.35">
      <c r="B13" t="s">
        <v>295</v>
      </c>
      <c r="C13" s="138">
        <v>0</v>
      </c>
      <c r="D13" s="138">
        <v>0</v>
      </c>
      <c r="E13" s="138">
        <v>26</v>
      </c>
      <c r="F13" s="138">
        <v>-2</v>
      </c>
      <c r="G13" s="138">
        <v>14</v>
      </c>
      <c r="H13" s="138">
        <v>4</v>
      </c>
      <c r="I13" s="138">
        <v>5</v>
      </c>
      <c r="J13" s="138">
        <v>30</v>
      </c>
      <c r="K13" s="138">
        <v>53</v>
      </c>
      <c r="L13" s="138">
        <v>0</v>
      </c>
      <c r="M13" s="138">
        <v>0</v>
      </c>
      <c r="N13" s="138">
        <v>0</v>
      </c>
    </row>
    <row r="14" spans="2:14" x14ac:dyDescent="0.35">
      <c r="B14" t="s">
        <v>296</v>
      </c>
      <c r="C14" s="138">
        <v>1940</v>
      </c>
      <c r="D14" s="138">
        <v>1655</v>
      </c>
      <c r="E14" s="138">
        <v>783</v>
      </c>
      <c r="F14" s="138">
        <v>878</v>
      </c>
      <c r="G14" s="138">
        <v>906</v>
      </c>
      <c r="H14" s="138">
        <v>596</v>
      </c>
      <c r="I14" s="138">
        <v>789</v>
      </c>
      <c r="J14" s="138">
        <v>1294</v>
      </c>
      <c r="K14" s="138">
        <v>1214</v>
      </c>
      <c r="L14" s="138">
        <v>1410</v>
      </c>
      <c r="M14" s="138">
        <v>1963</v>
      </c>
      <c r="N14" s="138">
        <v>2864</v>
      </c>
    </row>
    <row r="15" spans="2:14" x14ac:dyDescent="0.35">
      <c r="B15" t="s">
        <v>297</v>
      </c>
      <c r="C15" s="138">
        <v>160</v>
      </c>
      <c r="D15" s="138">
        <v>710</v>
      </c>
      <c r="E15" s="138">
        <v>943</v>
      </c>
      <c r="F15" s="138">
        <v>233</v>
      </c>
      <c r="G15" s="138">
        <v>290</v>
      </c>
      <c r="H15" s="138">
        <v>386</v>
      </c>
      <c r="I15" s="138">
        <v>479</v>
      </c>
      <c r="J15" s="138">
        <v>532</v>
      </c>
      <c r="K15" s="138">
        <v>718</v>
      </c>
      <c r="L15" s="138">
        <v>1085</v>
      </c>
      <c r="M15" s="138">
        <v>2140</v>
      </c>
      <c r="N15" s="138">
        <v>4745</v>
      </c>
    </row>
    <row r="16" spans="2:14" x14ac:dyDescent="0.35">
      <c r="B16" t="s">
        <v>298</v>
      </c>
      <c r="C16" s="138">
        <v>585</v>
      </c>
      <c r="D16" s="138">
        <v>358</v>
      </c>
      <c r="E16" s="138">
        <v>541</v>
      </c>
      <c r="F16" s="138">
        <v>1631</v>
      </c>
      <c r="G16" s="138">
        <v>2037</v>
      </c>
      <c r="H16" s="138">
        <v>2327</v>
      </c>
      <c r="I16" s="138">
        <v>2036</v>
      </c>
      <c r="J16" s="138">
        <v>2754</v>
      </c>
      <c r="K16" s="138">
        <v>3817</v>
      </c>
      <c r="L16" s="138">
        <v>4131</v>
      </c>
      <c r="M16" s="138">
        <v>4141</v>
      </c>
      <c r="N16" s="138">
        <v>6628</v>
      </c>
    </row>
    <row r="17" spans="2:14" x14ac:dyDescent="0.35">
      <c r="B17" s="136" t="s">
        <v>119</v>
      </c>
      <c r="C17" s="139">
        <v>5868</v>
      </c>
      <c r="D17" s="139">
        <v>6342</v>
      </c>
      <c r="E17" s="139">
        <v>8408</v>
      </c>
      <c r="F17" s="139">
        <v>9521</v>
      </c>
      <c r="G17" s="139">
        <v>11710</v>
      </c>
      <c r="H17" s="139">
        <v>13544</v>
      </c>
      <c r="I17" s="139">
        <v>16444</v>
      </c>
      <c r="J17" s="139">
        <v>21188</v>
      </c>
      <c r="K17" s="139">
        <v>27020</v>
      </c>
      <c r="L17" s="139">
        <v>31547</v>
      </c>
      <c r="M17" s="139">
        <v>40645</v>
      </c>
      <c r="N17" s="139">
        <v>60561</v>
      </c>
    </row>
    <row r="18" spans="2:14" x14ac:dyDescent="0.35">
      <c r="B18" s="10"/>
      <c r="C18" s="134"/>
      <c r="D18" s="134"/>
      <c r="E18" s="134"/>
      <c r="F18" s="134"/>
      <c r="G18" s="134"/>
      <c r="H18" s="134"/>
      <c r="I18" s="134"/>
      <c r="J18" s="134"/>
      <c r="K18" s="134"/>
      <c r="L18" s="134"/>
      <c r="M18" s="134"/>
      <c r="N18" s="134"/>
    </row>
    <row r="19" spans="2:14" x14ac:dyDescent="0.35">
      <c r="B19" s="10" t="s">
        <v>317</v>
      </c>
      <c r="E19" s="133"/>
      <c r="F19" s="133"/>
      <c r="G19" s="133"/>
      <c r="H19" s="133"/>
      <c r="I19" s="133"/>
      <c r="J19" s="133"/>
      <c r="K19" s="133"/>
      <c r="L19" s="133"/>
      <c r="M19" s="133"/>
      <c r="N19" s="133"/>
    </row>
    <row r="20" spans="2:14" x14ac:dyDescent="0.35">
      <c r="B20" t="s">
        <v>299</v>
      </c>
      <c r="C20" s="138">
        <v>104</v>
      </c>
      <c r="D20" s="138">
        <v>85</v>
      </c>
      <c r="E20" s="138">
        <v>85</v>
      </c>
      <c r="F20" s="138">
        <v>85</v>
      </c>
      <c r="G20" s="138">
        <v>85</v>
      </c>
      <c r="H20" s="138">
        <v>108</v>
      </c>
      <c r="I20" s="138">
        <v>108</v>
      </c>
      <c r="J20" s="138">
        <v>136</v>
      </c>
      <c r="K20" s="138">
        <v>144</v>
      </c>
      <c r="L20" s="138">
        <v>163</v>
      </c>
      <c r="M20" s="138">
        <v>163</v>
      </c>
      <c r="N20" s="138">
        <v>440</v>
      </c>
    </row>
    <row r="21" spans="2:14" x14ac:dyDescent="0.35">
      <c r="B21" t="s">
        <v>300</v>
      </c>
      <c r="C21" s="138">
        <v>156</v>
      </c>
      <c r="D21" s="138">
        <v>137</v>
      </c>
      <c r="E21" s="138">
        <v>198</v>
      </c>
      <c r="F21" s="138">
        <v>341</v>
      </c>
      <c r="G21" s="138">
        <v>386</v>
      </c>
      <c r="H21" s="138">
        <v>1473</v>
      </c>
      <c r="I21" s="138">
        <v>1617</v>
      </c>
      <c r="J21" s="138">
        <v>1853</v>
      </c>
      <c r="K21" s="138">
        <v>2403</v>
      </c>
      <c r="L21" s="138">
        <v>3546</v>
      </c>
      <c r="M21" s="138">
        <v>4177</v>
      </c>
      <c r="N21" s="138">
        <v>5239</v>
      </c>
    </row>
    <row r="22" spans="2:14" x14ac:dyDescent="0.35">
      <c r="B22" t="s">
        <v>301</v>
      </c>
      <c r="C22" s="138">
        <v>719</v>
      </c>
      <c r="D22" s="138">
        <v>445</v>
      </c>
      <c r="E22" s="138">
        <v>473</v>
      </c>
      <c r="F22" s="138">
        <v>563</v>
      </c>
      <c r="G22" s="138">
        <v>630</v>
      </c>
      <c r="H22" s="138">
        <v>724</v>
      </c>
      <c r="I22" s="138">
        <v>739</v>
      </c>
      <c r="J22" s="138">
        <v>768</v>
      </c>
      <c r="K22" s="138">
        <v>838</v>
      </c>
      <c r="L22" s="138">
        <v>899</v>
      </c>
      <c r="M22" s="138">
        <v>1012</v>
      </c>
      <c r="N22" s="138">
        <v>1197</v>
      </c>
    </row>
    <row r="23" spans="2:14" x14ac:dyDescent="0.35">
      <c r="B23" t="s">
        <v>302</v>
      </c>
      <c r="C23" s="138">
        <v>24</v>
      </c>
      <c r="D23" s="138">
        <v>18</v>
      </c>
      <c r="E23" s="138">
        <v>24</v>
      </c>
      <c r="F23" s="138">
        <v>34</v>
      </c>
      <c r="G23" s="138">
        <v>50</v>
      </c>
      <c r="H23" s="138">
        <v>70</v>
      </c>
      <c r="I23" s="138">
        <v>76</v>
      </c>
      <c r="J23" s="138">
        <v>96</v>
      </c>
      <c r="K23" s="138">
        <v>130</v>
      </c>
      <c r="L23" s="138">
        <v>110</v>
      </c>
      <c r="M23" s="138">
        <v>127</v>
      </c>
      <c r="N23" s="138">
        <v>176</v>
      </c>
    </row>
    <row r="24" spans="2:14" x14ac:dyDescent="0.35">
      <c r="B24" t="s">
        <v>303</v>
      </c>
      <c r="C24" s="138">
        <v>0</v>
      </c>
      <c r="D24" s="138">
        <v>0</v>
      </c>
      <c r="E24" s="138">
        <v>46</v>
      </c>
      <c r="F24" s="138">
        <v>72</v>
      </c>
      <c r="G24" s="138">
        <v>92</v>
      </c>
      <c r="H24" s="138">
        <v>119</v>
      </c>
      <c r="I24" s="138">
        <v>142</v>
      </c>
      <c r="J24" s="138">
        <v>159</v>
      </c>
      <c r="K24" s="138">
        <v>204</v>
      </c>
      <c r="L24" s="138">
        <v>212</v>
      </c>
      <c r="M24" s="138">
        <v>228</v>
      </c>
      <c r="N24" s="138">
        <v>264</v>
      </c>
    </row>
    <row r="25" spans="2:14" x14ac:dyDescent="0.35">
      <c r="B25" t="s">
        <v>304</v>
      </c>
      <c r="C25" s="138">
        <v>189</v>
      </c>
      <c r="D25" s="138">
        <v>107</v>
      </c>
      <c r="E25" s="138">
        <v>138</v>
      </c>
      <c r="F25" s="138">
        <v>203</v>
      </c>
      <c r="G25" s="138">
        <v>251</v>
      </c>
      <c r="H25" s="138">
        <v>313</v>
      </c>
      <c r="I25" s="138">
        <v>309</v>
      </c>
      <c r="J25" s="138">
        <v>321</v>
      </c>
      <c r="K25" s="138">
        <v>376</v>
      </c>
      <c r="L25" s="138">
        <v>173</v>
      </c>
      <c r="M25" s="138">
        <v>193</v>
      </c>
      <c r="N25" s="138">
        <v>379</v>
      </c>
    </row>
    <row r="26" spans="2:14" x14ac:dyDescent="0.35">
      <c r="B26" t="s">
        <v>305</v>
      </c>
      <c r="C26" s="138">
        <v>17</v>
      </c>
      <c r="D26" s="138">
        <v>11</v>
      </c>
      <c r="E26" s="138">
        <v>10</v>
      </c>
      <c r="F26" s="138">
        <v>16</v>
      </c>
      <c r="G26" s="138">
        <v>22</v>
      </c>
      <c r="H26" s="138">
        <v>28</v>
      </c>
      <c r="I26" s="138">
        <v>30</v>
      </c>
      <c r="J26" s="138">
        <v>38</v>
      </c>
      <c r="K26" s="138">
        <v>40</v>
      </c>
      <c r="L26" s="138">
        <v>50</v>
      </c>
      <c r="M26" s="138">
        <v>57</v>
      </c>
      <c r="N26" s="138">
        <v>68</v>
      </c>
    </row>
    <row r="27" spans="2:14" x14ac:dyDescent="0.35">
      <c r="B27" t="s">
        <v>306</v>
      </c>
      <c r="C27" s="138">
        <v>0</v>
      </c>
      <c r="D27" s="138">
        <v>13</v>
      </c>
      <c r="E27" s="138">
        <v>318</v>
      </c>
      <c r="F27" s="138">
        <v>319</v>
      </c>
      <c r="G27" s="138">
        <v>319</v>
      </c>
      <c r="H27" s="138">
        <v>333</v>
      </c>
      <c r="I27" s="138">
        <v>320</v>
      </c>
      <c r="J27" s="138">
        <v>320</v>
      </c>
      <c r="K27" s="138">
        <v>320</v>
      </c>
      <c r="L27" s="138">
        <v>320</v>
      </c>
      <c r="M27" s="138">
        <v>320</v>
      </c>
      <c r="N27" s="138">
        <v>1782</v>
      </c>
    </row>
    <row r="28" spans="2:14" x14ac:dyDescent="0.35">
      <c r="B28" t="s">
        <v>307</v>
      </c>
      <c r="C28" s="141">
        <v>73</v>
      </c>
      <c r="D28" s="141">
        <v>20</v>
      </c>
      <c r="E28" s="141">
        <v>26</v>
      </c>
      <c r="F28" s="141">
        <v>69</v>
      </c>
      <c r="G28" s="141">
        <v>96</v>
      </c>
      <c r="H28" s="141">
        <v>135</v>
      </c>
      <c r="I28" s="141">
        <v>158</v>
      </c>
      <c r="J28" s="141">
        <v>157</v>
      </c>
      <c r="K28" s="141">
        <v>205</v>
      </c>
      <c r="L28" s="141">
        <v>305</v>
      </c>
      <c r="M28" s="141">
        <v>369</v>
      </c>
      <c r="N28" s="141">
        <v>540</v>
      </c>
    </row>
    <row r="29" spans="2:14" x14ac:dyDescent="0.35">
      <c r="B29" s="10" t="s">
        <v>308</v>
      </c>
      <c r="C29" s="143">
        <v>1282</v>
      </c>
      <c r="D29" s="143">
        <v>836</v>
      </c>
      <c r="E29" s="143">
        <v>1318</v>
      </c>
      <c r="F29" s="143">
        <v>1704</v>
      </c>
      <c r="G29" s="143">
        <v>1931</v>
      </c>
      <c r="H29" s="143">
        <v>3303</v>
      </c>
      <c r="I29" s="143">
        <v>3499</v>
      </c>
      <c r="J29" s="143">
        <v>3848</v>
      </c>
      <c r="K29" s="143">
        <v>4660</v>
      </c>
      <c r="L29" s="143">
        <v>5778</v>
      </c>
      <c r="M29" s="143">
        <v>6646</v>
      </c>
      <c r="N29" s="143">
        <v>10085</v>
      </c>
    </row>
    <row r="30" spans="2:14" x14ac:dyDescent="0.35">
      <c r="B30" s="10" t="s">
        <v>309</v>
      </c>
      <c r="C30" s="144">
        <v>583</v>
      </c>
      <c r="D30" s="144">
        <v>66</v>
      </c>
      <c r="E30" s="144">
        <v>130</v>
      </c>
      <c r="F30" s="144">
        <v>230</v>
      </c>
      <c r="G30" s="144">
        <v>365</v>
      </c>
      <c r="H30" s="144">
        <v>670</v>
      </c>
      <c r="I30" s="144">
        <v>976</v>
      </c>
      <c r="J30" s="144">
        <v>1304</v>
      </c>
      <c r="K30" s="144">
        <v>1662</v>
      </c>
      <c r="L30" s="144">
        <v>2069</v>
      </c>
      <c r="M30" s="144">
        <v>2584</v>
      </c>
      <c r="N30" s="144">
        <v>3207</v>
      </c>
    </row>
    <row r="31" spans="2:14" x14ac:dyDescent="0.35">
      <c r="B31" s="94" t="s">
        <v>36</v>
      </c>
      <c r="C31" s="145">
        <f>SUM(C29:C30)</f>
        <v>1865</v>
      </c>
      <c r="D31" s="145">
        <f t="shared" ref="D31:N31" si="0">SUM(D29:D30)</f>
        <v>902</v>
      </c>
      <c r="E31" s="145">
        <f t="shared" si="0"/>
        <v>1448</v>
      </c>
      <c r="F31" s="145">
        <f t="shared" si="0"/>
        <v>1934</v>
      </c>
      <c r="G31" s="145">
        <f t="shared" si="0"/>
        <v>2296</v>
      </c>
      <c r="H31" s="145">
        <f t="shared" si="0"/>
        <v>3973</v>
      </c>
      <c r="I31" s="145">
        <f t="shared" si="0"/>
        <v>4475</v>
      </c>
      <c r="J31" s="145">
        <f t="shared" si="0"/>
        <v>5152</v>
      </c>
      <c r="K31" s="145">
        <f t="shared" si="0"/>
        <v>6322</v>
      </c>
      <c r="L31" s="145">
        <f t="shared" si="0"/>
        <v>7847</v>
      </c>
      <c r="M31" s="145">
        <f t="shared" si="0"/>
        <v>9230</v>
      </c>
      <c r="N31" s="145">
        <f t="shared" si="0"/>
        <v>13292</v>
      </c>
    </row>
    <row r="32" spans="2:14" x14ac:dyDescent="0.35">
      <c r="B32" s="10"/>
      <c r="C32" s="142"/>
      <c r="D32" s="142"/>
      <c r="E32" s="142"/>
      <c r="F32" s="142"/>
      <c r="G32" s="142"/>
      <c r="H32" s="142"/>
      <c r="I32" s="142"/>
      <c r="J32" s="142"/>
      <c r="K32" s="142"/>
      <c r="L32" s="142"/>
      <c r="M32" s="142"/>
      <c r="N32" s="142"/>
    </row>
    <row r="33" spans="2:14" x14ac:dyDescent="0.35">
      <c r="B33" t="s">
        <v>310</v>
      </c>
      <c r="C33" s="138">
        <v>55</v>
      </c>
      <c r="D33" s="138">
        <v>107</v>
      </c>
      <c r="E33" s="138">
        <v>152</v>
      </c>
      <c r="F33" s="138">
        <v>43</v>
      </c>
      <c r="G33" s="138">
        <v>32</v>
      </c>
      <c r="H33" s="138">
        <v>18</v>
      </c>
      <c r="I33" s="138">
        <v>32</v>
      </c>
      <c r="J33" s="138">
        <v>85</v>
      </c>
      <c r="K33" s="138">
        <v>144</v>
      </c>
      <c r="L33" s="138">
        <v>97</v>
      </c>
      <c r="M33" s="138">
        <v>105</v>
      </c>
      <c r="N33" s="138">
        <v>163</v>
      </c>
    </row>
    <row r="34" spans="2:14" x14ac:dyDescent="0.35">
      <c r="B34" t="s">
        <v>38</v>
      </c>
      <c r="C34" s="138">
        <v>3</v>
      </c>
      <c r="D34" s="138">
        <v>30</v>
      </c>
      <c r="E34" s="138">
        <v>431</v>
      </c>
      <c r="F34" s="138">
        <v>36</v>
      </c>
      <c r="G34" s="138">
        <v>108</v>
      </c>
      <c r="H34" s="138">
        <v>158</v>
      </c>
      <c r="I34" s="138">
        <v>2824</v>
      </c>
      <c r="J34" s="138">
        <v>294</v>
      </c>
      <c r="K34" s="138">
        <v>2515</v>
      </c>
      <c r="L34" s="138">
        <v>2345</v>
      </c>
      <c r="M34" s="138">
        <v>1988</v>
      </c>
      <c r="N34" s="138">
        <v>3506</v>
      </c>
    </row>
    <row r="35" spans="2:14" x14ac:dyDescent="0.35">
      <c r="C35" s="144"/>
      <c r="D35" s="144"/>
      <c r="E35" s="144"/>
      <c r="F35" s="144"/>
      <c r="G35" s="144"/>
      <c r="H35" s="144"/>
      <c r="I35" s="144"/>
      <c r="J35" s="144"/>
      <c r="K35" s="144"/>
      <c r="L35" s="144"/>
      <c r="M35" s="144"/>
      <c r="N35" s="144"/>
    </row>
    <row r="36" spans="2:14" x14ac:dyDescent="0.35">
      <c r="B36" s="10" t="s">
        <v>318</v>
      </c>
      <c r="C36" s="140"/>
      <c r="D36" s="140"/>
      <c r="E36" s="140"/>
      <c r="F36" s="140"/>
      <c r="G36" s="140"/>
      <c r="H36" s="140"/>
      <c r="I36" s="140"/>
      <c r="J36" s="140"/>
      <c r="K36" s="140"/>
      <c r="L36" s="140"/>
      <c r="M36" s="140"/>
      <c r="N36" s="140"/>
    </row>
    <row r="37" spans="2:14" x14ac:dyDescent="0.35">
      <c r="B37" t="s">
        <v>311</v>
      </c>
      <c r="C37" s="147">
        <v>4049</v>
      </c>
      <c r="D37" s="147">
        <v>4447</v>
      </c>
      <c r="E37" s="147">
        <v>4926</v>
      </c>
      <c r="F37" s="147">
        <v>5925</v>
      </c>
      <c r="G37" s="147">
        <v>7039</v>
      </c>
      <c r="H37" s="147">
        <v>8103</v>
      </c>
      <c r="I37" s="147">
        <v>8408</v>
      </c>
      <c r="J37" s="147">
        <v>13609</v>
      </c>
      <c r="K37" s="147">
        <v>16584</v>
      </c>
      <c r="L37" s="147">
        <v>19051</v>
      </c>
      <c r="M37" s="147">
        <v>28184</v>
      </c>
      <c r="N37" s="147">
        <v>42743</v>
      </c>
    </row>
    <row r="38" spans="2:14" x14ac:dyDescent="0.35">
      <c r="B38" s="32" t="s">
        <v>320</v>
      </c>
      <c r="C38" s="147">
        <v>190</v>
      </c>
      <c r="D38" s="147">
        <v>192</v>
      </c>
      <c r="E38" s="147">
        <v>208</v>
      </c>
      <c r="F38" s="147">
        <v>296</v>
      </c>
      <c r="G38" s="147">
        <v>420</v>
      </c>
      <c r="H38" s="147">
        <v>312</v>
      </c>
      <c r="I38" s="147">
        <v>366</v>
      </c>
      <c r="J38" s="147">
        <v>565</v>
      </c>
      <c r="K38" s="147">
        <v>674</v>
      </c>
      <c r="L38" s="147">
        <v>1018</v>
      </c>
      <c r="M38" s="147">
        <v>1068</v>
      </c>
      <c r="N38" s="147">
        <v>916</v>
      </c>
    </row>
    <row r="39" spans="2:14" x14ac:dyDescent="0.35">
      <c r="B39" t="s">
        <v>312</v>
      </c>
      <c r="C39" s="147">
        <v>214</v>
      </c>
      <c r="D39" s="147">
        <v>116</v>
      </c>
      <c r="E39" s="147">
        <v>779</v>
      </c>
      <c r="F39" s="147">
        <v>618</v>
      </c>
      <c r="G39" s="147">
        <v>1066</v>
      </c>
      <c r="H39" s="147">
        <v>381</v>
      </c>
      <c r="I39" s="147">
        <v>560</v>
      </c>
      <c r="J39" s="147">
        <v>1573</v>
      </c>
      <c r="K39" s="147">
        <v>1343</v>
      </c>
      <c r="L39" s="147">
        <v>1526</v>
      </c>
      <c r="M39" s="147">
        <v>1584</v>
      </c>
      <c r="N39" s="147">
        <v>1917</v>
      </c>
    </row>
    <row r="40" spans="2:14" x14ac:dyDescent="0.35">
      <c r="B40" t="s">
        <v>313</v>
      </c>
      <c r="C40" s="147">
        <v>47</v>
      </c>
      <c r="D40" s="147">
        <v>87</v>
      </c>
      <c r="E40" s="147">
        <v>122</v>
      </c>
      <c r="F40" s="147">
        <v>141</v>
      </c>
      <c r="G40" s="147">
        <v>25</v>
      </c>
      <c r="H40" s="147">
        <v>142</v>
      </c>
      <c r="I40" s="147">
        <v>109</v>
      </c>
      <c r="J40" s="147">
        <v>29</v>
      </c>
      <c r="K40" s="147">
        <v>167</v>
      </c>
      <c r="L40" s="147">
        <v>151</v>
      </c>
      <c r="M40" s="147">
        <v>324</v>
      </c>
      <c r="N40" s="147">
        <v>399</v>
      </c>
    </row>
    <row r="41" spans="2:14" x14ac:dyDescent="0.35">
      <c r="B41" t="s">
        <v>314</v>
      </c>
      <c r="C41" s="147">
        <v>611</v>
      </c>
      <c r="D41" s="147">
        <v>591</v>
      </c>
      <c r="E41" s="147">
        <v>602</v>
      </c>
      <c r="F41" s="147">
        <v>988</v>
      </c>
      <c r="G41" s="147">
        <v>1452</v>
      </c>
      <c r="H41" s="147">
        <v>1797</v>
      </c>
      <c r="I41" s="147">
        <v>1622</v>
      </c>
      <c r="J41" s="147">
        <v>2489</v>
      </c>
      <c r="K41" s="147">
        <v>2595</v>
      </c>
      <c r="L41" s="147">
        <v>3650</v>
      </c>
      <c r="M41" s="147">
        <v>3330</v>
      </c>
      <c r="N41" s="147">
        <v>4039</v>
      </c>
    </row>
    <row r="42" spans="2:14" x14ac:dyDescent="0.35">
      <c r="B42" s="135" t="s">
        <v>121</v>
      </c>
      <c r="C42" s="146">
        <v>5868</v>
      </c>
      <c r="D42" s="146">
        <v>6342</v>
      </c>
      <c r="E42" s="146">
        <v>8408</v>
      </c>
      <c r="F42" s="146">
        <v>9521</v>
      </c>
      <c r="G42" s="146">
        <v>11710</v>
      </c>
      <c r="H42" s="146">
        <v>13544</v>
      </c>
      <c r="I42" s="146">
        <v>16444</v>
      </c>
      <c r="J42" s="146">
        <v>21188</v>
      </c>
      <c r="K42" s="146">
        <v>27020</v>
      </c>
      <c r="L42" s="146">
        <v>31547</v>
      </c>
      <c r="M42" s="146">
        <v>40645</v>
      </c>
      <c r="N42" s="146">
        <v>60561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5"/>
  <sheetViews>
    <sheetView showGridLines="0" workbookViewId="0">
      <selection activeCell="B2" sqref="B2:N2"/>
    </sheetView>
  </sheetViews>
  <sheetFormatPr defaultRowHeight="14.5" x14ac:dyDescent="0.35"/>
  <cols>
    <col min="1" max="1" width="2.90625" customWidth="1"/>
    <col min="2" max="2" width="31.90625" bestFit="1" customWidth="1"/>
    <col min="3" max="3" width="14.08984375" customWidth="1"/>
    <col min="4" max="4" width="10.453125" customWidth="1"/>
    <col min="5" max="5" width="9.36328125" customWidth="1"/>
  </cols>
  <sheetData>
    <row r="1" spans="2:14" x14ac:dyDescent="0.35">
      <c r="B1" s="355" t="str">
        <f>"Financial Model:" &amp; 'Data Sheet'!B1</f>
        <v>Financial Model:TITAN COMPANY LTD</v>
      </c>
      <c r="C1" s="355"/>
      <c r="D1" s="355"/>
      <c r="E1" s="355"/>
      <c r="F1" s="355"/>
      <c r="G1" s="355"/>
      <c r="H1" s="355"/>
      <c r="I1" s="355"/>
      <c r="J1" s="355"/>
      <c r="K1" s="355"/>
      <c r="L1" s="355"/>
      <c r="M1" s="355"/>
      <c r="N1" s="355"/>
    </row>
    <row r="2" spans="2:14" x14ac:dyDescent="0.35">
      <c r="B2" s="356" t="s">
        <v>125</v>
      </c>
      <c r="C2" s="356"/>
      <c r="D2" s="356"/>
      <c r="E2" s="356"/>
      <c r="F2" s="356"/>
      <c r="G2" s="356"/>
      <c r="H2" s="356"/>
      <c r="I2" s="356"/>
      <c r="J2" s="356"/>
      <c r="K2" s="356"/>
      <c r="L2" s="356"/>
      <c r="M2" s="356"/>
      <c r="N2" s="356"/>
    </row>
    <row r="3" spans="2:14" x14ac:dyDescent="0.35">
      <c r="B3" s="314" t="s">
        <v>319</v>
      </c>
      <c r="C3" s="315">
        <v>42078</v>
      </c>
      <c r="D3" s="315">
        <v>42445</v>
      </c>
      <c r="E3" s="315">
        <v>42795</v>
      </c>
      <c r="F3" s="315">
        <v>43160</v>
      </c>
      <c r="G3" s="315">
        <v>43525</v>
      </c>
      <c r="H3" s="315">
        <v>43891</v>
      </c>
      <c r="I3" s="315">
        <v>44256</v>
      </c>
      <c r="J3" s="315">
        <v>44621</v>
      </c>
      <c r="K3" s="315">
        <v>44986</v>
      </c>
      <c r="L3" s="315">
        <v>45352</v>
      </c>
      <c r="M3" s="315">
        <v>45717</v>
      </c>
      <c r="N3" s="315">
        <v>46082</v>
      </c>
    </row>
    <row r="4" spans="2:14" ht="5.5" customHeight="1" x14ac:dyDescent="0.35">
      <c r="B4" s="318"/>
      <c r="C4" s="318"/>
      <c r="D4" s="318"/>
      <c r="E4" s="166"/>
      <c r="F4" s="166"/>
      <c r="G4" s="166"/>
      <c r="H4" s="166"/>
      <c r="I4" s="166"/>
      <c r="J4" s="166"/>
      <c r="K4" s="166"/>
      <c r="L4" s="166"/>
      <c r="M4" s="166"/>
      <c r="N4" s="166"/>
    </row>
    <row r="5" spans="2:14" x14ac:dyDescent="0.35">
      <c r="B5" s="160" t="s">
        <v>337</v>
      </c>
      <c r="C5" s="160"/>
      <c r="D5" s="160"/>
      <c r="E5" s="165">
        <v>1712</v>
      </c>
      <c r="F5" s="165">
        <v>-51</v>
      </c>
      <c r="G5" s="165">
        <v>1243</v>
      </c>
      <c r="H5" s="165">
        <v>-348</v>
      </c>
      <c r="I5" s="165">
        <v>4139</v>
      </c>
      <c r="J5" s="165">
        <v>-724</v>
      </c>
      <c r="K5" s="165">
        <v>1370</v>
      </c>
      <c r="L5" s="165">
        <v>1695</v>
      </c>
      <c r="M5" s="165">
        <v>-541</v>
      </c>
      <c r="N5" s="165">
        <v>5590</v>
      </c>
    </row>
    <row r="6" spans="2:14" x14ac:dyDescent="0.35">
      <c r="B6" s="159" t="s">
        <v>126</v>
      </c>
      <c r="C6" s="159"/>
      <c r="D6" s="159"/>
      <c r="E6" s="166">
        <v>1073</v>
      </c>
      <c r="F6" s="166">
        <v>1642</v>
      </c>
      <c r="G6" s="166">
        <v>2183</v>
      </c>
      <c r="H6" s="166">
        <v>2481</v>
      </c>
      <c r="I6" s="166">
        <v>1789</v>
      </c>
      <c r="J6" s="166">
        <v>3298</v>
      </c>
      <c r="K6" s="166">
        <v>4937</v>
      </c>
      <c r="L6" s="166">
        <v>5404</v>
      </c>
      <c r="M6" s="166">
        <v>5774</v>
      </c>
      <c r="N6" s="166">
        <v>8447</v>
      </c>
    </row>
    <row r="7" spans="2:14" x14ac:dyDescent="0.35">
      <c r="B7" s="156" t="s">
        <v>40</v>
      </c>
      <c r="C7" s="156"/>
      <c r="D7" s="156"/>
      <c r="E7" s="167">
        <v>-12</v>
      </c>
      <c r="F7" s="167">
        <v>-90</v>
      </c>
      <c r="G7" s="167">
        <v>-139</v>
      </c>
      <c r="H7" s="167">
        <v>109</v>
      </c>
      <c r="I7" s="167">
        <v>-59</v>
      </c>
      <c r="J7" s="167">
        <v>-207</v>
      </c>
      <c r="K7" s="167">
        <v>-112</v>
      </c>
      <c r="L7" s="167">
        <v>-348</v>
      </c>
      <c r="M7" s="167">
        <v>-95</v>
      </c>
      <c r="N7" s="167">
        <v>210</v>
      </c>
    </row>
    <row r="8" spans="2:14" x14ac:dyDescent="0.35">
      <c r="B8" s="156" t="s">
        <v>41</v>
      </c>
      <c r="C8" s="156"/>
      <c r="D8" s="156"/>
      <c r="E8" s="167">
        <v>-448</v>
      </c>
      <c r="F8" s="167">
        <v>-996</v>
      </c>
      <c r="G8" s="167">
        <v>-1120</v>
      </c>
      <c r="H8" s="167">
        <v>-1057</v>
      </c>
      <c r="I8" s="167">
        <v>-316</v>
      </c>
      <c r="J8" s="167">
        <v>-5199</v>
      </c>
      <c r="K8" s="167">
        <v>-2977</v>
      </c>
      <c r="L8" s="167">
        <v>-2462</v>
      </c>
      <c r="M8" s="167">
        <v>-9072</v>
      </c>
      <c r="N8" s="167">
        <v>-11592</v>
      </c>
    </row>
    <row r="9" spans="2:14" x14ac:dyDescent="0.35">
      <c r="B9" s="156" t="s">
        <v>127</v>
      </c>
      <c r="C9" s="156"/>
      <c r="D9" s="156"/>
      <c r="E9" s="167">
        <v>238</v>
      </c>
      <c r="F9" s="167">
        <v>95</v>
      </c>
      <c r="G9" s="167">
        <v>32</v>
      </c>
      <c r="H9" s="167">
        <v>-310</v>
      </c>
      <c r="I9" s="167">
        <v>195</v>
      </c>
      <c r="J9" s="167">
        <v>504</v>
      </c>
      <c r="K9" s="167">
        <v>-89</v>
      </c>
      <c r="L9" s="167">
        <v>196</v>
      </c>
      <c r="M9" s="167">
        <v>564</v>
      </c>
      <c r="N9" s="167">
        <v>472</v>
      </c>
    </row>
    <row r="10" spans="2:14" x14ac:dyDescent="0.35">
      <c r="B10" s="156" t="s">
        <v>128</v>
      </c>
      <c r="C10" s="156"/>
      <c r="D10" s="156"/>
      <c r="E10" s="167">
        <v>0</v>
      </c>
      <c r="F10" s="167">
        <v>3</v>
      </c>
      <c r="G10" s="167">
        <v>-24</v>
      </c>
      <c r="H10" s="167">
        <v>-20</v>
      </c>
      <c r="I10" s="167">
        <v>-8</v>
      </c>
      <c r="J10" s="167">
        <v>-3</v>
      </c>
      <c r="K10" s="167">
        <v>-18</v>
      </c>
      <c r="L10" s="167">
        <v>-21</v>
      </c>
      <c r="M10" s="167">
        <v>4</v>
      </c>
      <c r="N10" s="167">
        <v>-8</v>
      </c>
    </row>
    <row r="11" spans="2:14" x14ac:dyDescent="0.35">
      <c r="B11" s="156" t="s">
        <v>129</v>
      </c>
      <c r="C11" s="156"/>
      <c r="D11" s="156"/>
      <c r="E11" s="167">
        <v>763</v>
      </c>
      <c r="F11" s="167">
        <v>-270</v>
      </c>
      <c r="G11" s="167">
        <v>741</v>
      </c>
      <c r="H11" s="167">
        <v>-768</v>
      </c>
      <c r="I11" s="167">
        <v>2625</v>
      </c>
      <c r="J11" s="167">
        <v>1188</v>
      </c>
      <c r="K11" s="167">
        <v>-99</v>
      </c>
      <c r="L11" s="167">
        <v>42</v>
      </c>
      <c r="M11" s="167">
        <v>2468</v>
      </c>
      <c r="N11" s="167">
        <v>7304</v>
      </c>
    </row>
    <row r="12" spans="2:14" x14ac:dyDescent="0.35">
      <c r="B12" s="156" t="s">
        <v>130</v>
      </c>
      <c r="C12" s="156"/>
      <c r="D12" s="156"/>
      <c r="E12" s="167">
        <v>375</v>
      </c>
      <c r="F12" s="167">
        <v>22</v>
      </c>
      <c r="G12" s="167">
        <v>206</v>
      </c>
      <c r="H12" s="167">
        <v>-226</v>
      </c>
      <c r="I12" s="167">
        <v>184</v>
      </c>
      <c r="J12" s="167">
        <v>497</v>
      </c>
      <c r="K12" s="167">
        <v>882</v>
      </c>
      <c r="L12" s="167">
        <v>57</v>
      </c>
      <c r="M12" s="167">
        <v>905</v>
      </c>
      <c r="N12" s="167">
        <v>2494</v>
      </c>
    </row>
    <row r="13" spans="2:14" x14ac:dyDescent="0.35">
      <c r="B13" s="162" t="s">
        <v>131</v>
      </c>
      <c r="C13" s="162"/>
      <c r="D13" s="162"/>
      <c r="E13" s="168">
        <v>916</v>
      </c>
      <c r="F13" s="168">
        <v>-1237</v>
      </c>
      <c r="G13" s="168">
        <v>-304</v>
      </c>
      <c r="H13" s="168">
        <v>-2272</v>
      </c>
      <c r="I13" s="168">
        <v>2621</v>
      </c>
      <c r="J13" s="168">
        <v>-3220</v>
      </c>
      <c r="K13" s="168">
        <v>-2413</v>
      </c>
      <c r="L13" s="168">
        <v>-2536</v>
      </c>
      <c r="M13" s="168">
        <v>-5226</v>
      </c>
      <c r="N13" s="168">
        <v>-1120</v>
      </c>
    </row>
    <row r="14" spans="2:14" x14ac:dyDescent="0.35">
      <c r="B14" s="163" t="s">
        <v>132</v>
      </c>
      <c r="C14" s="163"/>
      <c r="D14" s="163"/>
      <c r="E14" s="169">
        <v>-277</v>
      </c>
      <c r="F14" s="169">
        <v>-456</v>
      </c>
      <c r="G14" s="169">
        <v>-636</v>
      </c>
      <c r="H14" s="169">
        <v>-557</v>
      </c>
      <c r="I14" s="169">
        <v>-271</v>
      </c>
      <c r="J14" s="169">
        <v>-802</v>
      </c>
      <c r="K14" s="169">
        <v>-1154</v>
      </c>
      <c r="L14" s="169">
        <v>-1173</v>
      </c>
      <c r="M14" s="169">
        <v>-1089</v>
      </c>
      <c r="N14" s="169">
        <v>-1737</v>
      </c>
    </row>
    <row r="15" spans="2:14" x14ac:dyDescent="0.35">
      <c r="B15" s="161" t="s">
        <v>338</v>
      </c>
      <c r="C15" s="161"/>
      <c r="D15" s="161"/>
      <c r="E15" s="170">
        <v>-953</v>
      </c>
      <c r="F15" s="170">
        <v>98</v>
      </c>
      <c r="G15" s="170">
        <v>-797</v>
      </c>
      <c r="H15" s="170">
        <v>235</v>
      </c>
      <c r="I15" s="170">
        <v>-2799</v>
      </c>
      <c r="J15" s="170">
        <v>1165</v>
      </c>
      <c r="K15" s="170">
        <v>-1814</v>
      </c>
      <c r="L15" s="170">
        <v>-189</v>
      </c>
      <c r="M15" s="170">
        <v>546</v>
      </c>
      <c r="N15" s="170">
        <v>-2965</v>
      </c>
    </row>
    <row r="16" spans="2:14" x14ac:dyDescent="0.35">
      <c r="B16" s="157" t="s">
        <v>133</v>
      </c>
      <c r="C16" s="157"/>
      <c r="D16" s="157"/>
      <c r="E16" s="171">
        <v>-256</v>
      </c>
      <c r="F16" s="171">
        <v>-305</v>
      </c>
      <c r="G16" s="171">
        <v>-265</v>
      </c>
      <c r="H16" s="171">
        <v>-355</v>
      </c>
      <c r="I16" s="171">
        <v>-146</v>
      </c>
      <c r="J16" s="171">
        <v>-224</v>
      </c>
      <c r="K16" s="171">
        <v>-432</v>
      </c>
      <c r="L16" s="171">
        <v>-691</v>
      </c>
      <c r="M16" s="171">
        <v>-494</v>
      </c>
      <c r="N16" s="171">
        <v>-902</v>
      </c>
    </row>
    <row r="17" spans="2:14" x14ac:dyDescent="0.35">
      <c r="B17" s="157" t="s">
        <v>134</v>
      </c>
      <c r="C17" s="157"/>
      <c r="D17" s="157"/>
      <c r="E17" s="171">
        <v>5</v>
      </c>
      <c r="F17" s="171">
        <v>6</v>
      </c>
      <c r="G17" s="171">
        <v>1</v>
      </c>
      <c r="H17" s="171">
        <v>10</v>
      </c>
      <c r="I17" s="171">
        <v>7</v>
      </c>
      <c r="J17" s="171">
        <v>8</v>
      </c>
      <c r="K17" s="171">
        <v>12</v>
      </c>
      <c r="L17" s="171">
        <v>20</v>
      </c>
      <c r="M17" s="171">
        <v>24</v>
      </c>
      <c r="N17" s="171">
        <v>25</v>
      </c>
    </row>
    <row r="18" spans="2:14" x14ac:dyDescent="0.35">
      <c r="B18" s="157" t="s">
        <v>135</v>
      </c>
      <c r="C18" s="157"/>
      <c r="D18" s="157"/>
      <c r="E18" s="171">
        <v>-325</v>
      </c>
      <c r="F18" s="171">
        <v>0</v>
      </c>
      <c r="G18" s="171">
        <v>-36</v>
      </c>
      <c r="H18" s="171">
        <v>-13</v>
      </c>
      <c r="I18" s="171">
        <v>-2656</v>
      </c>
      <c r="J18" s="171">
        <v>-253</v>
      </c>
      <c r="K18" s="171">
        <v>-2104</v>
      </c>
      <c r="L18" s="171">
        <v>-21893</v>
      </c>
      <c r="M18" s="171">
        <v>-15342</v>
      </c>
      <c r="N18" s="171">
        <v>-22035</v>
      </c>
    </row>
    <row r="19" spans="2:14" x14ac:dyDescent="0.35">
      <c r="B19" s="157" t="s">
        <v>136</v>
      </c>
      <c r="C19" s="157"/>
      <c r="D19" s="157"/>
      <c r="E19" s="171">
        <v>0</v>
      </c>
      <c r="F19" s="171">
        <v>412</v>
      </c>
      <c r="G19" s="171">
        <v>18</v>
      </c>
      <c r="H19" s="171">
        <v>0</v>
      </c>
      <c r="I19" s="171">
        <v>43</v>
      </c>
      <c r="J19" s="171">
        <v>2870</v>
      </c>
      <c r="K19" s="171">
        <v>0</v>
      </c>
      <c r="L19" s="171">
        <v>22213</v>
      </c>
      <c r="M19" s="171">
        <v>15747</v>
      </c>
      <c r="N19" s="171">
        <v>20797</v>
      </c>
    </row>
    <row r="20" spans="2:14" x14ac:dyDescent="0.35">
      <c r="B20" s="157" t="s">
        <v>137</v>
      </c>
      <c r="C20" s="157"/>
      <c r="D20" s="157"/>
      <c r="E20" s="171">
        <v>41</v>
      </c>
      <c r="F20" s="171">
        <v>64</v>
      </c>
      <c r="G20" s="171">
        <v>85</v>
      </c>
      <c r="H20" s="171">
        <v>73</v>
      </c>
      <c r="I20" s="171">
        <v>49</v>
      </c>
      <c r="J20" s="171">
        <v>56</v>
      </c>
      <c r="K20" s="171">
        <v>143</v>
      </c>
      <c r="L20" s="171">
        <v>249</v>
      </c>
      <c r="M20" s="171">
        <v>288</v>
      </c>
      <c r="N20" s="171">
        <v>227</v>
      </c>
    </row>
    <row r="21" spans="2:14" x14ac:dyDescent="0.35">
      <c r="B21" s="157" t="s">
        <v>138</v>
      </c>
      <c r="C21" s="157"/>
      <c r="D21" s="157"/>
      <c r="E21" s="171">
        <v>0</v>
      </c>
      <c r="F21" s="171">
        <v>0</v>
      </c>
      <c r="G21" s="171">
        <v>0</v>
      </c>
      <c r="H21" s="171">
        <v>-39</v>
      </c>
      <c r="I21" s="171">
        <v>0</v>
      </c>
      <c r="J21" s="171">
        <v>0</v>
      </c>
      <c r="K21" s="171">
        <v>0</v>
      </c>
      <c r="L21" s="171">
        <v>0</v>
      </c>
      <c r="M21" s="171">
        <v>0</v>
      </c>
      <c r="N21" s="171">
        <v>0</v>
      </c>
    </row>
    <row r="22" spans="2:14" x14ac:dyDescent="0.35">
      <c r="B22" s="157" t="s">
        <v>139</v>
      </c>
      <c r="C22" s="157"/>
      <c r="D22" s="157"/>
      <c r="E22" s="171">
        <v>0</v>
      </c>
      <c r="F22" s="171">
        <v>0</v>
      </c>
      <c r="G22" s="171">
        <v>0</v>
      </c>
      <c r="H22" s="171">
        <v>0</v>
      </c>
      <c r="I22" s="171">
        <v>0</v>
      </c>
      <c r="J22" s="171">
        <v>0</v>
      </c>
      <c r="K22" s="171">
        <v>0</v>
      </c>
      <c r="L22" s="171">
        <v>0</v>
      </c>
      <c r="M22" s="171">
        <v>0</v>
      </c>
      <c r="N22" s="171">
        <v>0</v>
      </c>
    </row>
    <row r="23" spans="2:14" x14ac:dyDescent="0.35">
      <c r="B23" s="157" t="s">
        <v>140</v>
      </c>
      <c r="C23" s="157"/>
      <c r="D23" s="157"/>
      <c r="E23" s="171">
        <v>-385</v>
      </c>
      <c r="F23" s="171">
        <v>0</v>
      </c>
      <c r="G23" s="171">
        <v>0</v>
      </c>
      <c r="H23" s="171">
        <v>0</v>
      </c>
      <c r="I23" s="171">
        <v>0</v>
      </c>
      <c r="J23" s="171">
        <v>0</v>
      </c>
      <c r="K23" s="171">
        <v>0</v>
      </c>
      <c r="L23" s="171">
        <v>0</v>
      </c>
      <c r="M23" s="171">
        <v>0</v>
      </c>
      <c r="N23" s="171">
        <v>0</v>
      </c>
    </row>
    <row r="24" spans="2:14" x14ac:dyDescent="0.35">
      <c r="B24" s="157" t="s">
        <v>141</v>
      </c>
      <c r="C24" s="157"/>
      <c r="D24" s="157"/>
      <c r="E24" s="171">
        <v>5</v>
      </c>
      <c r="F24" s="171">
        <v>-35</v>
      </c>
      <c r="G24" s="171">
        <v>-115</v>
      </c>
      <c r="H24" s="171">
        <v>200</v>
      </c>
      <c r="I24" s="171">
        <v>-50</v>
      </c>
      <c r="J24" s="171">
        <v>-344</v>
      </c>
      <c r="K24" s="171">
        <v>294</v>
      </c>
      <c r="L24" s="171">
        <v>-143</v>
      </c>
      <c r="M24" s="171">
        <v>243</v>
      </c>
      <c r="N24" s="171">
        <v>0</v>
      </c>
    </row>
    <row r="25" spans="2:14" x14ac:dyDescent="0.35">
      <c r="B25" s="157" t="s">
        <v>142</v>
      </c>
      <c r="C25" s="157"/>
      <c r="D25" s="157"/>
      <c r="E25" s="171">
        <v>-38</v>
      </c>
      <c r="F25" s="171">
        <v>-43</v>
      </c>
      <c r="G25" s="171">
        <v>-485</v>
      </c>
      <c r="H25" s="171">
        <v>359</v>
      </c>
      <c r="I25" s="171">
        <v>-46</v>
      </c>
      <c r="J25" s="171">
        <v>-948</v>
      </c>
      <c r="K25" s="171">
        <v>273</v>
      </c>
      <c r="L25" s="171">
        <v>56</v>
      </c>
      <c r="M25" s="171">
        <v>80</v>
      </c>
      <c r="N25" s="171">
        <v>-1077</v>
      </c>
    </row>
    <row r="26" spans="2:14" x14ac:dyDescent="0.35">
      <c r="B26" s="164" t="s">
        <v>339</v>
      </c>
      <c r="C26" s="164"/>
      <c r="D26" s="164"/>
      <c r="E26" s="168">
        <v>-166</v>
      </c>
      <c r="F26" s="168">
        <v>-252</v>
      </c>
      <c r="G26" s="168">
        <v>-489</v>
      </c>
      <c r="H26" s="168">
        <v>-242</v>
      </c>
      <c r="I26" s="168">
        <v>-1234</v>
      </c>
      <c r="J26" s="168">
        <v>-403</v>
      </c>
      <c r="K26" s="168">
        <v>457</v>
      </c>
      <c r="L26" s="168">
        <v>-1329</v>
      </c>
      <c r="M26" s="168">
        <v>-7</v>
      </c>
      <c r="N26" s="168">
        <v>-2159</v>
      </c>
    </row>
    <row r="27" spans="2:14" x14ac:dyDescent="0.35">
      <c r="B27" s="159" t="s">
        <v>143</v>
      </c>
      <c r="C27" s="159"/>
      <c r="D27" s="159"/>
      <c r="E27" s="166">
        <v>0</v>
      </c>
      <c r="F27" s="166">
        <v>0</v>
      </c>
      <c r="G27" s="166">
        <v>0</v>
      </c>
      <c r="H27" s="166">
        <v>693</v>
      </c>
      <c r="I27" s="166">
        <v>0</v>
      </c>
      <c r="J27" s="166">
        <v>349</v>
      </c>
      <c r="K27" s="166">
        <v>1684</v>
      </c>
      <c r="L27" s="166">
        <v>5629</v>
      </c>
      <c r="M27" s="166">
        <v>2599</v>
      </c>
      <c r="N27" s="166">
        <v>3314</v>
      </c>
    </row>
    <row r="28" spans="2:14" x14ac:dyDescent="0.35">
      <c r="B28" s="159" t="s">
        <v>144</v>
      </c>
      <c r="C28" s="159"/>
      <c r="D28" s="159"/>
      <c r="E28" s="166">
        <v>0</v>
      </c>
      <c r="F28" s="166">
        <v>0</v>
      </c>
      <c r="G28" s="166">
        <v>-39</v>
      </c>
      <c r="H28" s="166">
        <v>0</v>
      </c>
      <c r="I28" s="166">
        <v>-562</v>
      </c>
      <c r="J28" s="166">
        <v>-7</v>
      </c>
      <c r="K28" s="166">
        <v>-7</v>
      </c>
      <c r="L28" s="166">
        <v>0</v>
      </c>
      <c r="M28" s="166">
        <v>-378</v>
      </c>
      <c r="N28" s="166">
        <v>-2632</v>
      </c>
    </row>
    <row r="29" spans="2:14" x14ac:dyDescent="0.35">
      <c r="B29" s="159" t="s">
        <v>145</v>
      </c>
      <c r="C29" s="159"/>
      <c r="D29" s="159"/>
      <c r="E29" s="166">
        <v>-38</v>
      </c>
      <c r="F29" s="166">
        <v>-54</v>
      </c>
      <c r="G29" s="166">
        <v>-53</v>
      </c>
      <c r="H29" s="166">
        <v>-399</v>
      </c>
      <c r="I29" s="166">
        <v>-317</v>
      </c>
      <c r="J29" s="166">
        <v>-218</v>
      </c>
      <c r="K29" s="166">
        <v>-300</v>
      </c>
      <c r="L29" s="166">
        <v>-619</v>
      </c>
      <c r="M29" s="166">
        <v>-538</v>
      </c>
      <c r="N29" s="166">
        <v>-1000</v>
      </c>
    </row>
    <row r="30" spans="2:14" x14ac:dyDescent="0.35">
      <c r="B30" s="159" t="s">
        <v>146</v>
      </c>
      <c r="C30" s="159"/>
      <c r="D30" s="159"/>
      <c r="E30" s="166">
        <v>-4</v>
      </c>
      <c r="F30" s="166">
        <v>-277</v>
      </c>
      <c r="G30" s="166">
        <v>-397</v>
      </c>
      <c r="H30" s="166">
        <v>-536</v>
      </c>
      <c r="I30" s="166">
        <v>-355</v>
      </c>
      <c r="J30" s="166">
        <v>-355</v>
      </c>
      <c r="K30" s="166">
        <v>-666</v>
      </c>
      <c r="L30" s="166">
        <v>-888</v>
      </c>
      <c r="M30" s="166">
        <v>-976</v>
      </c>
      <c r="N30" s="166">
        <v>-976</v>
      </c>
    </row>
    <row r="31" spans="2:14" x14ac:dyDescent="0.35">
      <c r="B31" s="159" t="s">
        <v>147</v>
      </c>
      <c r="C31" s="159"/>
      <c r="D31" s="159"/>
      <c r="E31" s="166">
        <v>0</v>
      </c>
      <c r="F31" s="166">
        <v>0</v>
      </c>
      <c r="G31" s="166">
        <v>0</v>
      </c>
      <c r="H31" s="166">
        <v>0</v>
      </c>
      <c r="I31" s="166">
        <v>0</v>
      </c>
      <c r="J31" s="166">
        <v>-172</v>
      </c>
      <c r="K31" s="166">
        <v>-254</v>
      </c>
      <c r="L31" s="166">
        <v>-318</v>
      </c>
      <c r="M31" s="166">
        <v>-700</v>
      </c>
      <c r="N31" s="166">
        <v>-865</v>
      </c>
    </row>
    <row r="32" spans="2:14" x14ac:dyDescent="0.35">
      <c r="B32" s="163" t="s">
        <v>148</v>
      </c>
      <c r="C32" s="163"/>
      <c r="D32" s="163"/>
      <c r="E32" s="169">
        <v>-124</v>
      </c>
      <c r="F32" s="169">
        <v>79</v>
      </c>
      <c r="G32" s="169">
        <v>0</v>
      </c>
      <c r="H32" s="169">
        <v>0</v>
      </c>
      <c r="I32" s="169">
        <v>0</v>
      </c>
      <c r="J32" s="169">
        <v>0</v>
      </c>
      <c r="K32" s="169">
        <v>0</v>
      </c>
      <c r="L32" s="169">
        <v>-5133</v>
      </c>
      <c r="M32" s="169">
        <v>-14</v>
      </c>
      <c r="N32" s="169">
        <v>0</v>
      </c>
    </row>
    <row r="33" spans="2:14" x14ac:dyDescent="0.35">
      <c r="B33" s="161" t="s">
        <v>50</v>
      </c>
      <c r="C33" s="161"/>
      <c r="D33" s="161"/>
      <c r="E33" s="170">
        <v>594</v>
      </c>
      <c r="F33" s="170">
        <v>-206</v>
      </c>
      <c r="G33" s="170">
        <v>-43</v>
      </c>
      <c r="H33" s="170">
        <v>-355</v>
      </c>
      <c r="I33" s="170">
        <v>106</v>
      </c>
      <c r="J33" s="170">
        <v>38</v>
      </c>
      <c r="K33" s="170">
        <v>13</v>
      </c>
      <c r="L33" s="170">
        <v>177</v>
      </c>
      <c r="M33" s="170">
        <v>-2</v>
      </c>
      <c r="N33" s="170">
        <v>466</v>
      </c>
    </row>
    <row r="34" spans="2:14" x14ac:dyDescent="0.35">
      <c r="B34" s="158" t="s">
        <v>149</v>
      </c>
      <c r="C34" s="158"/>
      <c r="D34" s="158"/>
      <c r="E34" s="167">
        <v>1461</v>
      </c>
      <c r="F34" s="167">
        <v>-350</v>
      </c>
      <c r="G34" s="167">
        <v>980</v>
      </c>
      <c r="H34" s="167">
        <v>-693</v>
      </c>
      <c r="I34" s="167">
        <v>4000</v>
      </c>
      <c r="J34" s="167">
        <v>-940</v>
      </c>
      <c r="K34" s="167">
        <v>950</v>
      </c>
      <c r="L34" s="167">
        <v>1024</v>
      </c>
      <c r="M34" s="167">
        <v>-1011</v>
      </c>
      <c r="N34" s="167">
        <v>4713</v>
      </c>
    </row>
    <row r="35" spans="2:14" ht="15" thickBot="1" x14ac:dyDescent="0.4">
      <c r="B35" s="316" t="s">
        <v>150</v>
      </c>
      <c r="C35" s="316"/>
      <c r="D35" s="316"/>
      <c r="E35" s="317">
        <v>1.71</v>
      </c>
      <c r="F35" s="317">
        <v>0.25</v>
      </c>
      <c r="G35" s="317">
        <v>0.94</v>
      </c>
      <c r="H35" s="317">
        <v>0.08</v>
      </c>
      <c r="I35" s="317">
        <v>2.56</v>
      </c>
      <c r="J35" s="317">
        <v>0.02</v>
      </c>
      <c r="K35" s="317">
        <v>0.52</v>
      </c>
      <c r="L35" s="317">
        <v>0.54</v>
      </c>
      <c r="M35" s="317">
        <v>0.1</v>
      </c>
      <c r="N35" s="317">
        <v>0.88</v>
      </c>
    </row>
  </sheetData>
  <mergeCells count="2">
    <mergeCell ref="B1:N1"/>
    <mergeCell ref="B2:N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Executive Summary</vt:lpstr>
      <vt:lpstr>Assumptions and Drivers</vt:lpstr>
      <vt:lpstr>Assumptions</vt:lpstr>
      <vt:lpstr>Historical_FS</vt:lpstr>
      <vt:lpstr>Supporting Schedules</vt:lpstr>
      <vt:lpstr>Du Pont Analysis</vt:lpstr>
      <vt:lpstr>Altman Z score</vt:lpstr>
      <vt:lpstr>Financials&gt;</vt:lpstr>
      <vt:lpstr>Data Sheet</vt:lpstr>
      <vt:lpstr>Forecasting</vt:lpstr>
      <vt:lpstr>WACC</vt:lpstr>
      <vt:lpstr>Beta-Regression</vt:lpstr>
      <vt:lpstr>Rm</vt:lpstr>
      <vt:lpstr>Intrinsic Growth</vt:lpstr>
      <vt:lpstr>DCF</vt:lpstr>
      <vt:lpstr>Relative_Valuation</vt:lpstr>
      <vt:lpstr>Football Field Analysis</vt:lpstr>
      <vt:lpstr>VaR</vt:lpstr>
      <vt:lpstr>Mont_Carlo</vt:lpstr>
      <vt:lpstr>Data2</vt:lpstr>
      <vt:lpstr>Raw Data</vt:lpstr>
      <vt:lpstr>Cash Flow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2026-10-10T06:44:29Z</cp:lastPrinted>
  <dcterms:created xsi:type="dcterms:W3CDTF">2026-10-03T08:22:51Z</dcterms:created>
  <dcterms:modified xsi:type="dcterms:W3CDTF">2026-10-10T07:06:58Z</dcterms:modified>
</cp:coreProperties>
</file>